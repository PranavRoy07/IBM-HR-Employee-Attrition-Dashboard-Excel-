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1ec72aff6a7983e/Desktop/Documents/pranav html BBACA/"/>
    </mc:Choice>
  </mc:AlternateContent>
  <xr:revisionPtr revIDLastSave="6" documentId="13_ncr:9_{BA261EB3-1A4F-44C5-890B-EAED8C0AE952}" xr6:coauthVersionLast="47" xr6:coauthVersionMax="47" xr10:uidLastSave="{7DD992D9-746C-4272-8EC4-CD909D0A5DDB}"/>
  <bookViews>
    <workbookView xWindow="7020" yWindow="0" windowWidth="14268" windowHeight="12336" firstSheet="1" activeTab="4" xr2:uid="{212CB3A8-AED8-4FA7-B8F2-43BD1B240C6C}"/>
  </bookViews>
  <sheets>
    <sheet name="Dashboard" sheetId="12" r:id="rId1"/>
    <sheet name="Raw Data" sheetId="1" r:id="rId2"/>
    <sheet name="Working Data" sheetId="2" r:id="rId3"/>
    <sheet name="Analysis" sheetId="3" r:id="rId4"/>
    <sheet name="Pivot 1" sheetId="10" r:id="rId5"/>
    <sheet name="Pivot 2" sheetId="6" r:id="rId6"/>
    <sheet name="Pivot 3" sheetId="7" r:id="rId7"/>
    <sheet name="Pivot 4" sheetId="11" r:id="rId8"/>
  </sheets>
  <definedNames>
    <definedName name="Slicer_Department">#N/A</definedName>
    <definedName name="Slicer_Gender">#N/A</definedName>
    <definedName name="Slicer_OverTi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20" i="3"/>
  <c r="B19" i="3"/>
  <c r="B17" i="3"/>
  <c r="B16" i="3"/>
  <c r="B13" i="3"/>
  <c r="B14" i="3"/>
  <c r="B15" i="3"/>
  <c r="B10" i="3"/>
  <c r="B9" i="3"/>
  <c r="B8" i="3"/>
  <c r="B5" i="3"/>
  <c r="B4" i="3"/>
  <c r="B2" i="3"/>
  <c r="AK3" i="2" a="1"/>
  <c r="AK3" i="2" s="1"/>
  <c r="AK4" i="2" a="1"/>
  <c r="AK4" i="2" s="1"/>
  <c r="AK5" i="2" a="1"/>
  <c r="AK5" i="2" s="1"/>
  <c r="AK6" i="2" a="1"/>
  <c r="AK6" i="2"/>
  <c r="AK7" i="2" a="1"/>
  <c r="AK7" i="2" s="1"/>
  <c r="AK8" i="2" a="1"/>
  <c r="AK8" i="2"/>
  <c r="AK9" i="2" a="1"/>
  <c r="AK9" i="2" s="1"/>
  <c r="AK10" i="2" a="1"/>
  <c r="AK10" i="2" s="1"/>
  <c r="AK11" i="2" a="1"/>
  <c r="AK11" i="2"/>
  <c r="AK12" i="2" a="1"/>
  <c r="AK12" i="2"/>
  <c r="AK13" i="2" a="1"/>
  <c r="AK13" i="2"/>
  <c r="AK14" i="2" a="1"/>
  <c r="AK14" i="2" s="1"/>
  <c r="AK15" i="2" a="1"/>
  <c r="AK15" i="2"/>
  <c r="AK16" i="2" a="1"/>
  <c r="AK16" i="2" s="1"/>
  <c r="AK17" i="2" a="1"/>
  <c r="AK17" i="2" s="1"/>
  <c r="AK18" i="2" a="1"/>
  <c r="AK18" i="2" s="1"/>
  <c r="AK19" i="2" a="1"/>
  <c r="AK19" i="2" s="1"/>
  <c r="AK20" i="2" a="1"/>
  <c r="AK20" i="2"/>
  <c r="AK21" i="2" a="1"/>
  <c r="AK21" i="2" s="1"/>
  <c r="AK22" i="2" a="1"/>
  <c r="AK22" i="2" s="1"/>
  <c r="AK23" i="2" a="1"/>
  <c r="AK23" i="2" s="1"/>
  <c r="AK24" i="2" a="1"/>
  <c r="AK24" i="2" s="1"/>
  <c r="AK25" i="2" a="1"/>
  <c r="AK25" i="2" s="1"/>
  <c r="AK26" i="2" a="1"/>
  <c r="AK26" i="2" s="1"/>
  <c r="AK27" i="2" a="1"/>
  <c r="AK27" i="2" s="1"/>
  <c r="AK28" i="2" a="1"/>
  <c r="AK28" i="2" s="1"/>
  <c r="AK29" i="2" a="1"/>
  <c r="AK29" i="2"/>
  <c r="AK30" i="2" a="1"/>
  <c r="AK30" i="2" s="1"/>
  <c r="AK31" i="2" a="1"/>
  <c r="AK31" i="2" s="1"/>
  <c r="AK32" i="2" a="1"/>
  <c r="AK32" i="2" s="1"/>
  <c r="AK33" i="2" a="1"/>
  <c r="AK33" i="2" s="1"/>
  <c r="AK34" i="2" a="1"/>
  <c r="AK34" i="2" s="1"/>
  <c r="AK35" i="2" a="1"/>
  <c r="AK35" i="2"/>
  <c r="AK36" i="2" a="1"/>
  <c r="AK36" i="2"/>
  <c r="AK37" i="2" a="1"/>
  <c r="AK37" i="2" s="1"/>
  <c r="AK38" i="2" a="1"/>
  <c r="AK38" i="2"/>
  <c r="AK39" i="2" a="1"/>
  <c r="AK39" i="2" s="1"/>
  <c r="AK40" i="2" a="1"/>
  <c r="AK40" i="2" s="1"/>
  <c r="AK41" i="2" a="1"/>
  <c r="AK41" i="2"/>
  <c r="AK42" i="2" a="1"/>
  <c r="AK42" i="2"/>
  <c r="AK43" i="2" a="1"/>
  <c r="AK43" i="2" s="1"/>
  <c r="AK44" i="2" a="1"/>
  <c r="AK44" i="2" s="1"/>
  <c r="AK45" i="2" a="1"/>
  <c r="AK45" i="2" s="1"/>
  <c r="AK46" i="2" a="1"/>
  <c r="AK46" i="2" s="1"/>
  <c r="AK47" i="2" a="1"/>
  <c r="AK47" i="2" s="1"/>
  <c r="AK48" i="2" a="1"/>
  <c r="AK48" i="2" s="1"/>
  <c r="AK49" i="2" a="1"/>
  <c r="AK49" i="2" s="1"/>
  <c r="AK50" i="2" a="1"/>
  <c r="AK50" i="2"/>
  <c r="AK51" i="2" a="1"/>
  <c r="AK51" i="2" s="1"/>
  <c r="AK52" i="2" a="1"/>
  <c r="AK52" i="2" s="1"/>
  <c r="AK53" i="2" a="1"/>
  <c r="AK53" i="2" s="1"/>
  <c r="AK54" i="2" a="1"/>
  <c r="AK54" i="2" s="1"/>
  <c r="AK55" i="2" a="1"/>
  <c r="AK55" i="2" s="1"/>
  <c r="AK56" i="2" a="1"/>
  <c r="AK56" i="2" s="1"/>
  <c r="AK57" i="2" a="1"/>
  <c r="AK57" i="2" s="1"/>
  <c r="AK58" i="2" a="1"/>
  <c r="AK58" i="2" s="1"/>
  <c r="AK59" i="2" a="1"/>
  <c r="AK59" i="2" s="1"/>
  <c r="AK60" i="2" a="1"/>
  <c r="AK60" i="2"/>
  <c r="AK61" i="2" a="1"/>
  <c r="AK61" i="2" s="1"/>
  <c r="AK62" i="2" a="1"/>
  <c r="AK62" i="2" s="1"/>
  <c r="AK63" i="2" a="1"/>
  <c r="AK63" i="2" s="1"/>
  <c r="AK64" i="2" a="1"/>
  <c r="AK64" i="2" s="1"/>
  <c r="AK65" i="2" a="1"/>
  <c r="AK65" i="2" s="1"/>
  <c r="AK66" i="2" a="1"/>
  <c r="AK66" i="2" s="1"/>
  <c r="AK67" i="2" a="1"/>
  <c r="AK67" i="2"/>
  <c r="AK68" i="2" a="1"/>
  <c r="AK68" i="2" s="1"/>
  <c r="AK69" i="2" a="1"/>
  <c r="AK69" i="2" s="1"/>
  <c r="AK70" i="2" a="1"/>
  <c r="AK70" i="2" s="1"/>
  <c r="AK71" i="2" a="1"/>
  <c r="AK71" i="2"/>
  <c r="AK72" i="2" a="1"/>
  <c r="AK72" i="2"/>
  <c r="AK73" i="2" a="1"/>
  <c r="AK73" i="2" s="1"/>
  <c r="AK74" i="2" a="1"/>
  <c r="AK74" i="2"/>
  <c r="AK75" i="2" a="1"/>
  <c r="AK75" i="2" s="1"/>
  <c r="AK76" i="2" a="1"/>
  <c r="AK76" i="2" s="1"/>
  <c r="AK77" i="2" a="1"/>
  <c r="AK77" i="2" s="1"/>
  <c r="AK78" i="2" a="1"/>
  <c r="AK78" i="2"/>
  <c r="AK79" i="2" a="1"/>
  <c r="AK79" i="2"/>
  <c r="AK80" i="2" a="1"/>
  <c r="AK80" i="2" s="1"/>
  <c r="AK81" i="2" a="1"/>
  <c r="AK81" i="2" s="1"/>
  <c r="AK82" i="2" a="1"/>
  <c r="AK82" i="2" s="1"/>
  <c r="AK83" i="2" a="1"/>
  <c r="AK83" i="2"/>
  <c r="AK84" i="2" a="1"/>
  <c r="AK84" i="2" s="1"/>
  <c r="AK85" i="2" a="1"/>
  <c r="AK85" i="2" s="1"/>
  <c r="AK86" i="2" a="1"/>
  <c r="AK86" i="2" s="1"/>
  <c r="AK87" i="2" a="1"/>
  <c r="AK87" i="2" s="1"/>
  <c r="AK88" i="2" a="1"/>
  <c r="AK88" i="2" s="1"/>
  <c r="AK89" i="2" a="1"/>
  <c r="AK89" i="2" s="1"/>
  <c r="AK90" i="2" a="1"/>
  <c r="AK90" i="2" s="1"/>
  <c r="AK91" i="2" a="1"/>
  <c r="AK91" i="2" s="1"/>
  <c r="AK92" i="2" a="1"/>
  <c r="AK92" i="2" s="1"/>
  <c r="AK93" i="2" a="1"/>
  <c r="AK93" i="2" s="1"/>
  <c r="AK94" i="2" a="1"/>
  <c r="AK94" i="2" s="1"/>
  <c r="AK95" i="2" a="1"/>
  <c r="AK95" i="2" s="1"/>
  <c r="AK96" i="2" a="1"/>
  <c r="AK96" i="2"/>
  <c r="AK97" i="2" a="1"/>
  <c r="AK97" i="2" s="1"/>
  <c r="AK98" i="2" a="1"/>
  <c r="AK98" i="2" s="1"/>
  <c r="AK99" i="2" a="1"/>
  <c r="AK99" i="2" s="1"/>
  <c r="AK100" i="2" a="1"/>
  <c r="AK100" i="2" s="1"/>
  <c r="AK101" i="2" a="1"/>
  <c r="AK101" i="2" s="1"/>
  <c r="AK102" i="2" a="1"/>
  <c r="AK102" i="2" s="1"/>
  <c r="AK103" i="2" a="1"/>
  <c r="AK103" i="2"/>
  <c r="AK104" i="2" a="1"/>
  <c r="AK104" i="2"/>
  <c r="AK105" i="2" a="1"/>
  <c r="AK105" i="2" s="1"/>
  <c r="AK106" i="2" a="1"/>
  <c r="AK106" i="2" s="1"/>
  <c r="AK107" i="2" a="1"/>
  <c r="AK107" i="2" s="1"/>
  <c r="AK108" i="2" a="1"/>
  <c r="AK108" i="2" s="1"/>
  <c r="AK109" i="2" a="1"/>
  <c r="AK109" i="2" s="1"/>
  <c r="AK110" i="2" a="1"/>
  <c r="AK110" i="2" s="1"/>
  <c r="AK111" i="2" a="1"/>
  <c r="AK111" i="2" s="1"/>
  <c r="AK112" i="2" a="1"/>
  <c r="AK112" i="2" s="1"/>
  <c r="AK113" i="2" a="1"/>
  <c r="AK113" i="2"/>
  <c r="AK114" i="2" a="1"/>
  <c r="AK114" i="2" s="1"/>
  <c r="AK115" i="2" a="1"/>
  <c r="AK115" i="2" s="1"/>
  <c r="AK116" i="2" a="1"/>
  <c r="AK116" i="2" s="1"/>
  <c r="AK117" i="2" a="1"/>
  <c r="AK117" i="2" s="1"/>
  <c r="AK118" i="2" a="1"/>
  <c r="AK118" i="2" s="1"/>
  <c r="AK119" i="2" a="1"/>
  <c r="AK119" i="2"/>
  <c r="AK120" i="2" a="1"/>
  <c r="AK120" i="2"/>
  <c r="AK121" i="2" a="1"/>
  <c r="AK121" i="2"/>
  <c r="AK122" i="2" a="1"/>
  <c r="AK122" i="2"/>
  <c r="AK123" i="2" a="1"/>
  <c r="AK123" i="2" s="1"/>
  <c r="AK124" i="2" a="1"/>
  <c r="AK124" i="2" s="1"/>
  <c r="AK125" i="2" a="1"/>
  <c r="AK125" i="2" s="1"/>
  <c r="AK126" i="2" a="1"/>
  <c r="AK126" i="2"/>
  <c r="AK127" i="2" a="1"/>
  <c r="AK127" i="2"/>
  <c r="AK128" i="2" a="1"/>
  <c r="AK128" i="2"/>
  <c r="AK129" i="2" a="1"/>
  <c r="AK129" i="2" s="1"/>
  <c r="AK130" i="2" a="1"/>
  <c r="AK130" i="2" s="1"/>
  <c r="AK131" i="2" a="1"/>
  <c r="AK131" i="2" s="1"/>
  <c r="AK132" i="2" a="1"/>
  <c r="AK132" i="2" s="1"/>
  <c r="AK133" i="2" a="1"/>
  <c r="AK133" i="2"/>
  <c r="AK134" i="2" a="1"/>
  <c r="AK134" i="2"/>
  <c r="AK135" i="2" a="1"/>
  <c r="AK135" i="2" s="1"/>
  <c r="AK136" i="2" a="1"/>
  <c r="AK136" i="2" s="1"/>
  <c r="AK137" i="2" a="1"/>
  <c r="AK137" i="2"/>
  <c r="AK138" i="2" a="1"/>
  <c r="AK138" i="2" s="1"/>
  <c r="AK139" i="2" a="1"/>
  <c r="AK139" i="2" s="1"/>
  <c r="AK140" i="2" a="1"/>
  <c r="AK140" i="2" s="1"/>
  <c r="AK141" i="2" a="1"/>
  <c r="AK141" i="2" s="1"/>
  <c r="AK142" i="2" a="1"/>
  <c r="AK142" i="2" s="1"/>
  <c r="AK143" i="2" a="1"/>
  <c r="AK143" i="2" s="1"/>
  <c r="AK144" i="2" a="1"/>
  <c r="AK144" i="2" s="1"/>
  <c r="AK145" i="2" a="1"/>
  <c r="AK145" i="2"/>
  <c r="AK146" i="2" a="1"/>
  <c r="AK146" i="2" s="1"/>
  <c r="AK147" i="2" a="1"/>
  <c r="AK147" i="2" s="1"/>
  <c r="AK148" i="2" a="1"/>
  <c r="AK148" i="2" s="1"/>
  <c r="AK149" i="2" a="1"/>
  <c r="AK149" i="2" s="1"/>
  <c r="AK150" i="2" a="1"/>
  <c r="AK150" i="2" s="1"/>
  <c r="AK151" i="2" a="1"/>
  <c r="AK151" i="2" s="1"/>
  <c r="AK152" i="2" a="1"/>
  <c r="AK152" i="2" s="1"/>
  <c r="AK153" i="2" a="1"/>
  <c r="AK153" i="2" s="1"/>
  <c r="AK154" i="2" a="1"/>
  <c r="AK154" i="2" s="1"/>
  <c r="AK155" i="2" a="1"/>
  <c r="AK155" i="2"/>
  <c r="AK156" i="2" a="1"/>
  <c r="AK156" i="2" s="1"/>
  <c r="AK157" i="2" a="1"/>
  <c r="AK157" i="2" s="1"/>
  <c r="AK158" i="2" a="1"/>
  <c r="AK158" i="2" s="1"/>
  <c r="AK159" i="2" a="1"/>
  <c r="AK159" i="2" s="1"/>
  <c r="AK160" i="2" a="1"/>
  <c r="AK160" i="2" s="1"/>
  <c r="AK161" i="2" a="1"/>
  <c r="AK161" i="2" s="1"/>
  <c r="AK162" i="2" a="1"/>
  <c r="AK162" i="2" s="1"/>
  <c r="AK163" i="2" a="1"/>
  <c r="AK163" i="2" s="1"/>
  <c r="AK164" i="2" a="1"/>
  <c r="AK164" i="2"/>
  <c r="AK165" i="2" a="1"/>
  <c r="AK165" i="2" s="1"/>
  <c r="AK166" i="2" a="1"/>
  <c r="AK166" i="2" s="1"/>
  <c r="AK167" i="2" a="1"/>
  <c r="AK167" i="2"/>
  <c r="AK168" i="2" a="1"/>
  <c r="AK168" i="2" s="1"/>
  <c r="AK169" i="2" a="1"/>
  <c r="AK169" i="2" s="1"/>
  <c r="AK170" i="2" a="1"/>
  <c r="AK170" i="2"/>
  <c r="AK171" i="2" a="1"/>
  <c r="AK171" i="2" s="1"/>
  <c r="AK172" i="2" a="1"/>
  <c r="AK172" i="2" s="1"/>
  <c r="AK173" i="2" a="1"/>
  <c r="AK173" i="2" s="1"/>
  <c r="AK174" i="2" a="1"/>
  <c r="AK174" i="2" s="1"/>
  <c r="AK175" i="2" a="1"/>
  <c r="AK175" i="2" s="1"/>
  <c r="AK176" i="2" a="1"/>
  <c r="AK176" i="2" s="1"/>
  <c r="AK177" i="2" a="1"/>
  <c r="AK177" i="2" s="1"/>
  <c r="AK178" i="2" a="1"/>
  <c r="AK178" i="2" s="1"/>
  <c r="AK179" i="2" a="1"/>
  <c r="AK179" i="2" s="1"/>
  <c r="AK180" i="2" a="1"/>
  <c r="AK180" i="2" s="1"/>
  <c r="AK181" i="2" a="1"/>
  <c r="AK181" i="2" s="1"/>
  <c r="AK182" i="2" a="1"/>
  <c r="AK182" i="2" s="1"/>
  <c r="AK183" i="2" a="1"/>
  <c r="AK183" i="2" s="1"/>
  <c r="AK184" i="2" a="1"/>
  <c r="AK184" i="2" s="1"/>
  <c r="AK185" i="2" a="1"/>
  <c r="AK185" i="2" s="1"/>
  <c r="AK186" i="2" a="1"/>
  <c r="AK186" i="2" s="1"/>
  <c r="AK187" i="2" a="1"/>
  <c r="AK187" i="2" s="1"/>
  <c r="AK188" i="2" a="1"/>
  <c r="AK188" i="2" s="1"/>
  <c r="AK189" i="2" a="1"/>
  <c r="AK189" i="2" s="1"/>
  <c r="AK190" i="2" a="1"/>
  <c r="AK190" i="2" s="1"/>
  <c r="AK191" i="2" a="1"/>
  <c r="AK191" i="2" s="1"/>
  <c r="AK192" i="2" a="1"/>
  <c r="AK192" i="2" s="1"/>
  <c r="AK193" i="2" a="1"/>
  <c r="AK193" i="2"/>
  <c r="AK194" i="2" a="1"/>
  <c r="AK194" i="2"/>
  <c r="AK195" i="2" a="1"/>
  <c r="AK195" i="2" s="1"/>
  <c r="AK196" i="2" a="1"/>
  <c r="AK196" i="2" s="1"/>
  <c r="AK197" i="2" a="1"/>
  <c r="AK197" i="2" s="1"/>
  <c r="AK198" i="2" a="1"/>
  <c r="AK198" i="2"/>
  <c r="AK199" i="2" a="1"/>
  <c r="AK199" i="2" s="1"/>
  <c r="AK200" i="2" a="1"/>
  <c r="AK200" i="2" s="1"/>
  <c r="AK201" i="2" a="1"/>
  <c r="AK201" i="2" s="1"/>
  <c r="AK202" i="2" a="1"/>
  <c r="AK202" i="2" s="1"/>
  <c r="AK203" i="2" a="1"/>
  <c r="AK203" i="2" s="1"/>
  <c r="AK204" i="2" a="1"/>
  <c r="AK204" i="2" s="1"/>
  <c r="AK205" i="2" a="1"/>
  <c r="AK205" i="2" s="1"/>
  <c r="AK206" i="2" a="1"/>
  <c r="AK206" i="2" s="1"/>
  <c r="AK207" i="2" a="1"/>
  <c r="AK207" i="2" s="1"/>
  <c r="AK208" i="2" a="1"/>
  <c r="AK208" i="2" s="1"/>
  <c r="AK209" i="2" a="1"/>
  <c r="AK209" i="2" s="1"/>
  <c r="AK210" i="2" a="1"/>
  <c r="AK210" i="2" s="1"/>
  <c r="AK211" i="2" a="1"/>
  <c r="AK211" i="2" s="1"/>
  <c r="AK212" i="2" a="1"/>
  <c r="AK212" i="2"/>
  <c r="AK213" i="2" a="1"/>
  <c r="AK213" i="2" s="1"/>
  <c r="AK214" i="2" a="1"/>
  <c r="AK214" i="2" s="1"/>
  <c r="AK215" i="2" a="1"/>
  <c r="AK215" i="2" s="1"/>
  <c r="AK216" i="2" a="1"/>
  <c r="AK216" i="2" s="1"/>
  <c r="AK217" i="2" a="1"/>
  <c r="AK217" i="2" s="1"/>
  <c r="AK218" i="2" a="1"/>
  <c r="AK218" i="2" s="1"/>
  <c r="AK219" i="2" a="1"/>
  <c r="AK219" i="2" s="1"/>
  <c r="AK220" i="2" a="1"/>
  <c r="AK220" i="2" s="1"/>
  <c r="AK221" i="2" a="1"/>
  <c r="AK221" i="2"/>
  <c r="AK222" i="2" a="1"/>
  <c r="AK222" i="2"/>
  <c r="AK223" i="2" a="1"/>
  <c r="AK223" i="2" s="1"/>
  <c r="AK224" i="2" a="1"/>
  <c r="AK224" i="2" s="1"/>
  <c r="AK225" i="2" a="1"/>
  <c r="AK225" i="2" s="1"/>
  <c r="AK226" i="2" a="1"/>
  <c r="AK226" i="2" s="1"/>
  <c r="AK227" i="2" a="1"/>
  <c r="AK227" i="2" s="1"/>
  <c r="AK228" i="2" a="1"/>
  <c r="AK228" i="2" s="1"/>
  <c r="AK229" i="2" a="1"/>
  <c r="AK229" i="2" s="1"/>
  <c r="AK230" i="2" a="1"/>
  <c r="AK230" i="2"/>
  <c r="AK231" i="2" a="1"/>
  <c r="AK231" i="2" s="1"/>
  <c r="AK232" i="2" a="1"/>
  <c r="AK232" i="2" s="1"/>
  <c r="AK233" i="2" a="1"/>
  <c r="AK233" i="2" s="1"/>
  <c r="AK234" i="2" a="1"/>
  <c r="AK234" i="2" s="1"/>
  <c r="AK235" i="2" a="1"/>
  <c r="AK235" i="2" s="1"/>
  <c r="AK236" i="2" a="1"/>
  <c r="AK236" i="2" s="1"/>
  <c r="AK237" i="2" a="1"/>
  <c r="AK237" i="2" s="1"/>
  <c r="AK238" i="2" a="1"/>
  <c r="AK238" i="2" s="1"/>
  <c r="AK239" i="2" a="1"/>
  <c r="AK239" i="2" s="1"/>
  <c r="AK240" i="2" a="1"/>
  <c r="AK240" i="2" s="1"/>
  <c r="AK241" i="2" a="1"/>
  <c r="AK241" i="2" s="1"/>
  <c r="AK242" i="2" a="1"/>
  <c r="AK242" i="2" s="1"/>
  <c r="AK243" i="2" a="1"/>
  <c r="AK243" i="2" s="1"/>
  <c r="AK244" i="2" a="1"/>
  <c r="AK244" i="2" s="1"/>
  <c r="AK245" i="2" a="1"/>
  <c r="AK245" i="2" s="1"/>
  <c r="AK246" i="2" a="1"/>
  <c r="AK246" i="2" s="1"/>
  <c r="AK247" i="2" a="1"/>
  <c r="AK247" i="2" s="1"/>
  <c r="AK248" i="2" a="1"/>
  <c r="AK248" i="2" s="1"/>
  <c r="AK249" i="2" a="1"/>
  <c r="AK249" i="2" s="1"/>
  <c r="AK250" i="2" a="1"/>
  <c r="AK250" i="2" s="1"/>
  <c r="AK251" i="2" a="1"/>
  <c r="AK251" i="2" s="1"/>
  <c r="AK252" i="2" a="1"/>
  <c r="AK252" i="2"/>
  <c r="AK253" i="2" a="1"/>
  <c r="AK253" i="2" s="1"/>
  <c r="AK254" i="2" a="1"/>
  <c r="AK254" i="2" s="1"/>
  <c r="AK255" i="2" a="1"/>
  <c r="AK255" i="2" s="1"/>
  <c r="AK256" i="2" a="1"/>
  <c r="AK256" i="2" s="1"/>
  <c r="AK257" i="2" a="1"/>
  <c r="AK257" i="2"/>
  <c r="AK258" i="2" a="1"/>
  <c r="AK258" i="2" s="1"/>
  <c r="AK259" i="2" a="1"/>
  <c r="AK259" i="2" s="1"/>
  <c r="AK260" i="2" a="1"/>
  <c r="AK260" i="2" s="1"/>
  <c r="AK261" i="2" a="1"/>
  <c r="AK261" i="2" s="1"/>
  <c r="AK262" i="2" a="1"/>
  <c r="AK262" i="2" s="1"/>
  <c r="AK263" i="2" a="1"/>
  <c r="AK263" i="2" s="1"/>
  <c r="AK264" i="2" a="1"/>
  <c r="AK264" i="2" s="1"/>
  <c r="AK265" i="2" a="1"/>
  <c r="AK265" i="2" s="1"/>
  <c r="AK266" i="2" a="1"/>
  <c r="AK266" i="2" s="1"/>
  <c r="AK267" i="2" a="1"/>
  <c r="AK267" i="2" s="1"/>
  <c r="AK268" i="2" a="1"/>
  <c r="AK268" i="2" s="1"/>
  <c r="AK269" i="2" a="1"/>
  <c r="AK269" i="2" s="1"/>
  <c r="AK270" i="2" a="1"/>
  <c r="AK270" i="2"/>
  <c r="AK271" i="2" a="1"/>
  <c r="AK271" i="2" s="1"/>
  <c r="AK272" i="2" a="1"/>
  <c r="AK272" i="2"/>
  <c r="AK273" i="2" a="1"/>
  <c r="AK273" i="2" s="1"/>
  <c r="AK274" i="2" a="1"/>
  <c r="AK274" i="2" s="1"/>
  <c r="AK275" i="2" a="1"/>
  <c r="AK275" i="2" s="1"/>
  <c r="AK276" i="2" a="1"/>
  <c r="AK276" i="2" s="1"/>
  <c r="AK277" i="2" a="1"/>
  <c r="AK277" i="2" s="1"/>
  <c r="AK278" i="2" a="1"/>
  <c r="AK278" i="2" s="1"/>
  <c r="AK279" i="2" a="1"/>
  <c r="AK279" i="2" s="1"/>
  <c r="AK280" i="2" a="1"/>
  <c r="AK280" i="2" s="1"/>
  <c r="AK281" i="2" a="1"/>
  <c r="AK281" i="2"/>
  <c r="AK282" i="2" a="1"/>
  <c r="AK282" i="2" s="1"/>
  <c r="AK283" i="2" a="1"/>
  <c r="AK283" i="2" s="1"/>
  <c r="AK284" i="2" a="1"/>
  <c r="AK284" i="2" s="1"/>
  <c r="AK285" i="2" a="1"/>
  <c r="AK285" i="2" s="1"/>
  <c r="AK286" i="2" a="1"/>
  <c r="AK286" i="2" s="1"/>
  <c r="AK287" i="2" a="1"/>
  <c r="AK287" i="2" s="1"/>
  <c r="AK288" i="2" a="1"/>
  <c r="AK288" i="2" s="1"/>
  <c r="AK289" i="2" a="1"/>
  <c r="AK289" i="2" s="1"/>
  <c r="AK290" i="2" a="1"/>
  <c r="AK290" i="2" s="1"/>
  <c r="AK291" i="2" a="1"/>
  <c r="AK291" i="2" s="1"/>
  <c r="AK292" i="2" a="1"/>
  <c r="AK292" i="2" s="1"/>
  <c r="AK293" i="2" a="1"/>
  <c r="AK293" i="2" s="1"/>
  <c r="AK294" i="2" a="1"/>
  <c r="AK294" i="2" s="1"/>
  <c r="AK295" i="2" a="1"/>
  <c r="AK295" i="2" s="1"/>
  <c r="AK296" i="2" a="1"/>
  <c r="AK296" i="2" s="1"/>
  <c r="AK297" i="2" a="1"/>
  <c r="AK297" i="2" s="1"/>
  <c r="AK298" i="2" a="1"/>
  <c r="AK298" i="2" s="1"/>
  <c r="AK299" i="2" a="1"/>
  <c r="AK299" i="2" s="1"/>
  <c r="AK300" i="2" a="1"/>
  <c r="AK300" i="2" s="1"/>
  <c r="AK301" i="2" a="1"/>
  <c r="AK301" i="2"/>
  <c r="AK302" i="2" a="1"/>
  <c r="AK302" i="2"/>
  <c r="AK303" i="2" a="1"/>
  <c r="AK303" i="2" s="1"/>
  <c r="AK304" i="2" a="1"/>
  <c r="AK304" i="2" s="1"/>
  <c r="AK305" i="2" a="1"/>
  <c r="AK305" i="2" s="1"/>
  <c r="AK306" i="2" a="1"/>
  <c r="AK306" i="2"/>
  <c r="AK307" i="2" a="1"/>
  <c r="AK307" i="2" s="1"/>
  <c r="AK308" i="2" a="1"/>
  <c r="AK308" i="2" s="1"/>
  <c r="AK309" i="2" a="1"/>
  <c r="AK309" i="2" s="1"/>
  <c r="AK310" i="2" a="1"/>
  <c r="AK310" i="2" s="1"/>
  <c r="AK311" i="2" a="1"/>
  <c r="AK311" i="2" s="1"/>
  <c r="AK312" i="2" a="1"/>
  <c r="AK312" i="2" s="1"/>
  <c r="AK313" i="2" a="1"/>
  <c r="AK313" i="2" s="1"/>
  <c r="AK314" i="2" a="1"/>
  <c r="AK314" i="2" s="1"/>
  <c r="AK315" i="2" a="1"/>
  <c r="AK315" i="2" s="1"/>
  <c r="AK316" i="2" a="1"/>
  <c r="AK316" i="2" s="1"/>
  <c r="AK317" i="2" a="1"/>
  <c r="AK317" i="2" s="1"/>
  <c r="AK318" i="2" a="1"/>
  <c r="AK318" i="2" s="1"/>
  <c r="AK319" i="2" a="1"/>
  <c r="AK319" i="2" s="1"/>
  <c r="AK320" i="2" a="1"/>
  <c r="AK320" i="2"/>
  <c r="AK321" i="2" a="1"/>
  <c r="AK321" i="2" s="1"/>
  <c r="AK322" i="2" a="1"/>
  <c r="AK322" i="2" s="1"/>
  <c r="AK323" i="2" a="1"/>
  <c r="AK323" i="2" s="1"/>
  <c r="AK324" i="2" a="1"/>
  <c r="AK324" i="2" s="1"/>
  <c r="AK325" i="2" a="1"/>
  <c r="AK325" i="2" s="1"/>
  <c r="AK326" i="2" a="1"/>
  <c r="AK326" i="2" s="1"/>
  <c r="AK327" i="2" a="1"/>
  <c r="AK327" i="2" s="1"/>
  <c r="AK328" i="2" a="1"/>
  <c r="AK328" i="2" s="1"/>
  <c r="AK329" i="2" a="1"/>
  <c r="AK329" i="2"/>
  <c r="AK330" i="2" a="1"/>
  <c r="AK330" i="2"/>
  <c r="AK331" i="2" a="1"/>
  <c r="AK331" i="2" s="1"/>
  <c r="AK332" i="2" a="1"/>
  <c r="AK332" i="2" s="1"/>
  <c r="AK333" i="2" a="1"/>
  <c r="AK333" i="2" s="1"/>
  <c r="AK334" i="2" a="1"/>
  <c r="AK334" i="2" s="1"/>
  <c r="AK335" i="2" a="1"/>
  <c r="AK335" i="2" s="1"/>
  <c r="AK336" i="2" a="1"/>
  <c r="AK336" i="2" s="1"/>
  <c r="AK337" i="2" a="1"/>
  <c r="AK337" i="2" s="1"/>
  <c r="AK338" i="2" a="1"/>
  <c r="AK338" i="2"/>
  <c r="AK339" i="2" a="1"/>
  <c r="AK339" i="2" s="1"/>
  <c r="AK340" i="2" a="1"/>
  <c r="AK340" i="2" s="1"/>
  <c r="AK341" i="2" a="1"/>
  <c r="AK341" i="2" s="1"/>
  <c r="AK342" i="2" a="1"/>
  <c r="AK342" i="2" s="1"/>
  <c r="AK343" i="2" a="1"/>
  <c r="AK343" i="2" s="1"/>
  <c r="AK344" i="2" a="1"/>
  <c r="AK344" i="2" s="1"/>
  <c r="AK345" i="2" a="1"/>
  <c r="AK345" i="2" s="1"/>
  <c r="AK346" i="2" a="1"/>
  <c r="AK346" i="2" s="1"/>
  <c r="AK347" i="2" a="1"/>
  <c r="AK347" i="2" s="1"/>
  <c r="AK348" i="2" a="1"/>
  <c r="AK348" i="2" s="1"/>
  <c r="AK349" i="2" a="1"/>
  <c r="AK349" i="2" s="1"/>
  <c r="AK350" i="2" a="1"/>
  <c r="AK350" i="2" s="1"/>
  <c r="AK351" i="2" a="1"/>
  <c r="AK351" i="2" s="1"/>
  <c r="AK352" i="2" a="1"/>
  <c r="AK352" i="2" s="1"/>
  <c r="AK353" i="2" a="1"/>
  <c r="AK353" i="2" s="1"/>
  <c r="AK354" i="2" a="1"/>
  <c r="AK354" i="2" s="1"/>
  <c r="AK355" i="2" a="1"/>
  <c r="AK355" i="2" s="1"/>
  <c r="AK356" i="2" a="1"/>
  <c r="AK356" i="2" s="1"/>
  <c r="AK357" i="2" a="1"/>
  <c r="AK357" i="2" s="1"/>
  <c r="AK358" i="2" a="1"/>
  <c r="AK358" i="2" s="1"/>
  <c r="AK359" i="2" a="1"/>
  <c r="AK359" i="2" s="1"/>
  <c r="AK360" i="2" a="1"/>
  <c r="AK360" i="2"/>
  <c r="AK361" i="2" a="1"/>
  <c r="AK361" i="2" s="1"/>
  <c r="AK362" i="2" a="1"/>
  <c r="AK362" i="2" s="1"/>
  <c r="AK363" i="2" a="1"/>
  <c r="AK363" i="2" s="1"/>
  <c r="AK364" i="2" a="1"/>
  <c r="AK364" i="2" s="1"/>
  <c r="AK365" i="2" a="1"/>
  <c r="AK365" i="2"/>
  <c r="AK366" i="2" a="1"/>
  <c r="AK366" i="2" s="1"/>
  <c r="AK367" i="2" a="1"/>
  <c r="AK367" i="2" s="1"/>
  <c r="AK368" i="2" a="1"/>
  <c r="AK368" i="2" s="1"/>
  <c r="AK369" i="2" a="1"/>
  <c r="AK369" i="2" s="1"/>
  <c r="AK370" i="2" a="1"/>
  <c r="AK370" i="2" s="1"/>
  <c r="AK371" i="2" a="1"/>
  <c r="AK371" i="2" s="1"/>
  <c r="AK372" i="2" a="1"/>
  <c r="AK372" i="2" s="1"/>
  <c r="AK373" i="2" a="1"/>
  <c r="AK373" i="2" s="1"/>
  <c r="AK374" i="2" a="1"/>
  <c r="AK374" i="2"/>
  <c r="AK375" i="2" a="1"/>
  <c r="AK375" i="2" s="1"/>
  <c r="AK376" i="2" a="1"/>
  <c r="AK376" i="2" s="1"/>
  <c r="AK377" i="2" a="1"/>
  <c r="AK377" i="2" s="1"/>
  <c r="AK378" i="2" a="1"/>
  <c r="AK378" i="2"/>
  <c r="AK379" i="2" a="1"/>
  <c r="AK379" i="2"/>
  <c r="AK380" i="2" a="1"/>
  <c r="AK380" i="2"/>
  <c r="AK381" i="2" a="1"/>
  <c r="AK381" i="2" s="1"/>
  <c r="AK382" i="2" a="1"/>
  <c r="AK382" i="2" s="1"/>
  <c r="AK383" i="2" a="1"/>
  <c r="AK383" i="2" s="1"/>
  <c r="AK384" i="2" a="1"/>
  <c r="AK384" i="2" s="1"/>
  <c r="AK385" i="2" a="1"/>
  <c r="AK385" i="2" s="1"/>
  <c r="AK386" i="2" a="1"/>
  <c r="AK386" i="2"/>
  <c r="AK387" i="2" a="1"/>
  <c r="AK387" i="2" s="1"/>
  <c r="AK388" i="2" a="1"/>
  <c r="AK388" i="2" s="1"/>
  <c r="AK389" i="2" a="1"/>
  <c r="AK389" i="2"/>
  <c r="AK390" i="2" a="1"/>
  <c r="AK390" i="2" s="1"/>
  <c r="AK391" i="2" a="1"/>
  <c r="AK391" i="2" s="1"/>
  <c r="AK392" i="2" a="1"/>
  <c r="AK392" i="2" s="1"/>
  <c r="AK393" i="2" a="1"/>
  <c r="AK393" i="2" s="1"/>
  <c r="AK394" i="2" a="1"/>
  <c r="AK394" i="2" s="1"/>
  <c r="AK395" i="2" a="1"/>
  <c r="AK395" i="2"/>
  <c r="AK396" i="2" a="1"/>
  <c r="AK396" i="2" s="1"/>
  <c r="AK397" i="2" a="1"/>
  <c r="AK397" i="2" s="1"/>
  <c r="AK398" i="2" a="1"/>
  <c r="AK398" i="2" s="1"/>
  <c r="AK399" i="2" a="1"/>
  <c r="AK399" i="2" s="1"/>
  <c r="AK400" i="2" a="1"/>
  <c r="AK400" i="2" s="1"/>
  <c r="AK401" i="2" a="1"/>
  <c r="AK401" i="2" s="1"/>
  <c r="AK402" i="2" a="1"/>
  <c r="AK402" i="2" s="1"/>
  <c r="AK403" i="2" a="1"/>
  <c r="AK403" i="2" s="1"/>
  <c r="AK404" i="2" a="1"/>
  <c r="AK404" i="2" s="1"/>
  <c r="AK405" i="2" a="1"/>
  <c r="AK405" i="2" s="1"/>
  <c r="AK406" i="2" a="1"/>
  <c r="AK406" i="2" s="1"/>
  <c r="AK407" i="2" a="1"/>
  <c r="AK407" i="2" s="1"/>
  <c r="AK408" i="2" a="1"/>
  <c r="AK408" i="2" s="1"/>
  <c r="AK409" i="2" a="1"/>
  <c r="AK409" i="2"/>
  <c r="AK410" i="2" a="1"/>
  <c r="AK410" i="2" s="1"/>
  <c r="AK411" i="2" a="1"/>
  <c r="AK411" i="2" s="1"/>
  <c r="AK412" i="2" a="1"/>
  <c r="AK412" i="2" s="1"/>
  <c r="AK413" i="2" a="1"/>
  <c r="AK413" i="2" s="1"/>
  <c r="AK414" i="2" a="1"/>
  <c r="AK414" i="2"/>
  <c r="AK415" i="2" a="1"/>
  <c r="AK415" i="2" s="1"/>
  <c r="AK416" i="2" a="1"/>
  <c r="AK416" i="2" s="1"/>
  <c r="AK417" i="2" a="1"/>
  <c r="AK417" i="2" s="1"/>
  <c r="AK418" i="2" a="1"/>
  <c r="AK418" i="2" s="1"/>
  <c r="AK419" i="2" a="1"/>
  <c r="AK419" i="2" s="1"/>
  <c r="AK420" i="2" a="1"/>
  <c r="AK420" i="2" s="1"/>
  <c r="AK421" i="2" a="1"/>
  <c r="AK421" i="2" s="1"/>
  <c r="AK422" i="2" a="1"/>
  <c r="AK422" i="2" s="1"/>
  <c r="AK423" i="2" a="1"/>
  <c r="AK423" i="2" s="1"/>
  <c r="AK424" i="2" a="1"/>
  <c r="AK424" i="2" s="1"/>
  <c r="AK425" i="2" a="1"/>
  <c r="AK425" i="2" s="1"/>
  <c r="AK426" i="2" a="1"/>
  <c r="AK426" i="2" s="1"/>
  <c r="AK427" i="2" a="1"/>
  <c r="AK427" i="2" s="1"/>
  <c r="AK428" i="2" a="1"/>
  <c r="AK428" i="2"/>
  <c r="AK429" i="2" a="1"/>
  <c r="AK429" i="2" s="1"/>
  <c r="AK430" i="2" a="1"/>
  <c r="AK430" i="2" s="1"/>
  <c r="AK431" i="2" a="1"/>
  <c r="AK431" i="2" s="1"/>
  <c r="AK432" i="2" a="1"/>
  <c r="AK432" i="2" s="1"/>
  <c r="AK433" i="2" a="1"/>
  <c r="AK433" i="2" s="1"/>
  <c r="AK434" i="2" a="1"/>
  <c r="AK434" i="2" s="1"/>
  <c r="AK435" i="2" a="1"/>
  <c r="AK435" i="2" s="1"/>
  <c r="AK436" i="2" a="1"/>
  <c r="AK436" i="2" s="1"/>
  <c r="AK437" i="2" a="1"/>
  <c r="AK437" i="2"/>
  <c r="AK438" i="2" a="1"/>
  <c r="AK438" i="2"/>
  <c r="AK439" i="2" a="1"/>
  <c r="AK439" i="2" s="1"/>
  <c r="AK440" i="2" a="1"/>
  <c r="AK440" i="2" s="1"/>
  <c r="AK441" i="2" a="1"/>
  <c r="AK441" i="2" s="1"/>
  <c r="AK442" i="2" a="1"/>
  <c r="AK442" i="2" s="1"/>
  <c r="AK443" i="2" a="1"/>
  <c r="AK443" i="2" s="1"/>
  <c r="AK444" i="2" a="1"/>
  <c r="AK444" i="2" s="1"/>
  <c r="AK445" i="2" a="1"/>
  <c r="AK445" i="2" s="1"/>
  <c r="AK446" i="2" a="1"/>
  <c r="AK446" i="2"/>
  <c r="AK447" i="2" a="1"/>
  <c r="AK447" i="2" s="1"/>
  <c r="AK448" i="2" a="1"/>
  <c r="AK448" i="2" s="1"/>
  <c r="AK449" i="2" a="1"/>
  <c r="AK449" i="2" s="1"/>
  <c r="AK450" i="2" a="1"/>
  <c r="AK450" i="2" s="1"/>
  <c r="AK451" i="2" a="1"/>
  <c r="AK451" i="2" s="1"/>
  <c r="AK452" i="2" a="1"/>
  <c r="AK452" i="2" s="1"/>
  <c r="AK453" i="2" a="1"/>
  <c r="AK453" i="2" s="1"/>
  <c r="AK454" i="2" a="1"/>
  <c r="AK454" i="2" s="1"/>
  <c r="AK455" i="2" a="1"/>
  <c r="AK455" i="2" s="1"/>
  <c r="AK456" i="2" a="1"/>
  <c r="AK456" i="2" s="1"/>
  <c r="AK457" i="2" a="1"/>
  <c r="AK457" i="2" s="1"/>
  <c r="AK458" i="2" a="1"/>
  <c r="AK458" i="2" s="1"/>
  <c r="AK459" i="2" a="1"/>
  <c r="AK459" i="2" s="1"/>
  <c r="AK460" i="2" a="1"/>
  <c r="AK460" i="2" s="1"/>
  <c r="AK461" i="2" a="1"/>
  <c r="AK461" i="2" s="1"/>
  <c r="AK462" i="2" a="1"/>
  <c r="AK462" i="2" s="1"/>
  <c r="AK463" i="2" a="1"/>
  <c r="AK463" i="2" s="1"/>
  <c r="AK464" i="2" a="1"/>
  <c r="AK464" i="2" s="1"/>
  <c r="AK465" i="2" a="1"/>
  <c r="AK465" i="2" s="1"/>
  <c r="AK466" i="2" a="1"/>
  <c r="AK466" i="2" s="1"/>
  <c r="AK467" i="2" a="1"/>
  <c r="AK467" i="2" s="1"/>
  <c r="AK468" i="2" a="1"/>
  <c r="AK468" i="2"/>
  <c r="AK469" i="2" a="1"/>
  <c r="AK469" i="2" s="1"/>
  <c r="AK470" i="2" a="1"/>
  <c r="AK470" i="2" s="1"/>
  <c r="AK471" i="2" a="1"/>
  <c r="AK471" i="2" s="1"/>
  <c r="AK472" i="2" a="1"/>
  <c r="AK472" i="2" s="1"/>
  <c r="AK473" i="2" a="1"/>
  <c r="AK473" i="2"/>
  <c r="AK474" i="2" a="1"/>
  <c r="AK474" i="2" s="1"/>
  <c r="AK475" i="2" a="1"/>
  <c r="AK475" i="2" s="1"/>
  <c r="AK476" i="2" a="1"/>
  <c r="AK476" i="2" s="1"/>
  <c r="AK477" i="2" a="1"/>
  <c r="AK477" i="2" s="1"/>
  <c r="AK478" i="2" a="1"/>
  <c r="AK478" i="2" s="1"/>
  <c r="AK479" i="2" a="1"/>
  <c r="AK479" i="2" s="1"/>
  <c r="AK480" i="2" a="1"/>
  <c r="AK480" i="2" s="1"/>
  <c r="AK481" i="2" a="1"/>
  <c r="AK481" i="2" s="1"/>
  <c r="AK482" i="2" a="1"/>
  <c r="AK482" i="2" s="1"/>
  <c r="AK483" i="2" a="1"/>
  <c r="AK483" i="2" s="1"/>
  <c r="AK484" i="2" a="1"/>
  <c r="AK484" i="2" s="1"/>
  <c r="AK485" i="2" a="1"/>
  <c r="AK485" i="2" s="1"/>
  <c r="AK486" i="2" a="1"/>
  <c r="AK486" i="2" s="1"/>
  <c r="AK487" i="2" a="1"/>
  <c r="AK487" i="2"/>
  <c r="AK488" i="2" a="1"/>
  <c r="AK488" i="2"/>
  <c r="AK489" i="2" a="1"/>
  <c r="AK489" i="2" s="1"/>
  <c r="AK490" i="2" a="1"/>
  <c r="AK490" i="2" s="1"/>
  <c r="AK491" i="2" a="1"/>
  <c r="AK491" i="2" s="1"/>
  <c r="AK492" i="2" a="1"/>
  <c r="AK492" i="2" s="1"/>
  <c r="AK493" i="2" a="1"/>
  <c r="AK493" i="2" s="1"/>
  <c r="AK494" i="2" a="1"/>
  <c r="AK494" i="2" s="1"/>
  <c r="AK495" i="2" a="1"/>
  <c r="AK495" i="2" s="1"/>
  <c r="AK496" i="2" a="1"/>
  <c r="AK496" i="2" s="1"/>
  <c r="AK497" i="2" a="1"/>
  <c r="AK497" i="2"/>
  <c r="AK498" i="2" a="1"/>
  <c r="AK498" i="2" s="1"/>
  <c r="AK499" i="2" a="1"/>
  <c r="AK499" i="2" s="1"/>
  <c r="AK500" i="2" a="1"/>
  <c r="AK500" i="2" s="1"/>
  <c r="AK501" i="2" a="1"/>
  <c r="AK501" i="2" s="1"/>
  <c r="AK502" i="2" a="1"/>
  <c r="AK502" i="2" s="1"/>
  <c r="AK503" i="2" a="1"/>
  <c r="AK503" i="2"/>
  <c r="AK504" i="2" a="1"/>
  <c r="AK504" i="2" s="1"/>
  <c r="AK505" i="2" a="1"/>
  <c r="AK505" i="2" s="1"/>
  <c r="AK506" i="2" a="1"/>
  <c r="AK506" i="2" s="1"/>
  <c r="AK507" i="2" a="1"/>
  <c r="AK507" i="2" s="1"/>
  <c r="AK508" i="2" a="1"/>
  <c r="AK508" i="2" s="1"/>
  <c r="AK509" i="2" a="1"/>
  <c r="AK509" i="2" s="1"/>
  <c r="AK510" i="2" a="1"/>
  <c r="AK510" i="2" s="1"/>
  <c r="AK511" i="2" a="1"/>
  <c r="AK511" i="2" s="1"/>
  <c r="AK512" i="2" a="1"/>
  <c r="AK512" i="2" s="1"/>
  <c r="AK513" i="2" a="1"/>
  <c r="AK513" i="2" s="1"/>
  <c r="AK514" i="2" a="1"/>
  <c r="AK514" i="2" s="1"/>
  <c r="AK515" i="2" a="1"/>
  <c r="AK515" i="2" s="1"/>
  <c r="AK516" i="2" a="1"/>
  <c r="AK516" i="2" s="1"/>
  <c r="AK517" i="2" a="1"/>
  <c r="AK517" i="2"/>
  <c r="AK518" i="2" a="1"/>
  <c r="AK518" i="2" s="1"/>
  <c r="AK519" i="2" a="1"/>
  <c r="AK519" i="2" s="1"/>
  <c r="AK520" i="2" a="1"/>
  <c r="AK520" i="2" s="1"/>
  <c r="AK521" i="2" a="1"/>
  <c r="AK521" i="2" s="1"/>
  <c r="AK522" i="2" a="1"/>
  <c r="AK522" i="2" s="1"/>
  <c r="AK523" i="2" a="1"/>
  <c r="AK523" i="2" s="1"/>
  <c r="AK524" i="2" a="1"/>
  <c r="AK524" i="2" s="1"/>
  <c r="AK525" i="2" a="1"/>
  <c r="AK525" i="2" s="1"/>
  <c r="AK526" i="2" a="1"/>
  <c r="AK526" i="2" s="1"/>
  <c r="AK527" i="2" a="1"/>
  <c r="AK527" i="2" s="1"/>
  <c r="AK528" i="2" a="1"/>
  <c r="AK528" i="2" s="1"/>
  <c r="AK529" i="2" a="1"/>
  <c r="AK529" i="2" s="1"/>
  <c r="AK530" i="2" a="1"/>
  <c r="AK530" i="2" s="1"/>
  <c r="AK531" i="2" a="1"/>
  <c r="AK531" i="2" s="1"/>
  <c r="AK532" i="2" a="1"/>
  <c r="AK532" i="2" s="1"/>
  <c r="AK533" i="2" a="1"/>
  <c r="AK533" i="2" s="1"/>
  <c r="AK534" i="2" a="1"/>
  <c r="AK534" i="2"/>
  <c r="AK535" i="2" a="1"/>
  <c r="AK535" i="2" s="1"/>
  <c r="AK536" i="2" a="1"/>
  <c r="AK536" i="2" s="1"/>
  <c r="AK537" i="2" a="1"/>
  <c r="AK537" i="2" s="1"/>
  <c r="AK538" i="2" a="1"/>
  <c r="AK538" i="2" s="1"/>
  <c r="AK539" i="2" a="1"/>
  <c r="AK539" i="2"/>
  <c r="AK540" i="2" a="1"/>
  <c r="AK540" i="2" s="1"/>
  <c r="AK541" i="2" a="1"/>
  <c r="AK541" i="2" s="1"/>
  <c r="AK542" i="2" a="1"/>
  <c r="AK542" i="2" s="1"/>
  <c r="AK543" i="2" a="1"/>
  <c r="AK543" i="2" s="1"/>
  <c r="AK544" i="2" a="1"/>
  <c r="AK544" i="2" s="1"/>
  <c r="AK545" i="2" a="1"/>
  <c r="AK545" i="2" s="1"/>
  <c r="AK546" i="2" a="1"/>
  <c r="AK546" i="2" s="1"/>
  <c r="AK547" i="2" a="1"/>
  <c r="AK547" i="2"/>
  <c r="AK548" i="2" a="1"/>
  <c r="AK548" i="2" s="1"/>
  <c r="AK549" i="2" a="1"/>
  <c r="AK549" i="2" s="1"/>
  <c r="AK550" i="2" a="1"/>
  <c r="AK550" i="2" s="1"/>
  <c r="AK551" i="2" a="1"/>
  <c r="AK551" i="2" s="1"/>
  <c r="AK552" i="2" a="1"/>
  <c r="AK552" i="2" s="1"/>
  <c r="AK553" i="2" a="1"/>
  <c r="AK553" i="2"/>
  <c r="AK554" i="2" a="1"/>
  <c r="AK554" i="2" s="1"/>
  <c r="AK555" i="2" a="1"/>
  <c r="AK555" i="2" s="1"/>
  <c r="AK556" i="2" a="1"/>
  <c r="AK556" i="2" s="1"/>
  <c r="AK557" i="2" a="1"/>
  <c r="AK557" i="2" s="1"/>
  <c r="AK558" i="2" a="1"/>
  <c r="AK558" i="2" s="1"/>
  <c r="AK559" i="2" a="1"/>
  <c r="AK559" i="2" s="1"/>
  <c r="AK560" i="2" a="1"/>
  <c r="AK560" i="2" s="1"/>
  <c r="AK561" i="2" a="1"/>
  <c r="AK561" i="2" s="1"/>
  <c r="AK562" i="2" a="1"/>
  <c r="AK562" i="2" s="1"/>
  <c r="AK563" i="2" a="1"/>
  <c r="AK563" i="2" s="1"/>
  <c r="AK564" i="2" a="1"/>
  <c r="AK564" i="2" s="1"/>
  <c r="AK565" i="2" a="1"/>
  <c r="AK565" i="2" s="1"/>
  <c r="AK566" i="2" a="1"/>
  <c r="AK566" i="2" s="1"/>
  <c r="AK567" i="2" a="1"/>
  <c r="AK567" i="2" s="1"/>
  <c r="AK568" i="2" a="1"/>
  <c r="AK568" i="2" s="1"/>
  <c r="AK569" i="2" a="1"/>
  <c r="AK569" i="2" s="1"/>
  <c r="AK570" i="2" a="1"/>
  <c r="AK570" i="2"/>
  <c r="AK571" i="2" a="1"/>
  <c r="AK571" i="2" s="1"/>
  <c r="AK572" i="2" a="1"/>
  <c r="AK572" i="2" s="1"/>
  <c r="AK573" i="2" a="1"/>
  <c r="AK573" i="2" s="1"/>
  <c r="AK574" i="2" a="1"/>
  <c r="AK574" i="2" s="1"/>
  <c r="AK575" i="2" a="1"/>
  <c r="AK575" i="2"/>
  <c r="AK576" i="2" a="1"/>
  <c r="AK576" i="2" s="1"/>
  <c r="AK577" i="2" a="1"/>
  <c r="AK577" i="2" s="1"/>
  <c r="AK578" i="2" a="1"/>
  <c r="AK578" i="2" s="1"/>
  <c r="AK579" i="2" a="1"/>
  <c r="AK579" i="2" s="1"/>
  <c r="AK580" i="2" a="1"/>
  <c r="AK580" i="2" s="1"/>
  <c r="AK581" i="2" a="1"/>
  <c r="AK581" i="2" s="1"/>
  <c r="AK582" i="2" a="1"/>
  <c r="AK582" i="2" s="1"/>
  <c r="AK583" i="2" a="1"/>
  <c r="AK583" i="2"/>
  <c r="AK584" i="2" a="1"/>
  <c r="AK584" i="2" s="1"/>
  <c r="AK585" i="2" a="1"/>
  <c r="AK585" i="2" s="1"/>
  <c r="AK586" i="2" a="1"/>
  <c r="AK586" i="2" s="1"/>
  <c r="AK587" i="2" a="1"/>
  <c r="AK587" i="2" s="1"/>
  <c r="AK588" i="2" a="1"/>
  <c r="AK588" i="2" s="1"/>
  <c r="AK589" i="2" a="1"/>
  <c r="AK589" i="2"/>
  <c r="AK590" i="2" a="1"/>
  <c r="AK590" i="2" s="1"/>
  <c r="AK591" i="2" a="1"/>
  <c r="AK591" i="2" s="1"/>
  <c r="AK592" i="2" a="1"/>
  <c r="AK592" i="2" s="1"/>
  <c r="AK593" i="2" a="1"/>
  <c r="AK593" i="2" s="1"/>
  <c r="AK594" i="2" a="1"/>
  <c r="AK594" i="2" s="1"/>
  <c r="AK595" i="2" a="1"/>
  <c r="AK595" i="2" s="1"/>
  <c r="AK596" i="2" a="1"/>
  <c r="AK596" i="2" s="1"/>
  <c r="AK597" i="2" a="1"/>
  <c r="AK597" i="2" s="1"/>
  <c r="AK598" i="2" a="1"/>
  <c r="AK598" i="2" s="1"/>
  <c r="AK599" i="2" a="1"/>
  <c r="AK599" i="2" s="1"/>
  <c r="AK600" i="2" a="1"/>
  <c r="AK600" i="2" s="1"/>
  <c r="AK601" i="2" a="1"/>
  <c r="AK601" i="2" s="1"/>
  <c r="AK602" i="2" a="1"/>
  <c r="AK602" i="2" s="1"/>
  <c r="AK603" i="2" a="1"/>
  <c r="AK603" i="2" s="1"/>
  <c r="AK604" i="2" a="1"/>
  <c r="AK604" i="2" s="1"/>
  <c r="AK605" i="2" a="1"/>
  <c r="AK605" i="2" s="1"/>
  <c r="AK606" i="2" a="1"/>
  <c r="AK606" i="2"/>
  <c r="AK607" i="2" a="1"/>
  <c r="AK607" i="2" s="1"/>
  <c r="AK608" i="2" a="1"/>
  <c r="AK608" i="2" s="1"/>
  <c r="AK609" i="2" a="1"/>
  <c r="AK609" i="2" s="1"/>
  <c r="AK610" i="2" a="1"/>
  <c r="AK610" i="2" s="1"/>
  <c r="AK611" i="2" a="1"/>
  <c r="AK611" i="2"/>
  <c r="AK612" i="2" a="1"/>
  <c r="AK612" i="2" s="1"/>
  <c r="AK613" i="2" a="1"/>
  <c r="AK613" i="2" s="1"/>
  <c r="AK614" i="2" a="1"/>
  <c r="AK614" i="2" s="1"/>
  <c r="AK615" i="2" a="1"/>
  <c r="AK615" i="2" s="1"/>
  <c r="AK616" i="2" a="1"/>
  <c r="AK616" i="2" s="1"/>
  <c r="AK617" i="2" a="1"/>
  <c r="AK617" i="2" s="1"/>
  <c r="AK618" i="2" a="1"/>
  <c r="AK618" i="2" s="1"/>
  <c r="AK619" i="2" a="1"/>
  <c r="AK619" i="2"/>
  <c r="AK620" i="2" a="1"/>
  <c r="AK620" i="2" s="1"/>
  <c r="AK621" i="2" a="1"/>
  <c r="AK621" i="2" s="1"/>
  <c r="AK622" i="2" a="1"/>
  <c r="AK622" i="2" s="1"/>
  <c r="AK623" i="2" a="1"/>
  <c r="AK623" i="2" s="1"/>
  <c r="AK624" i="2" a="1"/>
  <c r="AK624" i="2" s="1"/>
  <c r="AK625" i="2" a="1"/>
  <c r="AK625" i="2"/>
  <c r="AK626" i="2" a="1"/>
  <c r="AK626" i="2" s="1"/>
  <c r="AK627" i="2" a="1"/>
  <c r="AK627" i="2" s="1"/>
  <c r="AK628" i="2" a="1"/>
  <c r="AK628" i="2" s="1"/>
  <c r="AK629" i="2" a="1"/>
  <c r="AK629" i="2" s="1"/>
  <c r="AK630" i="2" a="1"/>
  <c r="AK630" i="2" s="1"/>
  <c r="AK631" i="2" a="1"/>
  <c r="AK631" i="2" s="1"/>
  <c r="AK632" i="2" a="1"/>
  <c r="AK632" i="2" s="1"/>
  <c r="AK633" i="2" a="1"/>
  <c r="AK633" i="2" s="1"/>
  <c r="AK634" i="2" a="1"/>
  <c r="AK634" i="2" s="1"/>
  <c r="AK635" i="2" a="1"/>
  <c r="AK635" i="2" s="1"/>
  <c r="AK636" i="2" a="1"/>
  <c r="AK636" i="2" s="1"/>
  <c r="AK637" i="2" a="1"/>
  <c r="AK637" i="2" s="1"/>
  <c r="AK638" i="2" a="1"/>
  <c r="AK638" i="2" s="1"/>
  <c r="AK639" i="2" a="1"/>
  <c r="AK639" i="2" s="1"/>
  <c r="AK640" i="2" a="1"/>
  <c r="AK640" i="2" s="1"/>
  <c r="AK641" i="2" a="1"/>
  <c r="AK641" i="2" s="1"/>
  <c r="AK642" i="2" a="1"/>
  <c r="AK642" i="2"/>
  <c r="AK643" i="2" a="1"/>
  <c r="AK643" i="2" s="1"/>
  <c r="AK644" i="2" a="1"/>
  <c r="AK644" i="2" s="1"/>
  <c r="AK645" i="2" a="1"/>
  <c r="AK645" i="2" s="1"/>
  <c r="AK646" i="2" a="1"/>
  <c r="AK646" i="2" s="1"/>
  <c r="AK647" i="2" a="1"/>
  <c r="AK647" i="2"/>
  <c r="AK648" i="2" a="1"/>
  <c r="AK648" i="2" s="1"/>
  <c r="AK649" i="2" a="1"/>
  <c r="AK649" i="2" s="1"/>
  <c r="AK650" i="2" a="1"/>
  <c r="AK650" i="2" s="1"/>
  <c r="AK651" i="2" a="1"/>
  <c r="AK651" i="2" s="1"/>
  <c r="AK652" i="2" a="1"/>
  <c r="AK652" i="2" s="1"/>
  <c r="AK653" i="2" a="1"/>
  <c r="AK653" i="2" s="1"/>
  <c r="AK654" i="2" a="1"/>
  <c r="AK654" i="2" s="1"/>
  <c r="AK655" i="2" a="1"/>
  <c r="AK655" i="2" s="1"/>
  <c r="AK656" i="2" a="1"/>
  <c r="AK656" i="2" s="1"/>
  <c r="AK657" i="2" a="1"/>
  <c r="AK657" i="2" s="1"/>
  <c r="AK658" i="2" a="1"/>
  <c r="AK658" i="2" s="1"/>
  <c r="AK659" i="2" a="1"/>
  <c r="AK659" i="2" s="1"/>
  <c r="AK660" i="2" a="1"/>
  <c r="AK660" i="2" s="1"/>
  <c r="AK661" i="2" a="1"/>
  <c r="AK661" i="2" s="1"/>
  <c r="AK662" i="2" a="1"/>
  <c r="AK662" i="2" s="1"/>
  <c r="AK663" i="2" a="1"/>
  <c r="AK663" i="2" s="1"/>
  <c r="AK664" i="2" a="1"/>
  <c r="AK664" i="2" s="1"/>
  <c r="AK665" i="2" a="1"/>
  <c r="AK665" i="2" s="1"/>
  <c r="AK666" i="2" a="1"/>
  <c r="AK666" i="2" s="1"/>
  <c r="AK667" i="2" a="1"/>
  <c r="AK667" i="2" s="1"/>
  <c r="AK668" i="2" a="1"/>
  <c r="AK668" i="2" s="1"/>
  <c r="AK669" i="2" a="1"/>
  <c r="AK669" i="2" s="1"/>
  <c r="AK670" i="2" a="1"/>
  <c r="AK670" i="2" s="1"/>
  <c r="AK671" i="2" a="1"/>
  <c r="AK671" i="2" s="1"/>
  <c r="AK672" i="2" a="1"/>
  <c r="AK672" i="2"/>
  <c r="AK673" i="2" a="1"/>
  <c r="AK673" i="2" s="1"/>
  <c r="AK674" i="2" a="1"/>
  <c r="AK674" i="2" s="1"/>
  <c r="AK675" i="2" a="1"/>
  <c r="AK675" i="2" s="1"/>
  <c r="AK676" i="2" a="1"/>
  <c r="AK676" i="2" s="1"/>
  <c r="AK677" i="2" a="1"/>
  <c r="AK677" i="2"/>
  <c r="AK678" i="2" a="1"/>
  <c r="AK678" i="2"/>
  <c r="AK679" i="2" a="1"/>
  <c r="AK679" i="2"/>
  <c r="AK680" i="2" a="1"/>
  <c r="AK680" i="2" s="1"/>
  <c r="AK681" i="2" a="1"/>
  <c r="AK681" i="2" s="1"/>
  <c r="AK682" i="2" a="1"/>
  <c r="AK682" i="2" s="1"/>
  <c r="AK683" i="2" a="1"/>
  <c r="AK683" i="2" s="1"/>
  <c r="AK684" i="2" a="1"/>
  <c r="AK684" i="2" s="1"/>
  <c r="AK685" i="2" a="1"/>
  <c r="AK685" i="2" s="1"/>
  <c r="AK686" i="2" a="1"/>
  <c r="AK686" i="2" s="1"/>
  <c r="AK687" i="2" a="1"/>
  <c r="AK687" i="2" s="1"/>
  <c r="AK688" i="2" a="1"/>
  <c r="AK688" i="2" s="1"/>
  <c r="AK689" i="2" a="1"/>
  <c r="AK689" i="2" s="1"/>
  <c r="AK690" i="2" a="1"/>
  <c r="AK690" i="2" s="1"/>
  <c r="AK691" i="2" a="1"/>
  <c r="AK691" i="2" s="1"/>
  <c r="AK692" i="2" a="1"/>
  <c r="AK692" i="2" s="1"/>
  <c r="AK693" i="2" a="1"/>
  <c r="AK693" i="2" s="1"/>
  <c r="AK694" i="2" a="1"/>
  <c r="AK694" i="2" s="1"/>
  <c r="AK695" i="2" a="1"/>
  <c r="AK695" i="2" s="1"/>
  <c r="AK696" i="2" a="1"/>
  <c r="AK696" i="2" s="1"/>
  <c r="AK697" i="2" a="1"/>
  <c r="AK697" i="2" s="1"/>
  <c r="AK698" i="2" a="1"/>
  <c r="AK698" i="2" s="1"/>
  <c r="AK699" i="2" a="1"/>
  <c r="AK699" i="2" s="1"/>
  <c r="AK700" i="2" a="1"/>
  <c r="AK700" i="2" s="1"/>
  <c r="AK701" i="2" a="1"/>
  <c r="AK701" i="2" s="1"/>
  <c r="AK702" i="2" a="1"/>
  <c r="AK702" i="2" s="1"/>
  <c r="AK703" i="2" a="1"/>
  <c r="AK703" i="2" s="1"/>
  <c r="AK704" i="2" a="1"/>
  <c r="AK704" i="2" s="1"/>
  <c r="AK705" i="2" a="1"/>
  <c r="AK705" i="2" s="1"/>
  <c r="AK706" i="2" a="1"/>
  <c r="AK706" i="2" s="1"/>
  <c r="AK707" i="2" a="1"/>
  <c r="AK707" i="2"/>
  <c r="AK708" i="2" a="1"/>
  <c r="AK708" i="2" s="1"/>
  <c r="AK709" i="2" a="1"/>
  <c r="AK709" i="2" s="1"/>
  <c r="AK710" i="2" a="1"/>
  <c r="AK710" i="2" s="1"/>
  <c r="AK711" i="2" a="1"/>
  <c r="AK711" i="2" s="1"/>
  <c r="AK712" i="2" a="1"/>
  <c r="AK712" i="2" s="1"/>
  <c r="AK713" i="2" a="1"/>
  <c r="AK713" i="2"/>
  <c r="AK714" i="2" a="1"/>
  <c r="AK714" i="2" s="1"/>
  <c r="AK715" i="2" a="1"/>
  <c r="AK715" i="2"/>
  <c r="AK716" i="2" a="1"/>
  <c r="AK716" i="2" s="1"/>
  <c r="AK717" i="2" a="1"/>
  <c r="AK717" i="2" s="1"/>
  <c r="AK718" i="2" a="1"/>
  <c r="AK718" i="2" s="1"/>
  <c r="AK719" i="2" a="1"/>
  <c r="AK719" i="2" s="1"/>
  <c r="AK720" i="2" a="1"/>
  <c r="AK720" i="2" s="1"/>
  <c r="AK721" i="2" a="1"/>
  <c r="AK721" i="2" s="1"/>
  <c r="AK722" i="2" a="1"/>
  <c r="AK722" i="2" s="1"/>
  <c r="AK723" i="2" a="1"/>
  <c r="AK723" i="2" s="1"/>
  <c r="AK724" i="2" a="1"/>
  <c r="AK724" i="2" s="1"/>
  <c r="AK725" i="2" a="1"/>
  <c r="AK725" i="2" s="1"/>
  <c r="AK726" i="2" a="1"/>
  <c r="AK726" i="2" s="1"/>
  <c r="AK727" i="2" a="1"/>
  <c r="AK727" i="2" s="1"/>
  <c r="AK728" i="2" a="1"/>
  <c r="AK728" i="2" s="1"/>
  <c r="AK729" i="2" a="1"/>
  <c r="AK729" i="2" s="1"/>
  <c r="AK730" i="2" a="1"/>
  <c r="AK730" i="2" s="1"/>
  <c r="AK731" i="2" a="1"/>
  <c r="AK731" i="2" s="1"/>
  <c r="AK732" i="2" a="1"/>
  <c r="AK732" i="2" s="1"/>
  <c r="AK733" i="2" a="1"/>
  <c r="AK733" i="2" s="1"/>
  <c r="AK734" i="2" a="1"/>
  <c r="AK734" i="2" s="1"/>
  <c r="AK735" i="2" a="1"/>
  <c r="AK735" i="2" s="1"/>
  <c r="AK736" i="2" a="1"/>
  <c r="AK736" i="2" s="1"/>
  <c r="AK737" i="2" a="1"/>
  <c r="AK737" i="2" s="1"/>
  <c r="AK738" i="2" a="1"/>
  <c r="AK738" i="2"/>
  <c r="AK739" i="2" a="1"/>
  <c r="AK739" i="2" s="1"/>
  <c r="AK740" i="2" a="1"/>
  <c r="AK740" i="2" s="1"/>
  <c r="AK741" i="2" a="1"/>
  <c r="AK741" i="2" s="1"/>
  <c r="AK742" i="2" a="1"/>
  <c r="AK742" i="2" s="1"/>
  <c r="AK743" i="2" a="1"/>
  <c r="AK743" i="2" s="1"/>
  <c r="AK744" i="2" a="1"/>
  <c r="AK744" i="2" s="1"/>
  <c r="AK745" i="2" a="1"/>
  <c r="AK745" i="2" s="1"/>
  <c r="AK746" i="2" a="1"/>
  <c r="AK746" i="2" s="1"/>
  <c r="AK747" i="2" a="1"/>
  <c r="AK747" i="2"/>
  <c r="AK748" i="2" a="1"/>
  <c r="AK748" i="2"/>
  <c r="AK749" i="2" a="1"/>
  <c r="AK749" i="2" s="1"/>
  <c r="AK750" i="2" a="1"/>
  <c r="AK750" i="2" s="1"/>
  <c r="AK751" i="2" a="1"/>
  <c r="AK751" i="2" s="1"/>
  <c r="AK752" i="2" a="1"/>
  <c r="AK752" i="2" s="1"/>
  <c r="AK753" i="2" a="1"/>
  <c r="AK753" i="2" s="1"/>
  <c r="AK754" i="2" a="1"/>
  <c r="AK754" i="2" s="1"/>
  <c r="AK755" i="2" a="1"/>
  <c r="AK755" i="2"/>
  <c r="AK756" i="2" a="1"/>
  <c r="AK756" i="2" s="1"/>
  <c r="AK757" i="2" a="1"/>
  <c r="AK757" i="2" s="1"/>
  <c r="AK758" i="2" a="1"/>
  <c r="AK758" i="2" s="1"/>
  <c r="AK759" i="2" a="1"/>
  <c r="AK759" i="2" s="1"/>
  <c r="AK760" i="2" a="1"/>
  <c r="AK760" i="2"/>
  <c r="AK761" i="2" a="1"/>
  <c r="AK761" i="2" s="1"/>
  <c r="AK762" i="2" a="1"/>
  <c r="AK762" i="2" s="1"/>
  <c r="AK763" i="2" a="1"/>
  <c r="AK763" i="2" s="1"/>
  <c r="AK764" i="2" a="1"/>
  <c r="AK764" i="2" s="1"/>
  <c r="AK765" i="2" a="1"/>
  <c r="AK765" i="2" s="1"/>
  <c r="AK766" i="2" a="1"/>
  <c r="AK766" i="2" s="1"/>
  <c r="AK767" i="2" a="1"/>
  <c r="AK767" i="2"/>
  <c r="AK768" i="2" a="1"/>
  <c r="AK768" i="2"/>
  <c r="AK769" i="2" a="1"/>
  <c r="AK769" i="2" s="1"/>
  <c r="AK770" i="2" a="1"/>
  <c r="AK770" i="2" s="1"/>
  <c r="AK771" i="2" a="1"/>
  <c r="AK771" i="2" s="1"/>
  <c r="AK772" i="2" a="1"/>
  <c r="AK772" i="2" s="1"/>
  <c r="AK773" i="2" a="1"/>
  <c r="AK773" i="2" s="1"/>
  <c r="AK774" i="2" a="1"/>
  <c r="AK774" i="2"/>
  <c r="AK775" i="2" a="1"/>
  <c r="AK775" i="2" s="1"/>
  <c r="AK776" i="2" a="1"/>
  <c r="AK776" i="2" s="1"/>
  <c r="AK777" i="2" a="1"/>
  <c r="AK777" i="2" s="1"/>
  <c r="AK778" i="2" a="1"/>
  <c r="AK778" i="2" s="1"/>
  <c r="AK779" i="2" a="1"/>
  <c r="AK779" i="2" s="1"/>
  <c r="AK780" i="2" a="1"/>
  <c r="AK780" i="2" s="1"/>
  <c r="AK781" i="2" a="1"/>
  <c r="AK781" i="2" s="1"/>
  <c r="AK782" i="2" a="1"/>
  <c r="AK782" i="2" s="1"/>
  <c r="AK783" i="2" a="1"/>
  <c r="AK783" i="2" s="1"/>
  <c r="AK784" i="2" a="1"/>
  <c r="AK784" i="2"/>
  <c r="AK785" i="2" a="1"/>
  <c r="AK785" i="2" s="1"/>
  <c r="AK786" i="2" a="1"/>
  <c r="AK786" i="2" s="1"/>
  <c r="AK787" i="2" a="1"/>
  <c r="AK787" i="2" s="1"/>
  <c r="AK788" i="2" a="1"/>
  <c r="AK788" i="2" s="1"/>
  <c r="AK789" i="2" a="1"/>
  <c r="AK789" i="2" s="1"/>
  <c r="AK790" i="2" a="1"/>
  <c r="AK790" i="2" s="1"/>
  <c r="AK791" i="2" a="1"/>
  <c r="AK791" i="2" s="1"/>
  <c r="AK792" i="2" a="1"/>
  <c r="AK792" i="2" s="1"/>
  <c r="AK793" i="2" a="1"/>
  <c r="AK793" i="2" s="1"/>
  <c r="AK794" i="2" a="1"/>
  <c r="AK794" i="2" s="1"/>
  <c r="AK795" i="2" a="1"/>
  <c r="AK795" i="2" s="1"/>
  <c r="AK796" i="2" a="1"/>
  <c r="AK796" i="2"/>
  <c r="AK797" i="2" a="1"/>
  <c r="AK797" i="2" s="1"/>
  <c r="AK798" i="2" a="1"/>
  <c r="AK798" i="2" s="1"/>
  <c r="AK799" i="2" a="1"/>
  <c r="AK799" i="2" s="1"/>
  <c r="AK800" i="2" a="1"/>
  <c r="AK800" i="2" s="1"/>
  <c r="AK801" i="2" a="1"/>
  <c r="AK801" i="2" s="1"/>
  <c r="AK802" i="2" a="1"/>
  <c r="AK802" i="2" s="1"/>
  <c r="AK803" i="2" a="1"/>
  <c r="AK803" i="2"/>
  <c r="AK804" i="2" a="1"/>
  <c r="AK804" i="2"/>
  <c r="AK805" i="2" a="1"/>
  <c r="AK805" i="2" s="1"/>
  <c r="AK806" i="2" a="1"/>
  <c r="AK806" i="2" s="1"/>
  <c r="AK807" i="2" a="1"/>
  <c r="AK807" i="2" s="1"/>
  <c r="AK808" i="2" a="1"/>
  <c r="AK808" i="2" s="1"/>
  <c r="AK809" i="2" a="1"/>
  <c r="AK809" i="2" s="1"/>
  <c r="AK810" i="2" a="1"/>
  <c r="AK810" i="2"/>
  <c r="AK811" i="2" a="1"/>
  <c r="AK811" i="2" s="1"/>
  <c r="AK812" i="2" a="1"/>
  <c r="AK812" i="2" s="1"/>
  <c r="AK813" i="2" a="1"/>
  <c r="AK813" i="2" s="1"/>
  <c r="AK814" i="2" a="1"/>
  <c r="AK814" i="2" s="1"/>
  <c r="AK815" i="2" a="1"/>
  <c r="AK815" i="2" s="1"/>
  <c r="AK816" i="2" a="1"/>
  <c r="AK816" i="2" s="1"/>
  <c r="AK817" i="2" a="1"/>
  <c r="AK817" i="2" s="1"/>
  <c r="AK818" i="2" a="1"/>
  <c r="AK818" i="2" s="1"/>
  <c r="AK819" i="2" a="1"/>
  <c r="AK819" i="2" s="1"/>
  <c r="AK820" i="2" a="1"/>
  <c r="AK820" i="2"/>
  <c r="AK821" i="2" a="1"/>
  <c r="AK821" i="2" s="1"/>
  <c r="AK822" i="2" a="1"/>
  <c r="AK822" i="2" s="1"/>
  <c r="AK823" i="2" a="1"/>
  <c r="AK823" i="2" s="1"/>
  <c r="AK824" i="2" a="1"/>
  <c r="AK824" i="2" s="1"/>
  <c r="AK825" i="2" a="1"/>
  <c r="AK825" i="2" s="1"/>
  <c r="AK826" i="2" a="1"/>
  <c r="AK826" i="2" s="1"/>
  <c r="AK827" i="2" a="1"/>
  <c r="AK827" i="2" s="1"/>
  <c r="AK828" i="2" a="1"/>
  <c r="AK828" i="2" s="1"/>
  <c r="AK829" i="2" a="1"/>
  <c r="AK829" i="2" s="1"/>
  <c r="AK830" i="2" a="1"/>
  <c r="AK830" i="2" s="1"/>
  <c r="AK831" i="2" a="1"/>
  <c r="AK831" i="2" s="1"/>
  <c r="AK832" i="2" a="1"/>
  <c r="AK832" i="2"/>
  <c r="AK833" i="2" a="1"/>
  <c r="AK833" i="2" s="1"/>
  <c r="AK834" i="2" a="1"/>
  <c r="AK834" i="2" s="1"/>
  <c r="AK835" i="2" a="1"/>
  <c r="AK835" i="2" s="1"/>
  <c r="AK836" i="2" a="1"/>
  <c r="AK836" i="2" s="1"/>
  <c r="AK837" i="2" a="1"/>
  <c r="AK837" i="2" s="1"/>
  <c r="AK838" i="2" a="1"/>
  <c r="AK838" i="2" s="1"/>
  <c r="AK839" i="2" a="1"/>
  <c r="AK839" i="2"/>
  <c r="AK840" i="2" a="1"/>
  <c r="AK840" i="2"/>
  <c r="AK841" i="2" a="1"/>
  <c r="AK841" i="2" s="1"/>
  <c r="AK842" i="2" a="1"/>
  <c r="AK842" i="2" s="1"/>
  <c r="AK843" i="2" a="1"/>
  <c r="AK843" i="2" s="1"/>
  <c r="AK844" i="2" a="1"/>
  <c r="AK844" i="2" s="1"/>
  <c r="AK845" i="2" a="1"/>
  <c r="AK845" i="2" s="1"/>
  <c r="AK846" i="2" a="1"/>
  <c r="AK846" i="2"/>
  <c r="AK847" i="2" a="1"/>
  <c r="AK847" i="2" s="1"/>
  <c r="AK848" i="2" a="1"/>
  <c r="AK848" i="2" s="1"/>
  <c r="AK849" i="2" a="1"/>
  <c r="AK849" i="2" s="1"/>
  <c r="AK850" i="2" a="1"/>
  <c r="AK850" i="2" s="1"/>
  <c r="AK851" i="2" a="1"/>
  <c r="AK851" i="2" s="1"/>
  <c r="AK852" i="2" a="1"/>
  <c r="AK852" i="2" s="1"/>
  <c r="AK853" i="2" a="1"/>
  <c r="AK853" i="2" s="1"/>
  <c r="AK854" i="2" a="1"/>
  <c r="AK854" i="2" s="1"/>
  <c r="AK855" i="2" a="1"/>
  <c r="AK855" i="2" s="1"/>
  <c r="AK856" i="2" a="1"/>
  <c r="AK856" i="2"/>
  <c r="AK857" i="2" a="1"/>
  <c r="AK857" i="2" s="1"/>
  <c r="AK858" i="2" a="1"/>
  <c r="AK858" i="2" s="1"/>
  <c r="AK859" i="2" a="1"/>
  <c r="AK859" i="2" s="1"/>
  <c r="AK860" i="2" a="1"/>
  <c r="AK860" i="2" s="1"/>
  <c r="AK861" i="2" a="1"/>
  <c r="AK861" i="2" s="1"/>
  <c r="AK862" i="2" a="1"/>
  <c r="AK862" i="2" s="1"/>
  <c r="AK863" i="2" a="1"/>
  <c r="AK863" i="2" s="1"/>
  <c r="AK864" i="2" a="1"/>
  <c r="AK864" i="2" s="1"/>
  <c r="AK865" i="2" a="1"/>
  <c r="AK865" i="2" s="1"/>
  <c r="AK866" i="2" a="1"/>
  <c r="AK866" i="2" s="1"/>
  <c r="AK867" i="2" a="1"/>
  <c r="AK867" i="2" s="1"/>
  <c r="AK868" i="2" a="1"/>
  <c r="AK868" i="2"/>
  <c r="AK869" i="2" a="1"/>
  <c r="AK869" i="2" s="1"/>
  <c r="AK870" i="2" a="1"/>
  <c r="AK870" i="2" s="1"/>
  <c r="AK871" i="2" a="1"/>
  <c r="AK871" i="2" s="1"/>
  <c r="AK872" i="2" a="1"/>
  <c r="AK872" i="2" s="1"/>
  <c r="AK873" i="2" a="1"/>
  <c r="AK873" i="2" s="1"/>
  <c r="AK874" i="2" a="1"/>
  <c r="AK874" i="2" s="1"/>
  <c r="AK875" i="2" a="1"/>
  <c r="AK875" i="2"/>
  <c r="AK876" i="2" a="1"/>
  <c r="AK876" i="2"/>
  <c r="AK877" i="2" a="1"/>
  <c r="AK877" i="2" s="1"/>
  <c r="AK878" i="2" a="1"/>
  <c r="AK878" i="2" s="1"/>
  <c r="AK879" i="2" a="1"/>
  <c r="AK879" i="2" s="1"/>
  <c r="AK880" i="2" a="1"/>
  <c r="AK880" i="2" s="1"/>
  <c r="AK881" i="2" a="1"/>
  <c r="AK881" i="2" s="1"/>
  <c r="AK882" i="2" a="1"/>
  <c r="AK882" i="2"/>
  <c r="AK883" i="2" a="1"/>
  <c r="AK883" i="2" s="1"/>
  <c r="AK884" i="2" a="1"/>
  <c r="AK884" i="2" s="1"/>
  <c r="AK885" i="2" a="1"/>
  <c r="AK885" i="2" s="1"/>
  <c r="AK886" i="2" a="1"/>
  <c r="AK886" i="2" s="1"/>
  <c r="AK887" i="2" a="1"/>
  <c r="AK887" i="2" s="1"/>
  <c r="AK888" i="2" a="1"/>
  <c r="AK888" i="2" s="1"/>
  <c r="AK889" i="2" a="1"/>
  <c r="AK889" i="2" s="1"/>
  <c r="AK890" i="2" a="1"/>
  <c r="AK890" i="2" s="1"/>
  <c r="AK891" i="2" a="1"/>
  <c r="AK891" i="2" s="1"/>
  <c r="AK892" i="2" a="1"/>
  <c r="AK892" i="2"/>
  <c r="AK893" i="2" a="1"/>
  <c r="AK893" i="2" s="1"/>
  <c r="AK894" i="2" a="1"/>
  <c r="AK894" i="2" s="1"/>
  <c r="AK895" i="2" a="1"/>
  <c r="AK895" i="2" s="1"/>
  <c r="AK896" i="2" a="1"/>
  <c r="AK896" i="2" s="1"/>
  <c r="AK897" i="2" a="1"/>
  <c r="AK897" i="2" s="1"/>
  <c r="AK898" i="2" a="1"/>
  <c r="AK898" i="2" s="1"/>
  <c r="AK899" i="2" a="1"/>
  <c r="AK899" i="2" s="1"/>
  <c r="AK900" i="2" a="1"/>
  <c r="AK900" i="2" s="1"/>
  <c r="AK901" i="2" a="1"/>
  <c r="AK901" i="2" s="1"/>
  <c r="AK902" i="2" a="1"/>
  <c r="AK902" i="2" s="1"/>
  <c r="AK903" i="2" a="1"/>
  <c r="AK903" i="2" s="1"/>
  <c r="AK904" i="2" a="1"/>
  <c r="AK904" i="2"/>
  <c r="AK905" i="2" a="1"/>
  <c r="AK905" i="2" s="1"/>
  <c r="AK906" i="2" a="1"/>
  <c r="AK906" i="2" s="1"/>
  <c r="AK907" i="2" a="1"/>
  <c r="AK907" i="2" s="1"/>
  <c r="AK908" i="2" a="1"/>
  <c r="AK908" i="2" s="1"/>
  <c r="AK909" i="2" a="1"/>
  <c r="AK909" i="2" s="1"/>
  <c r="AK910" i="2" a="1"/>
  <c r="AK910" i="2" s="1"/>
  <c r="AK911" i="2" a="1"/>
  <c r="AK911" i="2"/>
  <c r="AK912" i="2" a="1"/>
  <c r="AK912" i="2"/>
  <c r="AK913" i="2" a="1"/>
  <c r="AK913" i="2" s="1"/>
  <c r="AK914" i="2" a="1"/>
  <c r="AK914" i="2" s="1"/>
  <c r="AK915" i="2" a="1"/>
  <c r="AK915" i="2" s="1"/>
  <c r="AK916" i="2" a="1"/>
  <c r="AK916" i="2" s="1"/>
  <c r="AK917" i="2" a="1"/>
  <c r="AK917" i="2" s="1"/>
  <c r="AK918" i="2" a="1"/>
  <c r="AK918" i="2"/>
  <c r="AK919" i="2" a="1"/>
  <c r="AK919" i="2" s="1"/>
  <c r="AK920" i="2" a="1"/>
  <c r="AK920" i="2" s="1"/>
  <c r="AK921" i="2" a="1"/>
  <c r="AK921" i="2" s="1"/>
  <c r="AK922" i="2" a="1"/>
  <c r="AK922" i="2" s="1"/>
  <c r="AK923" i="2" a="1"/>
  <c r="AK923" i="2" s="1"/>
  <c r="AK924" i="2" a="1"/>
  <c r="AK924" i="2" s="1"/>
  <c r="AK925" i="2" a="1"/>
  <c r="AK925" i="2" s="1"/>
  <c r="AK926" i="2" a="1"/>
  <c r="AK926" i="2" s="1"/>
  <c r="AK927" i="2" a="1"/>
  <c r="AK927" i="2" s="1"/>
  <c r="AK928" i="2" a="1"/>
  <c r="AK928" i="2"/>
  <c r="AK929" i="2" a="1"/>
  <c r="AK929" i="2" s="1"/>
  <c r="AK930" i="2" a="1"/>
  <c r="AK930" i="2" s="1"/>
  <c r="AK931" i="2" a="1"/>
  <c r="AK931" i="2" s="1"/>
  <c r="AK932" i="2" a="1"/>
  <c r="AK932" i="2" s="1"/>
  <c r="AK933" i="2" a="1"/>
  <c r="AK933" i="2" s="1"/>
  <c r="AK934" i="2" a="1"/>
  <c r="AK934" i="2" s="1"/>
  <c r="AK935" i="2" a="1"/>
  <c r="AK935" i="2" s="1"/>
  <c r="AK936" i="2" a="1"/>
  <c r="AK936" i="2" s="1"/>
  <c r="AK937" i="2" a="1"/>
  <c r="AK937" i="2" s="1"/>
  <c r="AK938" i="2" a="1"/>
  <c r="AK938" i="2" s="1"/>
  <c r="AK939" i="2" a="1"/>
  <c r="AK939" i="2" s="1"/>
  <c r="AK940" i="2" a="1"/>
  <c r="AK940" i="2"/>
  <c r="AK941" i="2" a="1"/>
  <c r="AK941" i="2" s="1"/>
  <c r="AK942" i="2" a="1"/>
  <c r="AK942" i="2" s="1"/>
  <c r="AK943" i="2" a="1"/>
  <c r="AK943" i="2" s="1"/>
  <c r="AK944" i="2" a="1"/>
  <c r="AK944" i="2" s="1"/>
  <c r="AK945" i="2" a="1"/>
  <c r="AK945" i="2" s="1"/>
  <c r="AK946" i="2" a="1"/>
  <c r="AK946" i="2" s="1"/>
  <c r="AK947" i="2" a="1"/>
  <c r="AK947" i="2"/>
  <c r="AK948" i="2" a="1"/>
  <c r="AK948" i="2"/>
  <c r="AK949" i="2" a="1"/>
  <c r="AK949" i="2" s="1"/>
  <c r="AK950" i="2" a="1"/>
  <c r="AK950" i="2" s="1"/>
  <c r="AK951" i="2" a="1"/>
  <c r="AK951" i="2" s="1"/>
  <c r="AK952" i="2" a="1"/>
  <c r="AK952" i="2" s="1"/>
  <c r="AK953" i="2" a="1"/>
  <c r="AK953" i="2" s="1"/>
  <c r="AK954" i="2" a="1"/>
  <c r="AK954" i="2"/>
  <c r="AK955" i="2" a="1"/>
  <c r="AK955" i="2" s="1"/>
  <c r="AK956" i="2" a="1"/>
  <c r="AK956" i="2" s="1"/>
  <c r="AK957" i="2" a="1"/>
  <c r="AK957" i="2" s="1"/>
  <c r="AK958" i="2" a="1"/>
  <c r="AK958" i="2" s="1"/>
  <c r="AK959" i="2" a="1"/>
  <c r="AK959" i="2" s="1"/>
  <c r="AK960" i="2" a="1"/>
  <c r="AK960" i="2" s="1"/>
  <c r="AK961" i="2" a="1"/>
  <c r="AK961" i="2" s="1"/>
  <c r="AK962" i="2" a="1"/>
  <c r="AK962" i="2" s="1"/>
  <c r="AK963" i="2" a="1"/>
  <c r="AK963" i="2" s="1"/>
  <c r="AK964" i="2" a="1"/>
  <c r="AK964" i="2"/>
  <c r="AK965" i="2" a="1"/>
  <c r="AK965" i="2" s="1"/>
  <c r="AK966" i="2" a="1"/>
  <c r="AK966" i="2" s="1"/>
  <c r="AK967" i="2" a="1"/>
  <c r="AK967" i="2" s="1"/>
  <c r="AK968" i="2" a="1"/>
  <c r="AK968" i="2" s="1"/>
  <c r="AK969" i="2" a="1"/>
  <c r="AK969" i="2" s="1"/>
  <c r="AK970" i="2" a="1"/>
  <c r="AK970" i="2" s="1"/>
  <c r="AK971" i="2" a="1"/>
  <c r="AK971" i="2" s="1"/>
  <c r="AK972" i="2" a="1"/>
  <c r="AK972" i="2" s="1"/>
  <c r="AK973" i="2" a="1"/>
  <c r="AK973" i="2" s="1"/>
  <c r="AK974" i="2" a="1"/>
  <c r="AK974" i="2" s="1"/>
  <c r="AK975" i="2" a="1"/>
  <c r="AK975" i="2" s="1"/>
  <c r="AK976" i="2" a="1"/>
  <c r="AK976" i="2"/>
  <c r="AK977" i="2" a="1"/>
  <c r="AK977" i="2" s="1"/>
  <c r="AK978" i="2" a="1"/>
  <c r="AK978" i="2" s="1"/>
  <c r="AK979" i="2" a="1"/>
  <c r="AK979" i="2" s="1"/>
  <c r="AK980" i="2" a="1"/>
  <c r="AK980" i="2" s="1"/>
  <c r="AK981" i="2" a="1"/>
  <c r="AK981" i="2" s="1"/>
  <c r="AK982" i="2" a="1"/>
  <c r="AK982" i="2" s="1"/>
  <c r="AK983" i="2" a="1"/>
  <c r="AK983" i="2"/>
  <c r="AK984" i="2" a="1"/>
  <c r="AK984" i="2"/>
  <c r="AK985" i="2" a="1"/>
  <c r="AK985" i="2" s="1"/>
  <c r="AK986" i="2" a="1"/>
  <c r="AK986" i="2" s="1"/>
  <c r="AK987" i="2" a="1"/>
  <c r="AK987" i="2" s="1"/>
  <c r="AK988" i="2" a="1"/>
  <c r="AK988" i="2" s="1"/>
  <c r="AK989" i="2" a="1"/>
  <c r="AK989" i="2" s="1"/>
  <c r="AK990" i="2" a="1"/>
  <c r="AK990" i="2"/>
  <c r="AK991" i="2" a="1"/>
  <c r="AK991" i="2" s="1"/>
  <c r="AK992" i="2" a="1"/>
  <c r="AK992" i="2" s="1"/>
  <c r="AK993" i="2" a="1"/>
  <c r="AK993" i="2" s="1"/>
  <c r="AK994" i="2" a="1"/>
  <c r="AK994" i="2" s="1"/>
  <c r="AK995" i="2" a="1"/>
  <c r="AK995" i="2" s="1"/>
  <c r="AK996" i="2" a="1"/>
  <c r="AK996" i="2" s="1"/>
  <c r="AK997" i="2" a="1"/>
  <c r="AK997" i="2" s="1"/>
  <c r="AK998" i="2" a="1"/>
  <c r="AK998" i="2" s="1"/>
  <c r="AK999" i="2" a="1"/>
  <c r="AK999" i="2" s="1"/>
  <c r="AK1000" i="2" a="1"/>
  <c r="AK1000" i="2"/>
  <c r="AK1001" i="2" a="1"/>
  <c r="AK1001" i="2" s="1"/>
  <c r="AK1002" i="2" a="1"/>
  <c r="AK1002" i="2" s="1"/>
  <c r="AK1003" i="2" a="1"/>
  <c r="AK1003" i="2" s="1"/>
  <c r="AK1004" i="2" a="1"/>
  <c r="AK1004" i="2" s="1"/>
  <c r="AK1005" i="2" a="1"/>
  <c r="AK1005" i="2" s="1"/>
  <c r="AK1006" i="2" a="1"/>
  <c r="AK1006" i="2" s="1"/>
  <c r="AK1007" i="2" a="1"/>
  <c r="AK1007" i="2" s="1"/>
  <c r="AK1008" i="2" a="1"/>
  <c r="AK1008" i="2" s="1"/>
  <c r="AK1009" i="2" a="1"/>
  <c r="AK1009" i="2" s="1"/>
  <c r="AK1010" i="2" a="1"/>
  <c r="AK1010" i="2" s="1"/>
  <c r="AK1011" i="2" a="1"/>
  <c r="AK1011" i="2" s="1"/>
  <c r="AK1012" i="2" a="1"/>
  <c r="AK1012" i="2"/>
  <c r="AK1013" i="2" a="1"/>
  <c r="AK1013" i="2" s="1"/>
  <c r="AK1014" i="2" a="1"/>
  <c r="AK1014" i="2" s="1"/>
  <c r="AK1015" i="2" a="1"/>
  <c r="AK1015" i="2" s="1"/>
  <c r="AK1016" i="2" a="1"/>
  <c r="AK1016" i="2" s="1"/>
  <c r="AK1017" i="2" a="1"/>
  <c r="AK1017" i="2" s="1"/>
  <c r="AK1018" i="2" a="1"/>
  <c r="AK1018" i="2" s="1"/>
  <c r="AK1019" i="2" a="1"/>
  <c r="AK1019" i="2"/>
  <c r="AK1020" i="2" a="1"/>
  <c r="AK1020" i="2"/>
  <c r="AK1021" i="2" a="1"/>
  <c r="AK1021" i="2" s="1"/>
  <c r="AK1022" i="2" a="1"/>
  <c r="AK1022" i="2" s="1"/>
  <c r="AK1023" i="2" a="1"/>
  <c r="AK1023" i="2" s="1"/>
  <c r="AK1024" i="2" a="1"/>
  <c r="AK1024" i="2" s="1"/>
  <c r="AK1025" i="2" a="1"/>
  <c r="AK1025" i="2" s="1"/>
  <c r="AK1026" i="2" a="1"/>
  <c r="AK1026" i="2"/>
  <c r="AK1027" i="2" a="1"/>
  <c r="AK1027" i="2" s="1"/>
  <c r="AK1028" i="2" a="1"/>
  <c r="AK1028" i="2" s="1"/>
  <c r="AK1029" i="2" a="1"/>
  <c r="AK1029" i="2" s="1"/>
  <c r="AK1030" i="2" a="1"/>
  <c r="AK1030" i="2" s="1"/>
  <c r="AK1031" i="2" a="1"/>
  <c r="AK1031" i="2" s="1"/>
  <c r="AK1032" i="2" a="1"/>
  <c r="AK1032" i="2" s="1"/>
  <c r="AK1033" i="2" a="1"/>
  <c r="AK1033" i="2" s="1"/>
  <c r="AK1034" i="2" a="1"/>
  <c r="AK1034" i="2" s="1"/>
  <c r="AK1035" i="2" a="1"/>
  <c r="AK1035" i="2" s="1"/>
  <c r="AK1036" i="2" a="1"/>
  <c r="AK1036" i="2"/>
  <c r="AK1037" i="2" a="1"/>
  <c r="AK1037" i="2" s="1"/>
  <c r="AK1038" i="2" a="1"/>
  <c r="AK1038" i="2" s="1"/>
  <c r="AK1039" i="2" a="1"/>
  <c r="AK1039" i="2" s="1"/>
  <c r="AK1040" i="2" a="1"/>
  <c r="AK1040" i="2" s="1"/>
  <c r="AK1041" i="2" a="1"/>
  <c r="AK1041" i="2" s="1"/>
  <c r="AK1042" i="2" a="1"/>
  <c r="AK1042" i="2" s="1"/>
  <c r="AK1043" i="2" a="1"/>
  <c r="AK1043" i="2" s="1"/>
  <c r="AK1044" i="2" a="1"/>
  <c r="AK1044" i="2" s="1"/>
  <c r="AK1045" i="2" a="1"/>
  <c r="AK1045" i="2" s="1"/>
  <c r="AK1046" i="2" a="1"/>
  <c r="AK1046" i="2" s="1"/>
  <c r="AK1047" i="2" a="1"/>
  <c r="AK1047" i="2" s="1"/>
  <c r="AK1048" i="2" a="1"/>
  <c r="AK1048" i="2"/>
  <c r="AK1049" i="2" a="1"/>
  <c r="AK1049" i="2" s="1"/>
  <c r="AK1050" i="2" a="1"/>
  <c r="AK1050" i="2" s="1"/>
  <c r="AK1051" i="2" a="1"/>
  <c r="AK1051" i="2" s="1"/>
  <c r="AK1052" i="2" a="1"/>
  <c r="AK1052" i="2" s="1"/>
  <c r="AK1053" i="2" a="1"/>
  <c r="AK1053" i="2" s="1"/>
  <c r="AK1054" i="2" a="1"/>
  <c r="AK1054" i="2" s="1"/>
  <c r="AK1055" i="2" a="1"/>
  <c r="AK1055" i="2"/>
  <c r="AK1056" i="2" a="1"/>
  <c r="AK1056" i="2"/>
  <c r="AK1057" i="2" a="1"/>
  <c r="AK1057" i="2" s="1"/>
  <c r="AK1058" i="2" a="1"/>
  <c r="AK1058" i="2" s="1"/>
  <c r="AK1059" i="2" a="1"/>
  <c r="AK1059" i="2" s="1"/>
  <c r="AK1060" i="2" a="1"/>
  <c r="AK1060" i="2" s="1"/>
  <c r="AK1061" i="2" a="1"/>
  <c r="AK1061" i="2" s="1"/>
  <c r="AK1062" i="2" a="1"/>
  <c r="AK1062" i="2"/>
  <c r="AK1063" i="2" a="1"/>
  <c r="AK1063" i="2" s="1"/>
  <c r="AK1064" i="2" a="1"/>
  <c r="AK1064" i="2" s="1"/>
  <c r="AK1065" i="2" a="1"/>
  <c r="AK1065" i="2" s="1"/>
  <c r="AK1066" i="2" a="1"/>
  <c r="AK1066" i="2" s="1"/>
  <c r="AK1067" i="2" a="1"/>
  <c r="AK1067" i="2" s="1"/>
  <c r="AK1068" i="2" a="1"/>
  <c r="AK1068" i="2" s="1"/>
  <c r="AK1069" i="2" a="1"/>
  <c r="AK1069" i="2" s="1"/>
  <c r="AK1070" i="2" a="1"/>
  <c r="AK1070" i="2" s="1"/>
  <c r="AK1071" i="2" a="1"/>
  <c r="AK1071" i="2" s="1"/>
  <c r="AK1072" i="2" a="1"/>
  <c r="AK1072" i="2"/>
  <c r="AK1073" i="2" a="1"/>
  <c r="AK1073" i="2" s="1"/>
  <c r="AK1074" i="2" a="1"/>
  <c r="AK1074" i="2" s="1"/>
  <c r="AK1075" i="2" a="1"/>
  <c r="AK1075" i="2" s="1"/>
  <c r="AK1076" i="2" a="1"/>
  <c r="AK1076" i="2" s="1"/>
  <c r="AK1077" i="2" a="1"/>
  <c r="AK1077" i="2" s="1"/>
  <c r="AK1078" i="2" a="1"/>
  <c r="AK1078" i="2" s="1"/>
  <c r="AK1079" i="2" a="1"/>
  <c r="AK1079" i="2" s="1"/>
  <c r="AK1080" i="2" a="1"/>
  <c r="AK1080" i="2" s="1"/>
  <c r="AK1081" i="2" a="1"/>
  <c r="AK1081" i="2" s="1"/>
  <c r="AK1082" i="2" a="1"/>
  <c r="AK1082" i="2" s="1"/>
  <c r="AK1083" i="2" a="1"/>
  <c r="AK1083" i="2" s="1"/>
  <c r="AK1084" i="2" a="1"/>
  <c r="AK1084" i="2"/>
  <c r="AK1085" i="2" a="1"/>
  <c r="AK1085" i="2" s="1"/>
  <c r="AK1086" i="2" a="1"/>
  <c r="AK1086" i="2" s="1"/>
  <c r="AK1087" i="2" a="1"/>
  <c r="AK1087" i="2" s="1"/>
  <c r="AK1088" i="2" a="1"/>
  <c r="AK1088" i="2" s="1"/>
  <c r="AK1089" i="2" a="1"/>
  <c r="AK1089" i="2" s="1"/>
  <c r="AK1090" i="2" a="1"/>
  <c r="AK1090" i="2" s="1"/>
  <c r="AK1091" i="2" a="1"/>
  <c r="AK1091" i="2"/>
  <c r="AK1092" i="2" a="1"/>
  <c r="AK1092" i="2"/>
  <c r="AK1093" i="2" a="1"/>
  <c r="AK1093" i="2" s="1"/>
  <c r="AK1094" i="2" a="1"/>
  <c r="AK1094" i="2" s="1"/>
  <c r="AK1095" i="2" a="1"/>
  <c r="AK1095" i="2" s="1"/>
  <c r="AK1096" i="2" a="1"/>
  <c r="AK1096" i="2"/>
  <c r="AK1097" i="2" a="1"/>
  <c r="AK1097" i="2" s="1"/>
  <c r="AK1098" i="2" a="1"/>
  <c r="AK1098" i="2"/>
  <c r="AK1099" i="2" a="1"/>
  <c r="AK1099" i="2" s="1"/>
  <c r="AK1100" i="2" a="1"/>
  <c r="AK1100" i="2" s="1"/>
  <c r="AK1101" i="2" a="1"/>
  <c r="AK1101" i="2"/>
  <c r="AK1102" i="2" a="1"/>
  <c r="AK1102" i="2" s="1"/>
  <c r="AK1103" i="2" a="1"/>
  <c r="AK1103" i="2"/>
  <c r="AK1104" i="2" a="1"/>
  <c r="AK1104" i="2" s="1"/>
  <c r="AK1105" i="2" a="1"/>
  <c r="AK1105" i="2" s="1"/>
  <c r="AK1106" i="2" a="1"/>
  <c r="AK1106" i="2" s="1"/>
  <c r="AK1107" i="2" a="1"/>
  <c r="AK1107" i="2"/>
  <c r="AK1108" i="2" a="1"/>
  <c r="AK1108" i="2"/>
  <c r="AK1109" i="2" a="1"/>
  <c r="AK1109" i="2" s="1"/>
  <c r="AK1110" i="2" a="1"/>
  <c r="AK1110" i="2"/>
  <c r="AK1111" i="2" a="1"/>
  <c r="AK1111" i="2" s="1"/>
  <c r="AK1112" i="2" a="1"/>
  <c r="AK1112" i="2" s="1"/>
  <c r="AK1113" i="2" a="1"/>
  <c r="AK1113" i="2"/>
  <c r="AK1114" i="2" a="1"/>
  <c r="AK1114" i="2"/>
  <c r="AK1115" i="2" a="1"/>
  <c r="AK1115" i="2" s="1"/>
  <c r="AK1116" i="2" a="1"/>
  <c r="AK1116" i="2" s="1"/>
  <c r="AK1117" i="2" a="1"/>
  <c r="AK1117" i="2" s="1"/>
  <c r="AK1118" i="2" a="1"/>
  <c r="AK1118" i="2" s="1"/>
  <c r="AK1119" i="2" a="1"/>
  <c r="AK1119" i="2"/>
  <c r="AK1120" i="2" a="1"/>
  <c r="AK1120" i="2"/>
  <c r="AK1121" i="2" a="1"/>
  <c r="AK1121" i="2"/>
  <c r="AK1122" i="2" a="1"/>
  <c r="AK1122" i="2" s="1"/>
  <c r="AK1123" i="2" a="1"/>
  <c r="AK1123" i="2" s="1"/>
  <c r="AK1124" i="2" a="1"/>
  <c r="AK1124" i="2" s="1"/>
  <c r="AK1125" i="2" a="1"/>
  <c r="AK1125" i="2"/>
  <c r="AK1126" i="2" a="1"/>
  <c r="AK1126" i="2"/>
  <c r="AK1127" i="2" a="1"/>
  <c r="AK1127" i="2"/>
  <c r="AK1128" i="2" a="1"/>
  <c r="AK1128" i="2"/>
  <c r="AK1129" i="2" a="1"/>
  <c r="AK1129" i="2" s="1"/>
  <c r="AK1130" i="2" a="1"/>
  <c r="AK1130" i="2" s="1"/>
  <c r="AK1131" i="2" a="1"/>
  <c r="AK1131" i="2" s="1"/>
  <c r="AK1132" i="2" a="1"/>
  <c r="AK1132" i="2"/>
  <c r="AK1133" i="2" a="1"/>
  <c r="AK1133" i="2"/>
  <c r="AK1134" i="2" a="1"/>
  <c r="AK1134" i="2"/>
  <c r="AK1135" i="2" a="1"/>
  <c r="AK1135" i="2" s="1"/>
  <c r="AK1136" i="2" a="1"/>
  <c r="AK1136" i="2" s="1"/>
  <c r="AK1137" i="2" a="1"/>
  <c r="AK1137" i="2" s="1"/>
  <c r="AK1138" i="2" a="1"/>
  <c r="AK1138" i="2" s="1"/>
  <c r="AK1139" i="2" a="1"/>
  <c r="AK1139" i="2"/>
  <c r="AK1140" i="2" a="1"/>
  <c r="AK1140" i="2"/>
  <c r="AK1141" i="2" a="1"/>
  <c r="AK1141" i="2" s="1"/>
  <c r="AK1142" i="2" a="1"/>
  <c r="AK1142" i="2" s="1"/>
  <c r="AK1143" i="2" a="1"/>
  <c r="AK1143" i="2"/>
  <c r="AK1144" i="2" a="1"/>
  <c r="AK1144" i="2" s="1"/>
  <c r="AK1145" i="2" a="1"/>
  <c r="AK1145" i="2" s="1"/>
  <c r="AK1146" i="2" a="1"/>
  <c r="AK1146" i="2"/>
  <c r="AK1147" i="2" a="1"/>
  <c r="AK1147" i="2" s="1"/>
  <c r="AK1148" i="2" a="1"/>
  <c r="AK1148" i="2" s="1"/>
  <c r="AK1149" i="2" a="1"/>
  <c r="AK1149" i="2"/>
  <c r="AK1150" i="2" a="1"/>
  <c r="AK1150" i="2"/>
  <c r="AK1151" i="2" a="1"/>
  <c r="AK1151" i="2" s="1"/>
  <c r="AK1152" i="2" a="1"/>
  <c r="AK1152" i="2" s="1"/>
  <c r="AK1153" i="2" a="1"/>
  <c r="AK1153" i="2" s="1"/>
  <c r="AK1154" i="2" a="1"/>
  <c r="AK1154" i="2" s="1"/>
  <c r="AK1155" i="2" a="1"/>
  <c r="AK1155" i="2"/>
  <c r="AK1156" i="2" a="1"/>
  <c r="AK1156" i="2"/>
  <c r="AK1157" i="2" a="1"/>
  <c r="AK1157" i="2"/>
  <c r="AK1158" i="2" a="1"/>
  <c r="AK1158" i="2" s="1"/>
  <c r="AK1159" i="2" a="1"/>
  <c r="AK1159" i="2" s="1"/>
  <c r="AK1160" i="2" a="1"/>
  <c r="AK1160" i="2" s="1"/>
  <c r="AK1161" i="2" a="1"/>
  <c r="AK1161" i="2"/>
  <c r="AK1162" i="2" a="1"/>
  <c r="AK1162" i="2"/>
  <c r="AK1163" i="2" a="1"/>
  <c r="AK1163" i="2"/>
  <c r="AK1164" i="2" a="1"/>
  <c r="AK1164" i="2"/>
  <c r="AK1165" i="2" a="1"/>
  <c r="AK1165" i="2" s="1"/>
  <c r="AK1166" i="2" a="1"/>
  <c r="AK1166" i="2" s="1"/>
  <c r="AK1167" i="2" a="1"/>
  <c r="AK1167" i="2" s="1"/>
  <c r="AK1168" i="2" a="1"/>
  <c r="AK1168" i="2"/>
  <c r="AK1169" i="2" a="1"/>
  <c r="AK1169" i="2"/>
  <c r="AK1170" i="2" a="1"/>
  <c r="AK1170" i="2"/>
  <c r="AK1171" i="2" a="1"/>
  <c r="AK1171" i="2" s="1"/>
  <c r="AK1172" i="2" a="1"/>
  <c r="AK1172" i="2" s="1"/>
  <c r="AK1173" i="2" a="1"/>
  <c r="AK1173" i="2" s="1"/>
  <c r="AK1174" i="2" a="1"/>
  <c r="AK1174" i="2" s="1"/>
  <c r="AK1175" i="2" a="1"/>
  <c r="AK1175" i="2"/>
  <c r="AK1176" i="2" a="1"/>
  <c r="AK1176" i="2"/>
  <c r="AK1177" i="2" a="1"/>
  <c r="AK1177" i="2" s="1"/>
  <c r="AK1178" i="2" a="1"/>
  <c r="AK1178" i="2" s="1"/>
  <c r="AK1179" i="2" a="1"/>
  <c r="AK1179" i="2"/>
  <c r="AK1180" i="2" a="1"/>
  <c r="AK1180" i="2" s="1"/>
  <c r="AK1181" i="2" a="1"/>
  <c r="AK1181" i="2" s="1"/>
  <c r="AK1182" i="2" a="1"/>
  <c r="AK1182" i="2"/>
  <c r="AK1183" i="2" a="1"/>
  <c r="AK1183" i="2" s="1"/>
  <c r="AK1184" i="2" a="1"/>
  <c r="AK1184" i="2" s="1"/>
  <c r="AK1185" i="2" a="1"/>
  <c r="AK1185" i="2"/>
  <c r="AK1186" i="2" a="1"/>
  <c r="AK1186" i="2"/>
  <c r="AK1187" i="2" a="1"/>
  <c r="AK1187" i="2" s="1"/>
  <c r="AK1188" i="2" a="1"/>
  <c r="AK1188" i="2" s="1"/>
  <c r="AK1189" i="2" a="1"/>
  <c r="AK1189" i="2" s="1"/>
  <c r="AK1190" i="2" a="1"/>
  <c r="AK1190" i="2" s="1"/>
  <c r="AK1191" i="2" a="1"/>
  <c r="AK1191" i="2"/>
  <c r="AK1192" i="2" a="1"/>
  <c r="AK1192" i="2"/>
  <c r="AK1193" i="2" a="1"/>
  <c r="AK1193" i="2"/>
  <c r="AK1194" i="2" a="1"/>
  <c r="AK1194" i="2" s="1"/>
  <c r="AK1195" i="2" a="1"/>
  <c r="AK1195" i="2" s="1"/>
  <c r="AK1196" i="2" a="1"/>
  <c r="AK1196" i="2" s="1"/>
  <c r="AK1197" i="2" a="1"/>
  <c r="AK1197" i="2" s="1"/>
  <c r="AK1198" i="2" a="1"/>
  <c r="AK1198" i="2"/>
  <c r="AK1199" i="2" a="1"/>
  <c r="AK1199" i="2"/>
  <c r="AK1200" i="2" a="1"/>
  <c r="AK1200" i="2"/>
  <c r="AK1201" i="2" a="1"/>
  <c r="AK1201" i="2" s="1"/>
  <c r="AK1202" i="2" a="1"/>
  <c r="AK1202" i="2" s="1"/>
  <c r="AK1203" i="2" a="1"/>
  <c r="AK1203" i="2" s="1"/>
  <c r="AK1204" i="2" a="1"/>
  <c r="AK1204" i="2" s="1"/>
  <c r="AK1205" i="2" a="1"/>
  <c r="AK1205" i="2"/>
  <c r="AK1206" i="2" a="1"/>
  <c r="AK1206" i="2"/>
  <c r="AK1207" i="2" a="1"/>
  <c r="AK1207" i="2" s="1"/>
  <c r="AK1208" i="2" a="1"/>
  <c r="AK1208" i="2" s="1"/>
  <c r="AK1209" i="2" a="1"/>
  <c r="AK1209" i="2" s="1"/>
  <c r="AK1210" i="2" a="1"/>
  <c r="AK1210" i="2" s="1"/>
  <c r="AK1211" i="2" a="1"/>
  <c r="AK1211" i="2" s="1"/>
  <c r="AK1212" i="2" a="1"/>
  <c r="AK1212" i="2"/>
  <c r="AK1213" i="2" a="1"/>
  <c r="AK1213" i="2" s="1"/>
  <c r="AK1214" i="2" a="1"/>
  <c r="AK1214" i="2" s="1"/>
  <c r="AK1215" i="2" a="1"/>
  <c r="AK1215" i="2"/>
  <c r="AK1216" i="2" a="1"/>
  <c r="AK1216" i="2" s="1"/>
  <c r="AK1217" i="2" a="1"/>
  <c r="AK1217" i="2" s="1"/>
  <c r="AK1218" i="2" a="1"/>
  <c r="AK1218" i="2" s="1"/>
  <c r="AK1219" i="2" a="1"/>
  <c r="AK1219" i="2" s="1"/>
  <c r="AK1220" i="2" a="1"/>
  <c r="AK1220" i="2" s="1"/>
  <c r="AK1221" i="2" a="1"/>
  <c r="AK1221" i="2"/>
  <c r="AK1222" i="2" a="1"/>
  <c r="AK1222" i="2"/>
  <c r="AK1223" i="2" a="1"/>
  <c r="AK1223" i="2" s="1"/>
  <c r="AK1224" i="2" a="1"/>
  <c r="AK1224" i="2" s="1"/>
  <c r="AK1225" i="2" a="1"/>
  <c r="AK1225" i="2" s="1"/>
  <c r="AK1226" i="2" a="1"/>
  <c r="AK1226" i="2" s="1"/>
  <c r="AK1227" i="2" a="1"/>
  <c r="AK1227" i="2"/>
  <c r="AK1228" i="2" a="1"/>
  <c r="AK1228" i="2"/>
  <c r="AK1229" i="2" a="1"/>
  <c r="AK1229" i="2"/>
  <c r="AK1230" i="2" a="1"/>
  <c r="AK1230" i="2" s="1"/>
  <c r="AK1231" i="2" a="1"/>
  <c r="AK1231" i="2" s="1"/>
  <c r="AK1232" i="2" a="1"/>
  <c r="AK1232" i="2" s="1"/>
  <c r="AK1233" i="2" a="1"/>
  <c r="AK1233" i="2" s="1"/>
  <c r="AK1234" i="2" a="1"/>
  <c r="AK1234" i="2"/>
  <c r="AK1235" i="2" a="1"/>
  <c r="AK1235" i="2" s="1"/>
  <c r="AK1236" i="2" a="1"/>
  <c r="AK1236" i="2"/>
  <c r="AK1237" i="2" a="1"/>
  <c r="AK1237" i="2" s="1"/>
  <c r="AK1238" i="2" a="1"/>
  <c r="AK1238" i="2" s="1"/>
  <c r="AK1239" i="2" a="1"/>
  <c r="AK1239" i="2" s="1"/>
  <c r="AK1240" i="2" a="1"/>
  <c r="AK1240" i="2" s="1"/>
  <c r="AK1241" i="2" a="1"/>
  <c r="AK1241" i="2"/>
  <c r="AK1242" i="2" a="1"/>
  <c r="AK1242" i="2" s="1"/>
  <c r="AK1243" i="2" a="1"/>
  <c r="AK1243" i="2" s="1"/>
  <c r="AK1244" i="2" a="1"/>
  <c r="AK1244" i="2" s="1"/>
  <c r="AK1245" i="2" a="1"/>
  <c r="AK1245" i="2" s="1"/>
  <c r="AK1246" i="2" a="1"/>
  <c r="AK1246" i="2" s="1"/>
  <c r="AK1247" i="2" a="1"/>
  <c r="AK1247" i="2" s="1"/>
  <c r="AK1248" i="2" a="1"/>
  <c r="AK1248" i="2"/>
  <c r="AK1249" i="2" a="1"/>
  <c r="AK1249" i="2" s="1"/>
  <c r="AK1250" i="2" a="1"/>
  <c r="AK1250" i="2" s="1"/>
  <c r="AK1251" i="2" a="1"/>
  <c r="AK1251" i="2"/>
  <c r="AK1252" i="2" a="1"/>
  <c r="AK1252" i="2" s="1"/>
  <c r="AK1253" i="2" a="1"/>
  <c r="AK1253" i="2" s="1"/>
  <c r="AK1254" i="2" a="1"/>
  <c r="AK1254" i="2" s="1"/>
  <c r="AK1255" i="2" a="1"/>
  <c r="AK1255" i="2" s="1"/>
  <c r="AK1256" i="2" a="1"/>
  <c r="AK1256" i="2" s="1"/>
  <c r="AK1257" i="2" a="1"/>
  <c r="AK1257" i="2" s="1"/>
  <c r="AK1258" i="2" a="1"/>
  <c r="AK1258" i="2"/>
  <c r="AK1259" i="2" a="1"/>
  <c r="AK1259" i="2" s="1"/>
  <c r="AK1260" i="2" a="1"/>
  <c r="AK1260" i="2" s="1"/>
  <c r="AK1261" i="2" a="1"/>
  <c r="AK1261" i="2" s="1"/>
  <c r="AK1262" i="2" a="1"/>
  <c r="AK1262" i="2" s="1"/>
  <c r="AK1263" i="2" a="1"/>
  <c r="AK1263" i="2"/>
  <c r="AK1264" i="2" a="1"/>
  <c r="AK1264" i="2" s="1"/>
  <c r="AK1265" i="2" a="1"/>
  <c r="AK1265" i="2"/>
  <c r="AK1266" i="2" a="1"/>
  <c r="AK1266" i="2" s="1"/>
  <c r="AK1267" i="2" a="1"/>
  <c r="AK1267" i="2" s="1"/>
  <c r="AK1268" i="2" a="1"/>
  <c r="AK1268" i="2" s="1"/>
  <c r="AK1269" i="2" a="1"/>
  <c r="AK1269" i="2" s="1"/>
  <c r="AK1270" i="2" a="1"/>
  <c r="AK1270" i="2"/>
  <c r="AK1271" i="2" a="1"/>
  <c r="AK1271" i="2" s="1"/>
  <c r="AK1272" i="2" a="1"/>
  <c r="AK1272" i="2"/>
  <c r="AK1273" i="2" a="1"/>
  <c r="AK1273" i="2" s="1"/>
  <c r="AK1274" i="2" a="1"/>
  <c r="AK1274" i="2" s="1"/>
  <c r="AK1275" i="2" a="1"/>
  <c r="AK1275" i="2" s="1"/>
  <c r="AK1276" i="2" a="1"/>
  <c r="AK1276" i="2" s="1"/>
  <c r="AK1277" i="2" a="1"/>
  <c r="AK1277" i="2"/>
  <c r="AK1278" i="2" a="1"/>
  <c r="AK1278" i="2" s="1"/>
  <c r="AK1279" i="2" a="1"/>
  <c r="AK1279" i="2" s="1"/>
  <c r="AK1280" i="2" a="1"/>
  <c r="AK1280" i="2" s="1"/>
  <c r="AK1281" i="2" a="1"/>
  <c r="AK1281" i="2" s="1"/>
  <c r="AK1282" i="2" a="1"/>
  <c r="AK1282" i="2" s="1"/>
  <c r="AK1283" i="2" a="1"/>
  <c r="AK1283" i="2" s="1"/>
  <c r="AK1284" i="2" a="1"/>
  <c r="AK1284" i="2"/>
  <c r="AK1285" i="2" a="1"/>
  <c r="AK1285" i="2" s="1"/>
  <c r="AK1286" i="2" a="1"/>
  <c r="AK1286" i="2" s="1"/>
  <c r="AK1287" i="2" a="1"/>
  <c r="AK1287" i="2"/>
  <c r="AK1288" i="2" a="1"/>
  <c r="AK1288" i="2" s="1"/>
  <c r="AK1289" i="2" a="1"/>
  <c r="AK1289" i="2" s="1"/>
  <c r="AK1290" i="2" a="1"/>
  <c r="AK1290" i="2" s="1"/>
  <c r="AK1291" i="2" a="1"/>
  <c r="AK1291" i="2" s="1"/>
  <c r="AK1292" i="2" a="1"/>
  <c r="AK1292" i="2" s="1"/>
  <c r="AK1293" i="2" a="1"/>
  <c r="AK1293" i="2" s="1"/>
  <c r="AK1294" i="2" a="1"/>
  <c r="AK1294" i="2"/>
  <c r="AK1295" i="2" a="1"/>
  <c r="AK1295" i="2" s="1"/>
  <c r="AK1296" i="2" a="1"/>
  <c r="AK1296" i="2" s="1"/>
  <c r="AK1297" i="2" a="1"/>
  <c r="AK1297" i="2" s="1"/>
  <c r="AK1298" i="2" a="1"/>
  <c r="AK1298" i="2" s="1"/>
  <c r="AK1299" i="2" a="1"/>
  <c r="AK1299" i="2"/>
  <c r="AK1300" i="2" a="1"/>
  <c r="AK1300" i="2" s="1"/>
  <c r="AK1301" i="2" a="1"/>
  <c r="AK1301" i="2"/>
  <c r="AK1302" i="2" a="1"/>
  <c r="AK1302" i="2" s="1"/>
  <c r="AK1303" i="2" a="1"/>
  <c r="AK1303" i="2" s="1"/>
  <c r="AK1304" i="2" a="1"/>
  <c r="AK1304" i="2" s="1"/>
  <c r="AK1305" i="2" a="1"/>
  <c r="AK1305" i="2" s="1"/>
  <c r="AK1306" i="2" a="1"/>
  <c r="AK1306" i="2"/>
  <c r="AK1307" i="2" a="1"/>
  <c r="AK1307" i="2" s="1"/>
  <c r="AK1308" i="2" a="1"/>
  <c r="AK1308" i="2"/>
  <c r="AK1309" i="2" a="1"/>
  <c r="AK1309" i="2" s="1"/>
  <c r="AK1310" i="2" a="1"/>
  <c r="AK1310" i="2" s="1"/>
  <c r="AK1311" i="2" a="1"/>
  <c r="AK1311" i="2" s="1"/>
  <c r="AK1312" i="2" a="1"/>
  <c r="AK1312" i="2" s="1"/>
  <c r="AK1313" i="2" a="1"/>
  <c r="AK1313" i="2"/>
  <c r="AK1314" i="2" a="1"/>
  <c r="AK1314" i="2" s="1"/>
  <c r="AK1315" i="2" a="1"/>
  <c r="AK1315" i="2" s="1"/>
  <c r="AK1316" i="2" a="1"/>
  <c r="AK1316" i="2" s="1"/>
  <c r="AK1317" i="2" a="1"/>
  <c r="AK1317" i="2" s="1"/>
  <c r="AK1318" i="2" a="1"/>
  <c r="AK1318" i="2" s="1"/>
  <c r="AK1319" i="2" a="1"/>
  <c r="AK1319" i="2" s="1"/>
  <c r="AK1320" i="2" a="1"/>
  <c r="AK1320" i="2"/>
  <c r="AK1321" i="2" a="1"/>
  <c r="AK1321" i="2" s="1"/>
  <c r="AK1322" i="2" a="1"/>
  <c r="AK1322" i="2" s="1"/>
  <c r="AK1323" i="2" a="1"/>
  <c r="AK1323" i="2"/>
  <c r="AK1324" i="2" a="1"/>
  <c r="AK1324" i="2" s="1"/>
  <c r="AK1325" i="2" a="1"/>
  <c r="AK1325" i="2" s="1"/>
  <c r="AK1326" i="2" a="1"/>
  <c r="AK1326" i="2" s="1"/>
  <c r="AK1327" i="2" a="1"/>
  <c r="AK1327" i="2" s="1"/>
  <c r="AK1328" i="2" a="1"/>
  <c r="AK1328" i="2" s="1"/>
  <c r="AK1329" i="2" a="1"/>
  <c r="AK1329" i="2" s="1"/>
  <c r="AK1330" i="2" a="1"/>
  <c r="AK1330" i="2"/>
  <c r="AK1331" i="2" a="1"/>
  <c r="AK1331" i="2" s="1"/>
  <c r="AK1332" i="2" a="1"/>
  <c r="AK1332" i="2" s="1"/>
  <c r="AK1333" i="2" a="1"/>
  <c r="AK1333" i="2" s="1"/>
  <c r="AK1334" i="2" a="1"/>
  <c r="AK1334" i="2" s="1"/>
  <c r="AK1335" i="2" a="1"/>
  <c r="AK1335" i="2"/>
  <c r="AK1336" i="2" a="1"/>
  <c r="AK1336" i="2" s="1"/>
  <c r="AK1337" i="2" a="1"/>
  <c r="AK1337" i="2"/>
  <c r="AK1338" i="2" a="1"/>
  <c r="AK1338" i="2" s="1"/>
  <c r="AK1339" i="2" a="1"/>
  <c r="AK1339" i="2" s="1"/>
  <c r="AK1340" i="2" a="1"/>
  <c r="AK1340" i="2" s="1"/>
  <c r="AK1341" i="2" a="1"/>
  <c r="AK1341" i="2" s="1"/>
  <c r="AK1342" i="2" a="1"/>
  <c r="AK1342" i="2"/>
  <c r="AK1343" i="2" a="1"/>
  <c r="AK1343" i="2" s="1"/>
  <c r="AK1344" i="2" a="1"/>
  <c r="AK1344" i="2"/>
  <c r="AK1345" i="2" a="1"/>
  <c r="AK1345" i="2" s="1"/>
  <c r="AK1346" i="2" a="1"/>
  <c r="AK1346" i="2" s="1"/>
  <c r="AK1347" i="2" a="1"/>
  <c r="AK1347" i="2" s="1"/>
  <c r="AK1348" i="2" a="1"/>
  <c r="AK1348" i="2" s="1"/>
  <c r="AK1349" i="2" a="1"/>
  <c r="AK1349" i="2"/>
  <c r="AK1350" i="2" a="1"/>
  <c r="AK1350" i="2" s="1"/>
  <c r="AK1351" i="2" a="1"/>
  <c r="AK1351" i="2" s="1"/>
  <c r="AK1352" i="2" a="1"/>
  <c r="AK1352" i="2" s="1"/>
  <c r="AK1353" i="2" a="1"/>
  <c r="AK1353" i="2" s="1"/>
  <c r="AK1354" i="2" a="1"/>
  <c r="AK1354" i="2" s="1"/>
  <c r="AK1355" i="2" a="1"/>
  <c r="AK1355" i="2" s="1"/>
  <c r="AK1356" i="2" a="1"/>
  <c r="AK1356" i="2"/>
  <c r="AK1357" i="2" a="1"/>
  <c r="AK1357" i="2" s="1"/>
  <c r="AK1358" i="2" a="1"/>
  <c r="AK1358" i="2" s="1"/>
  <c r="AK1359" i="2" a="1"/>
  <c r="AK1359" i="2"/>
  <c r="AK1360" i="2" a="1"/>
  <c r="AK1360" i="2" s="1"/>
  <c r="AK1361" i="2" a="1"/>
  <c r="AK1361" i="2" s="1"/>
  <c r="AK1362" i="2" a="1"/>
  <c r="AK1362" i="2" s="1"/>
  <c r="AK1363" i="2" a="1"/>
  <c r="AK1363" i="2" s="1"/>
  <c r="AK1364" i="2" a="1"/>
  <c r="AK1364" i="2" s="1"/>
  <c r="AK1365" i="2" a="1"/>
  <c r="AK1365" i="2" s="1"/>
  <c r="AK1366" i="2" a="1"/>
  <c r="AK1366" i="2"/>
  <c r="AK1367" i="2" a="1"/>
  <c r="AK1367" i="2" s="1"/>
  <c r="AK1368" i="2" a="1"/>
  <c r="AK1368" i="2" s="1"/>
  <c r="AK1369" i="2" a="1"/>
  <c r="AK1369" i="2" s="1"/>
  <c r="AK1370" i="2" a="1"/>
  <c r="AK1370" i="2" s="1"/>
  <c r="AK1371" i="2" a="1"/>
  <c r="AK1371" i="2"/>
  <c r="AK1372" i="2" a="1"/>
  <c r="AK1372" i="2" s="1"/>
  <c r="AK1373" i="2" a="1"/>
  <c r="AK1373" i="2"/>
  <c r="AK1374" i="2" a="1"/>
  <c r="AK1374" i="2" s="1"/>
  <c r="AK1375" i="2" a="1"/>
  <c r="AK1375" i="2" s="1"/>
  <c r="AK1376" i="2" a="1"/>
  <c r="AK1376" i="2" s="1"/>
  <c r="AK1377" i="2" a="1"/>
  <c r="AK1377" i="2" s="1"/>
  <c r="AK1378" i="2" a="1"/>
  <c r="AK1378" i="2"/>
  <c r="AK1379" i="2" a="1"/>
  <c r="AK1379" i="2" s="1"/>
  <c r="AK1380" i="2" a="1"/>
  <c r="AK1380" i="2"/>
  <c r="AK1381" i="2" a="1"/>
  <c r="AK1381" i="2" s="1"/>
  <c r="AK1382" i="2" a="1"/>
  <c r="AK1382" i="2" s="1"/>
  <c r="AK1383" i="2" a="1"/>
  <c r="AK1383" i="2" s="1"/>
  <c r="AK1384" i="2" a="1"/>
  <c r="AK1384" i="2" s="1"/>
  <c r="AK1385" i="2" a="1"/>
  <c r="AK1385" i="2"/>
  <c r="AK1386" i="2" a="1"/>
  <c r="AK1386" i="2" s="1"/>
  <c r="AK1387" i="2" a="1"/>
  <c r="AK1387" i="2" s="1"/>
  <c r="AK1388" i="2" a="1"/>
  <c r="AK1388" i="2" s="1"/>
  <c r="AK1389" i="2" a="1"/>
  <c r="AK1389" i="2" s="1"/>
  <c r="AK1390" i="2" a="1"/>
  <c r="AK1390" i="2" s="1"/>
  <c r="AK1391" i="2" a="1"/>
  <c r="AK1391" i="2" s="1"/>
  <c r="AK1392" i="2" a="1"/>
  <c r="AK1392" i="2"/>
  <c r="AK1393" i="2" a="1"/>
  <c r="AK1393" i="2" s="1"/>
  <c r="AK1394" i="2" a="1"/>
  <c r="AK1394" i="2" s="1"/>
  <c r="AK1395" i="2" a="1"/>
  <c r="AK1395" i="2"/>
  <c r="AK1396" i="2" a="1"/>
  <c r="AK1396" i="2" s="1"/>
  <c r="AK1397" i="2" a="1"/>
  <c r="AK1397" i="2" s="1"/>
  <c r="AK1398" i="2" a="1"/>
  <c r="AK1398" i="2" s="1"/>
  <c r="AK1399" i="2" a="1"/>
  <c r="AK1399" i="2" s="1"/>
  <c r="AK1400" i="2" a="1"/>
  <c r="AK1400" i="2" s="1"/>
  <c r="AK1401" i="2" a="1"/>
  <c r="AK1401" i="2" s="1"/>
  <c r="AK1402" i="2" a="1"/>
  <c r="AK1402" i="2"/>
  <c r="AK1403" i="2" a="1"/>
  <c r="AK1403" i="2" s="1"/>
  <c r="AK1404" i="2" a="1"/>
  <c r="AK1404" i="2" s="1"/>
  <c r="AK1405" i="2" a="1"/>
  <c r="AK1405" i="2" s="1"/>
  <c r="AK1406" i="2" a="1"/>
  <c r="AK1406" i="2" s="1"/>
  <c r="AK1407" i="2" a="1"/>
  <c r="AK1407" i="2"/>
  <c r="AK1408" i="2" a="1"/>
  <c r="AK1408" i="2" s="1"/>
  <c r="AK1409" i="2" a="1"/>
  <c r="AK1409" i="2"/>
  <c r="AK1410" i="2" a="1"/>
  <c r="AK1410" i="2" s="1"/>
  <c r="AK1411" i="2" a="1"/>
  <c r="AK1411" i="2" s="1"/>
  <c r="AK1412" i="2" a="1"/>
  <c r="AK1412" i="2" s="1"/>
  <c r="AK1413" i="2" a="1"/>
  <c r="AK1413" i="2" s="1"/>
  <c r="AK1414" i="2" a="1"/>
  <c r="AK1414" i="2"/>
  <c r="AK1415" i="2" a="1"/>
  <c r="AK1415" i="2" s="1"/>
  <c r="AK1416" i="2" a="1"/>
  <c r="AK1416" i="2"/>
  <c r="AK1417" i="2" a="1"/>
  <c r="AK1417" i="2" s="1"/>
  <c r="AK1418" i="2" a="1"/>
  <c r="AK1418" i="2" s="1"/>
  <c r="AK1419" i="2" a="1"/>
  <c r="AK1419" i="2" s="1"/>
  <c r="AK1420" i="2" a="1"/>
  <c r="AK1420" i="2" s="1"/>
  <c r="AK1421" i="2" a="1"/>
  <c r="AK1421" i="2"/>
  <c r="AK1422" i="2" a="1"/>
  <c r="AK1422" i="2" s="1"/>
  <c r="AK1423" i="2" a="1"/>
  <c r="AK1423" i="2"/>
  <c r="AK1424" i="2" a="1"/>
  <c r="AK1424" i="2" s="1"/>
  <c r="AK1425" i="2" a="1"/>
  <c r="AK1425" i="2"/>
  <c r="AK1426" i="2" a="1"/>
  <c r="AK1426" i="2"/>
  <c r="AK1427" i="2" a="1"/>
  <c r="AK1427" i="2"/>
  <c r="AK1428" i="2" a="1"/>
  <c r="AK1428" i="2" s="1"/>
  <c r="AK1429" i="2" a="1"/>
  <c r="AK1429" i="2"/>
  <c r="AK1430" i="2" a="1"/>
  <c r="AK1430" i="2" s="1"/>
  <c r="AK1431" i="2" a="1"/>
  <c r="AK1431" i="2" s="1"/>
  <c r="AK1432" i="2" a="1"/>
  <c r="AK1432" i="2" s="1"/>
  <c r="AK1433" i="2" a="1"/>
  <c r="AK1433" i="2" s="1"/>
  <c r="AK1434" i="2" a="1"/>
  <c r="AK1434" i="2"/>
  <c r="AK1435" i="2" a="1"/>
  <c r="AK1435" i="2" s="1"/>
  <c r="AK1436" i="2" a="1"/>
  <c r="AK1436" i="2" s="1"/>
  <c r="AK1437" i="2" a="1"/>
  <c r="AK1437" i="2" s="1"/>
  <c r="AK1438" i="2" a="1"/>
  <c r="AK1438" i="2"/>
  <c r="AK1439" i="2" a="1"/>
  <c r="AK1439" i="2"/>
  <c r="AK1440" i="2" a="1"/>
  <c r="AK1440" i="2"/>
  <c r="AK1441" i="2" a="1"/>
  <c r="AK1441" i="2" s="1"/>
  <c r="AK1442" i="2" a="1"/>
  <c r="AK1442" i="2" s="1"/>
  <c r="AK1443" i="2" a="1"/>
  <c r="AK1443" i="2"/>
  <c r="AK1444" i="2" a="1"/>
  <c r="AK1444" i="2" s="1"/>
  <c r="AK1445" i="2" a="1"/>
  <c r="AK1445" i="2" s="1"/>
  <c r="AK1446" i="2" a="1"/>
  <c r="AK1446" i="2" s="1"/>
  <c r="AK1447" i="2" a="1"/>
  <c r="AK1447" i="2"/>
  <c r="AK1448" i="2" a="1"/>
  <c r="AK1448" i="2" s="1"/>
  <c r="AK1449" i="2" a="1"/>
  <c r="AK1449" i="2"/>
  <c r="AK1450" i="2" a="1"/>
  <c r="AK1450" i="2" s="1"/>
  <c r="AK1451" i="2" a="1"/>
  <c r="AK1451" i="2"/>
  <c r="AK1452" i="2" a="1"/>
  <c r="AK1452" i="2"/>
  <c r="AK1453" i="2" a="1"/>
  <c r="AK1453" i="2"/>
  <c r="AK1454" i="2" a="1"/>
  <c r="AK1454" i="2" s="1"/>
  <c r="AK1455" i="2" a="1"/>
  <c r="AK1455" i="2" s="1"/>
  <c r="AK1456" i="2" a="1"/>
  <c r="AK1456" i="2"/>
  <c r="AK1457" i="2" a="1"/>
  <c r="AK1457" i="2" s="1"/>
  <c r="AK1458" i="2" a="1"/>
  <c r="AK1458" i="2" s="1"/>
  <c r="AK1459" i="2" a="1"/>
  <c r="AK1459" i="2" s="1"/>
  <c r="AK1460" i="2" a="1"/>
  <c r="AK1460" i="2" s="1"/>
  <c r="AK1461" i="2" a="1"/>
  <c r="AK1461" i="2" s="1"/>
  <c r="AK1462" i="2" a="1"/>
  <c r="AK1462" i="2"/>
  <c r="AK1463" i="2" a="1"/>
  <c r="AK1463" i="2" s="1"/>
  <c r="AK1464" i="2" a="1"/>
  <c r="AK1464" i="2"/>
  <c r="AK1465" i="2" a="1"/>
  <c r="AK1465" i="2"/>
  <c r="AK1466" i="2" a="1"/>
  <c r="AK1466" i="2" s="1"/>
  <c r="AK1467" i="2" a="1"/>
  <c r="AK1467" i="2"/>
  <c r="AK1468" i="2" a="1"/>
  <c r="AK1468" i="2" s="1"/>
  <c r="AK1469" i="2" a="1"/>
  <c r="AK1469" i="2"/>
  <c r="AK1470" i="2" a="1"/>
  <c r="AK1470" i="2" s="1"/>
  <c r="AK1471" i="2" a="1"/>
  <c r="AK1471" i="2" s="1"/>
  <c r="AK2" i="2" a="1"/>
  <c r="AK2" i="2" s="1"/>
  <c r="AJ3" i="2" a="1"/>
  <c r="AJ3" i="2" s="1"/>
  <c r="AJ4" i="2" a="1"/>
  <c r="AJ4" i="2"/>
  <c r="AJ5" i="2" a="1"/>
  <c r="AJ5" i="2" s="1"/>
  <c r="AJ6" i="2" a="1"/>
  <c r="AJ6" i="2" s="1"/>
  <c r="AJ7" i="2" a="1"/>
  <c r="AJ7" i="2" s="1"/>
  <c r="AJ8" i="2" a="1"/>
  <c r="AJ8" i="2"/>
  <c r="AJ9" i="2" a="1"/>
  <c r="AJ9" i="2" s="1"/>
  <c r="AJ10" i="2" a="1"/>
  <c r="AJ10" i="2" s="1"/>
  <c r="AJ11" i="2" a="1"/>
  <c r="AJ11" i="2" s="1"/>
  <c r="AJ12" i="2" a="1"/>
  <c r="AJ12" i="2" s="1"/>
  <c r="AJ13" i="2" a="1"/>
  <c r="AJ13" i="2" s="1"/>
  <c r="AJ14" i="2" a="1"/>
  <c r="AJ14" i="2" s="1"/>
  <c r="AJ15" i="2" a="1"/>
  <c r="AJ15" i="2" s="1"/>
  <c r="AJ16" i="2" a="1"/>
  <c r="AJ16" i="2" s="1"/>
  <c r="AJ17" i="2" a="1"/>
  <c r="AJ17" i="2" s="1"/>
  <c r="AJ18" i="2" a="1"/>
  <c r="AJ18" i="2" s="1"/>
  <c r="AJ19" i="2" a="1"/>
  <c r="AJ19" i="2" s="1"/>
  <c r="AJ20" i="2" a="1"/>
  <c r="AJ20" i="2" s="1"/>
  <c r="AJ21" i="2" a="1"/>
  <c r="AJ21" i="2" s="1"/>
  <c r="AJ22" i="2" a="1"/>
  <c r="AJ22" i="2"/>
  <c r="AJ23" i="2" a="1"/>
  <c r="AJ23" i="2"/>
  <c r="AJ24" i="2" a="1"/>
  <c r="AJ24" i="2" s="1"/>
  <c r="AJ25" i="2" a="1"/>
  <c r="AJ25" i="2" s="1"/>
  <c r="AJ26" i="2" a="1"/>
  <c r="AJ26" i="2" s="1"/>
  <c r="AJ27" i="2" a="1"/>
  <c r="AJ27" i="2" s="1"/>
  <c r="AJ28" i="2" a="1"/>
  <c r="AJ28" i="2" s="1"/>
  <c r="AJ29" i="2" a="1"/>
  <c r="AJ29" i="2"/>
  <c r="AJ30" i="2" a="1"/>
  <c r="AJ30" i="2" s="1"/>
  <c r="AJ31" i="2" a="1"/>
  <c r="AJ31" i="2" s="1"/>
  <c r="AJ32" i="2" a="1"/>
  <c r="AJ32" i="2"/>
  <c r="AJ33" i="2" a="1"/>
  <c r="AJ33" i="2" s="1"/>
  <c r="AJ34" i="2" a="1"/>
  <c r="AJ34" i="2" s="1"/>
  <c r="AJ35" i="2" a="1"/>
  <c r="AJ35" i="2" s="1"/>
  <c r="AJ36" i="2" a="1"/>
  <c r="AJ36" i="2" s="1"/>
  <c r="AJ37" i="2" a="1"/>
  <c r="AJ37" i="2" s="1"/>
  <c r="AJ38" i="2" a="1"/>
  <c r="AJ38" i="2" s="1"/>
  <c r="AJ39" i="2" a="1"/>
  <c r="AJ39" i="2" s="1"/>
  <c r="AJ40" i="2" a="1"/>
  <c r="AJ40" i="2" s="1"/>
  <c r="AJ41" i="2" a="1"/>
  <c r="AJ41" i="2"/>
  <c r="AJ42" i="2" a="1"/>
  <c r="AJ42" i="2" s="1"/>
  <c r="AJ43" i="2" a="1"/>
  <c r="AJ43" i="2"/>
  <c r="AJ44" i="2" a="1"/>
  <c r="AJ44" i="2" s="1"/>
  <c r="AJ45" i="2" a="1"/>
  <c r="AJ45" i="2" s="1"/>
  <c r="AJ46" i="2" a="1"/>
  <c r="AJ46" i="2" s="1"/>
  <c r="AJ47" i="2" a="1"/>
  <c r="AJ47" i="2" s="1"/>
  <c r="AJ48" i="2" a="1"/>
  <c r="AJ48" i="2" s="1"/>
  <c r="AJ49" i="2" a="1"/>
  <c r="AJ49" i="2" s="1"/>
  <c r="AJ50" i="2" a="1"/>
  <c r="AJ50" i="2" s="1"/>
  <c r="AJ51" i="2" a="1"/>
  <c r="AJ51" i="2" s="1"/>
  <c r="AJ52" i="2" a="1"/>
  <c r="AJ52" i="2" s="1"/>
  <c r="AJ53" i="2" a="1"/>
  <c r="AJ53" i="2" s="1"/>
  <c r="AJ54" i="2" a="1"/>
  <c r="AJ54" i="2" s="1"/>
  <c r="AJ55" i="2" a="1"/>
  <c r="AJ55" i="2" s="1"/>
  <c r="AJ56" i="2" a="1"/>
  <c r="AJ56" i="2" s="1"/>
  <c r="AJ57" i="2" a="1"/>
  <c r="AJ57" i="2" s="1"/>
  <c r="AJ58" i="2" a="1"/>
  <c r="AJ58" i="2" s="1"/>
  <c r="AJ59" i="2" a="1"/>
  <c r="AJ59" i="2" s="1"/>
  <c r="AJ60" i="2" a="1"/>
  <c r="AJ60" i="2" s="1"/>
  <c r="AJ61" i="2" a="1"/>
  <c r="AJ61" i="2" s="1"/>
  <c r="AJ62" i="2" a="1"/>
  <c r="AJ62" i="2" s="1"/>
  <c r="AJ63" i="2" a="1"/>
  <c r="AJ63" i="2" s="1"/>
  <c r="AJ64" i="2" a="1"/>
  <c r="AJ64" i="2" s="1"/>
  <c r="AJ65" i="2" a="1"/>
  <c r="AJ65" i="2" s="1"/>
  <c r="AJ66" i="2" a="1"/>
  <c r="AJ66" i="2" s="1"/>
  <c r="AJ67" i="2" a="1"/>
  <c r="AJ67" i="2" s="1"/>
  <c r="AJ68" i="2" a="1"/>
  <c r="AJ68" i="2"/>
  <c r="AJ69" i="2" a="1"/>
  <c r="AJ69" i="2" s="1"/>
  <c r="AJ70" i="2" a="1"/>
  <c r="AJ70" i="2"/>
  <c r="AJ71" i="2" a="1"/>
  <c r="AJ71" i="2"/>
  <c r="AJ72" i="2" a="1"/>
  <c r="AJ72" i="2" s="1"/>
  <c r="AJ73" i="2" a="1"/>
  <c r="AJ73" i="2" s="1"/>
  <c r="AJ74" i="2" a="1"/>
  <c r="AJ74" i="2"/>
  <c r="AJ75" i="2" a="1"/>
  <c r="AJ75" i="2" s="1"/>
  <c r="AJ76" i="2" a="1"/>
  <c r="AJ76" i="2"/>
  <c r="AJ77" i="2" a="1"/>
  <c r="AJ77" i="2" s="1"/>
  <c r="AJ78" i="2" a="1"/>
  <c r="AJ78" i="2" s="1"/>
  <c r="AJ79" i="2" a="1"/>
  <c r="AJ79" i="2"/>
  <c r="AJ80" i="2" a="1"/>
  <c r="AJ80" i="2" s="1"/>
  <c r="AJ81" i="2" a="1"/>
  <c r="AJ81" i="2" s="1"/>
  <c r="AJ82" i="2" a="1"/>
  <c r="AJ82" i="2" s="1"/>
  <c r="AJ83" i="2" a="1"/>
  <c r="AJ83" i="2" s="1"/>
  <c r="AJ84" i="2" a="1"/>
  <c r="AJ84" i="2" s="1"/>
  <c r="AJ85" i="2" a="1"/>
  <c r="AJ85" i="2"/>
  <c r="AJ86" i="2" a="1"/>
  <c r="AJ86" i="2" s="1"/>
  <c r="AJ87" i="2" a="1"/>
  <c r="AJ87" i="2" s="1"/>
  <c r="AJ88" i="2" a="1"/>
  <c r="AJ88" i="2" s="1"/>
  <c r="AJ89" i="2" a="1"/>
  <c r="AJ89" i="2" s="1"/>
  <c r="AJ90" i="2" a="1"/>
  <c r="AJ90" i="2" s="1"/>
  <c r="AJ91" i="2" a="1"/>
  <c r="AJ91" i="2" s="1"/>
  <c r="AJ92" i="2" a="1"/>
  <c r="AJ92" i="2" s="1"/>
  <c r="AJ93" i="2" a="1"/>
  <c r="AJ93" i="2" s="1"/>
  <c r="AJ94" i="2" a="1"/>
  <c r="AJ94" i="2" s="1"/>
  <c r="AJ95" i="2" a="1"/>
  <c r="AJ95" i="2" s="1"/>
  <c r="AJ96" i="2" a="1"/>
  <c r="AJ96" i="2" s="1"/>
  <c r="AJ97" i="2" a="1"/>
  <c r="AJ97" i="2"/>
  <c r="AJ98" i="2" a="1"/>
  <c r="AJ98" i="2" s="1"/>
  <c r="AJ99" i="2" a="1"/>
  <c r="AJ99" i="2" s="1"/>
  <c r="AJ100" i="2" a="1"/>
  <c r="AJ100" i="2"/>
  <c r="AJ101" i="2" a="1"/>
  <c r="AJ101" i="2"/>
  <c r="AJ102" i="2" a="1"/>
  <c r="AJ102" i="2" s="1"/>
  <c r="AJ103" i="2" a="1"/>
  <c r="AJ103" i="2" s="1"/>
  <c r="AJ104" i="2" a="1"/>
  <c r="AJ104" i="2"/>
  <c r="AJ105" i="2" a="1"/>
  <c r="AJ105" i="2" s="1"/>
  <c r="AJ106" i="2" a="1"/>
  <c r="AJ106" i="2"/>
  <c r="AJ107" i="2" a="1"/>
  <c r="AJ107" i="2"/>
  <c r="AJ108" i="2" a="1"/>
  <c r="AJ108" i="2" s="1"/>
  <c r="AJ109" i="2" a="1"/>
  <c r="AJ109" i="2" s="1"/>
  <c r="AJ110" i="2" a="1"/>
  <c r="AJ110" i="2" s="1"/>
  <c r="AJ111" i="2" a="1"/>
  <c r="AJ111" i="2" s="1"/>
  <c r="AJ112" i="2" a="1"/>
  <c r="AJ112" i="2" s="1"/>
  <c r="AJ113" i="2" a="1"/>
  <c r="AJ113" i="2"/>
  <c r="AJ114" i="2" a="1"/>
  <c r="AJ114" i="2" s="1"/>
  <c r="AJ115" i="2" a="1"/>
  <c r="AJ115" i="2" s="1"/>
  <c r="AJ116" i="2" a="1"/>
  <c r="AJ116" i="2" s="1"/>
  <c r="AJ117" i="2" a="1"/>
  <c r="AJ117" i="2" s="1"/>
  <c r="AJ118" i="2" a="1"/>
  <c r="AJ118" i="2" s="1"/>
  <c r="AJ119" i="2" a="1"/>
  <c r="AJ119" i="2" s="1"/>
  <c r="AJ120" i="2" a="1"/>
  <c r="AJ120" i="2" s="1"/>
  <c r="AJ121" i="2" a="1"/>
  <c r="AJ121" i="2" s="1"/>
  <c r="AJ122" i="2" a="1"/>
  <c r="AJ122" i="2" s="1"/>
  <c r="AJ123" i="2" a="1"/>
  <c r="AJ123" i="2" s="1"/>
  <c r="AJ124" i="2" a="1"/>
  <c r="AJ124" i="2" s="1"/>
  <c r="AJ125" i="2" a="1"/>
  <c r="AJ125" i="2" s="1"/>
  <c r="AJ126" i="2" a="1"/>
  <c r="AJ126" i="2" s="1"/>
  <c r="AJ127" i="2" a="1"/>
  <c r="AJ127" i="2" s="1"/>
  <c r="AJ128" i="2" a="1"/>
  <c r="AJ128" i="2" s="1"/>
  <c r="AJ129" i="2" a="1"/>
  <c r="AJ129" i="2" s="1"/>
  <c r="AJ130" i="2" a="1"/>
  <c r="AJ130" i="2" s="1"/>
  <c r="AJ131" i="2" a="1"/>
  <c r="AJ131" i="2" s="1"/>
  <c r="AJ132" i="2" a="1"/>
  <c r="AJ132" i="2" s="1"/>
  <c r="AJ133" i="2" a="1"/>
  <c r="AJ133" i="2"/>
  <c r="AJ134" i="2" a="1"/>
  <c r="AJ134" i="2" s="1"/>
  <c r="AJ135" i="2" a="1"/>
  <c r="AJ135" i="2" s="1"/>
  <c r="AJ136" i="2" a="1"/>
  <c r="AJ136" i="2" s="1"/>
  <c r="AJ137" i="2" a="1"/>
  <c r="AJ137" i="2"/>
  <c r="AJ138" i="2" a="1"/>
  <c r="AJ138" i="2" s="1"/>
  <c r="AJ139" i="2" a="1"/>
  <c r="AJ139" i="2"/>
  <c r="AJ140" i="2" a="1"/>
  <c r="AJ140" i="2" s="1"/>
  <c r="AJ141" i="2" a="1"/>
  <c r="AJ141" i="2" s="1"/>
  <c r="AJ142" i="2" a="1"/>
  <c r="AJ142" i="2" s="1"/>
  <c r="AJ143" i="2" a="1"/>
  <c r="AJ143" i="2" s="1"/>
  <c r="AJ144" i="2" a="1"/>
  <c r="AJ144" i="2" s="1"/>
  <c r="AJ145" i="2" a="1"/>
  <c r="AJ145" i="2" s="1"/>
  <c r="AJ146" i="2" a="1"/>
  <c r="AJ146" i="2" s="1"/>
  <c r="AJ147" i="2" a="1"/>
  <c r="AJ147" i="2" s="1"/>
  <c r="AJ148" i="2" a="1"/>
  <c r="AJ148" i="2" s="1"/>
  <c r="AJ149" i="2" a="1"/>
  <c r="AJ149" i="2" s="1"/>
  <c r="AJ150" i="2" a="1"/>
  <c r="AJ150" i="2" s="1"/>
  <c r="AJ151" i="2" a="1"/>
  <c r="AJ151" i="2" s="1"/>
  <c r="AJ152" i="2" a="1"/>
  <c r="AJ152" i="2" s="1"/>
  <c r="AJ153" i="2" a="1"/>
  <c r="AJ153" i="2" s="1"/>
  <c r="AJ154" i="2" a="1"/>
  <c r="AJ154" i="2" s="1"/>
  <c r="AJ155" i="2" a="1"/>
  <c r="AJ155" i="2" s="1"/>
  <c r="AJ156" i="2" a="1"/>
  <c r="AJ156" i="2" s="1"/>
  <c r="AJ157" i="2" a="1"/>
  <c r="AJ157" i="2" s="1"/>
  <c r="AJ158" i="2" a="1"/>
  <c r="AJ158" i="2" s="1"/>
  <c r="AJ159" i="2" a="1"/>
  <c r="AJ159" i="2" s="1"/>
  <c r="AJ160" i="2" a="1"/>
  <c r="AJ160" i="2" s="1"/>
  <c r="AJ161" i="2" a="1"/>
  <c r="AJ161" i="2" s="1"/>
  <c r="AJ162" i="2" a="1"/>
  <c r="AJ162" i="2" s="1"/>
  <c r="AJ163" i="2" a="1"/>
  <c r="AJ163" i="2" s="1"/>
  <c r="AJ164" i="2" a="1"/>
  <c r="AJ164" i="2"/>
  <c r="AJ165" i="2" a="1"/>
  <c r="AJ165" i="2" s="1"/>
  <c r="AJ166" i="2" a="1"/>
  <c r="AJ166" i="2"/>
  <c r="AJ167" i="2" a="1"/>
  <c r="AJ167" i="2" s="1"/>
  <c r="AJ168" i="2" a="1"/>
  <c r="AJ168" i="2" s="1"/>
  <c r="AJ169" i="2" a="1"/>
  <c r="AJ169" i="2" s="1"/>
  <c r="AJ170" i="2" a="1"/>
  <c r="AJ170" i="2" s="1"/>
  <c r="AJ171" i="2" a="1"/>
  <c r="AJ171" i="2" s="1"/>
  <c r="AJ172" i="2" a="1"/>
  <c r="AJ172" i="2"/>
  <c r="AJ173" i="2" a="1"/>
  <c r="AJ173" i="2" s="1"/>
  <c r="AJ174" i="2" a="1"/>
  <c r="AJ174" i="2" s="1"/>
  <c r="AJ175" i="2" a="1"/>
  <c r="AJ175" i="2"/>
  <c r="AJ176" i="2" a="1"/>
  <c r="AJ176" i="2" s="1"/>
  <c r="AJ177" i="2" a="1"/>
  <c r="AJ177" i="2" s="1"/>
  <c r="AJ178" i="2" a="1"/>
  <c r="AJ178" i="2" s="1"/>
  <c r="AJ179" i="2" a="1"/>
  <c r="AJ179" i="2"/>
  <c r="AJ180" i="2" a="1"/>
  <c r="AJ180" i="2" s="1"/>
  <c r="AJ181" i="2" a="1"/>
  <c r="AJ181" i="2"/>
  <c r="AJ182" i="2" a="1"/>
  <c r="AJ182" i="2"/>
  <c r="AJ183" i="2" a="1"/>
  <c r="AJ183" i="2" s="1"/>
  <c r="AJ184" i="2" a="1"/>
  <c r="AJ184" i="2" s="1"/>
  <c r="AJ185" i="2" a="1"/>
  <c r="AJ185" i="2" s="1"/>
  <c r="AJ186" i="2" a="1"/>
  <c r="AJ186" i="2" s="1"/>
  <c r="AJ187" i="2" a="1"/>
  <c r="AJ187" i="2" s="1"/>
  <c r="AJ188" i="2" a="1"/>
  <c r="AJ188" i="2"/>
  <c r="AJ189" i="2" a="1"/>
  <c r="AJ189" i="2" s="1"/>
  <c r="AJ190" i="2" a="1"/>
  <c r="AJ190" i="2" s="1"/>
  <c r="AJ191" i="2" a="1"/>
  <c r="AJ191" i="2" s="1"/>
  <c r="AJ192" i="2" a="1"/>
  <c r="AJ192" i="2" s="1"/>
  <c r="AJ193" i="2" a="1"/>
  <c r="AJ193" i="2" s="1"/>
  <c r="AJ194" i="2" a="1"/>
  <c r="AJ194" i="2" s="1"/>
  <c r="AJ195" i="2" a="1"/>
  <c r="AJ195" i="2" s="1"/>
  <c r="AJ196" i="2" a="1"/>
  <c r="AJ196" i="2" s="1"/>
  <c r="AJ197" i="2" a="1"/>
  <c r="AJ197" i="2" s="1"/>
  <c r="AJ198" i="2" a="1"/>
  <c r="AJ198" i="2" s="1"/>
  <c r="AJ199" i="2" a="1"/>
  <c r="AJ199" i="2" s="1"/>
  <c r="AJ200" i="2" a="1"/>
  <c r="AJ200" i="2"/>
  <c r="AJ201" i="2" a="1"/>
  <c r="AJ201" i="2" s="1"/>
  <c r="AJ202" i="2" a="1"/>
  <c r="AJ202" i="2" s="1"/>
  <c r="AJ203" i="2" a="1"/>
  <c r="AJ203" i="2" s="1"/>
  <c r="AJ204" i="2" a="1"/>
  <c r="AJ204" i="2" s="1"/>
  <c r="AJ205" i="2" a="1"/>
  <c r="AJ205" i="2" s="1"/>
  <c r="AJ206" i="2" a="1"/>
  <c r="AJ206" i="2" s="1"/>
  <c r="AJ207" i="2" a="1"/>
  <c r="AJ207" i="2" s="1"/>
  <c r="AJ208" i="2" a="1"/>
  <c r="AJ208" i="2"/>
  <c r="AJ209" i="2" a="1"/>
  <c r="AJ209" i="2"/>
  <c r="AJ210" i="2" a="1"/>
  <c r="AJ210" i="2" s="1"/>
  <c r="AJ211" i="2" a="1"/>
  <c r="AJ211" i="2" s="1"/>
  <c r="AJ212" i="2" a="1"/>
  <c r="AJ212" i="2"/>
  <c r="AJ213" i="2" a="1"/>
  <c r="AJ213" i="2" s="1"/>
  <c r="AJ214" i="2" a="1"/>
  <c r="AJ214" i="2"/>
  <c r="AJ215" i="2" a="1"/>
  <c r="AJ215" i="2" s="1"/>
  <c r="AJ216" i="2" a="1"/>
  <c r="AJ216" i="2" s="1"/>
  <c r="AJ217" i="2" a="1"/>
  <c r="AJ217" i="2" s="1"/>
  <c r="AJ218" i="2" a="1"/>
  <c r="AJ218" i="2" s="1"/>
  <c r="AJ219" i="2" a="1"/>
  <c r="AJ219" i="2" s="1"/>
  <c r="AJ220" i="2" a="1"/>
  <c r="AJ220" i="2" s="1"/>
  <c r="AJ221" i="2" a="1"/>
  <c r="AJ221" i="2" s="1"/>
  <c r="AJ222" i="2" a="1"/>
  <c r="AJ222" i="2" s="1"/>
  <c r="AJ223" i="2" a="1"/>
  <c r="AJ223" i="2" s="1"/>
  <c r="AJ224" i="2" a="1"/>
  <c r="AJ224" i="2" s="1"/>
  <c r="AJ225" i="2" a="1"/>
  <c r="AJ225" i="2" s="1"/>
  <c r="AJ226" i="2" a="1"/>
  <c r="AJ226" i="2" s="1"/>
  <c r="AJ227" i="2" a="1"/>
  <c r="AJ227" i="2" s="1"/>
  <c r="AJ228" i="2" a="1"/>
  <c r="AJ228" i="2" s="1"/>
  <c r="AJ229" i="2" a="1"/>
  <c r="AJ229" i="2"/>
  <c r="AJ230" i="2" a="1"/>
  <c r="AJ230" i="2" s="1"/>
  <c r="AJ231" i="2" a="1"/>
  <c r="AJ231" i="2" s="1"/>
  <c r="AJ232" i="2" a="1"/>
  <c r="AJ232" i="2" s="1"/>
  <c r="AJ233" i="2" a="1"/>
  <c r="AJ233" i="2" s="1"/>
  <c r="AJ234" i="2" a="1"/>
  <c r="AJ234" i="2" s="1"/>
  <c r="AJ235" i="2" a="1"/>
  <c r="AJ235" i="2" s="1"/>
  <c r="AJ236" i="2" a="1"/>
  <c r="AJ236" i="2" s="1"/>
  <c r="AJ237" i="2" a="1"/>
  <c r="AJ237" i="2" s="1"/>
  <c r="AJ238" i="2" a="1"/>
  <c r="AJ238" i="2" s="1"/>
  <c r="AJ239" i="2" a="1"/>
  <c r="AJ239" i="2"/>
  <c r="AJ240" i="2" a="1"/>
  <c r="AJ240" i="2" s="1"/>
  <c r="AJ241" i="2" a="1"/>
  <c r="AJ241" i="2"/>
  <c r="AJ242" i="2" a="1"/>
  <c r="AJ242" i="2" s="1"/>
  <c r="AJ243" i="2" a="1"/>
  <c r="AJ243" i="2" s="1"/>
  <c r="AJ244" i="2" a="1"/>
  <c r="AJ244" i="2" s="1"/>
  <c r="AJ245" i="2" a="1"/>
  <c r="AJ245" i="2" s="1"/>
  <c r="AJ246" i="2" a="1"/>
  <c r="AJ246" i="2" s="1"/>
  <c r="AJ247" i="2" a="1"/>
  <c r="AJ247" i="2" s="1"/>
  <c r="AJ248" i="2" a="1"/>
  <c r="AJ248" i="2"/>
  <c r="AJ249" i="2" a="1"/>
  <c r="AJ249" i="2" s="1"/>
  <c r="AJ250" i="2" a="1"/>
  <c r="AJ250" i="2"/>
  <c r="AJ251" i="2" a="1"/>
  <c r="AJ251" i="2" s="1"/>
  <c r="AJ252" i="2" a="1"/>
  <c r="AJ252" i="2" s="1"/>
  <c r="AJ253" i="2" a="1"/>
  <c r="AJ253" i="2" s="1"/>
  <c r="AJ254" i="2" a="1"/>
  <c r="AJ254" i="2" s="1"/>
  <c r="AJ255" i="2" a="1"/>
  <c r="AJ255" i="2" s="1"/>
  <c r="AJ256" i="2" a="1"/>
  <c r="AJ256" i="2"/>
  <c r="AJ257" i="2" a="1"/>
  <c r="AJ257" i="2" s="1"/>
  <c r="AJ258" i="2" a="1"/>
  <c r="AJ258" i="2" s="1"/>
  <c r="AJ259" i="2" a="1"/>
  <c r="AJ259" i="2" s="1"/>
  <c r="AJ260" i="2" a="1"/>
  <c r="AJ260" i="2" s="1"/>
  <c r="AJ261" i="2" a="1"/>
  <c r="AJ261" i="2" s="1"/>
  <c r="AJ262" i="2" a="1"/>
  <c r="AJ262" i="2" s="1"/>
  <c r="AJ263" i="2" a="1"/>
  <c r="AJ263" i="2" s="1"/>
  <c r="AJ264" i="2" a="1"/>
  <c r="AJ264" i="2" s="1"/>
  <c r="AJ265" i="2" a="1"/>
  <c r="AJ265" i="2"/>
  <c r="AJ266" i="2" a="1"/>
  <c r="AJ266" i="2" s="1"/>
  <c r="AJ267" i="2" a="1"/>
  <c r="AJ267" i="2" s="1"/>
  <c r="AJ268" i="2" a="1"/>
  <c r="AJ268" i="2" s="1"/>
  <c r="AJ269" i="2" a="1"/>
  <c r="AJ269" i="2" s="1"/>
  <c r="AJ270" i="2" a="1"/>
  <c r="AJ270" i="2" s="1"/>
  <c r="AJ271" i="2" a="1"/>
  <c r="AJ271" i="2" s="1"/>
  <c r="AJ272" i="2" a="1"/>
  <c r="AJ272" i="2" s="1"/>
  <c r="AJ273" i="2" a="1"/>
  <c r="AJ273" i="2" s="1"/>
  <c r="AJ274" i="2" a="1"/>
  <c r="AJ274" i="2" s="1"/>
  <c r="AJ275" i="2" a="1"/>
  <c r="AJ275" i="2"/>
  <c r="AJ276" i="2" a="1"/>
  <c r="AJ276" i="2" s="1"/>
  <c r="AJ277" i="2" a="1"/>
  <c r="AJ277" i="2"/>
  <c r="AJ278" i="2" a="1"/>
  <c r="AJ278" i="2" s="1"/>
  <c r="AJ279" i="2" a="1"/>
  <c r="AJ279" i="2" s="1"/>
  <c r="AJ280" i="2" a="1"/>
  <c r="AJ280" i="2"/>
  <c r="AJ281" i="2" a="1"/>
  <c r="AJ281" i="2" s="1"/>
  <c r="AJ282" i="2" a="1"/>
  <c r="AJ282" i="2" s="1"/>
  <c r="AJ283" i="2" a="1"/>
  <c r="AJ283" i="2"/>
  <c r="AJ284" i="2" a="1"/>
  <c r="AJ284" i="2" s="1"/>
  <c r="AJ285" i="2" a="1"/>
  <c r="AJ285" i="2" s="1"/>
  <c r="AJ286" i="2" a="1"/>
  <c r="AJ286" i="2"/>
  <c r="AJ287" i="2" a="1"/>
  <c r="AJ287" i="2" s="1"/>
  <c r="AJ288" i="2" a="1"/>
  <c r="AJ288" i="2" s="1"/>
  <c r="AJ289" i="2" a="1"/>
  <c r="AJ289" i="2" s="1"/>
  <c r="AJ290" i="2" a="1"/>
  <c r="AJ290" i="2"/>
  <c r="AJ291" i="2" a="1"/>
  <c r="AJ291" i="2" s="1"/>
  <c r="AJ292" i="2" a="1"/>
  <c r="AJ292" i="2"/>
  <c r="AJ293" i="2" a="1"/>
  <c r="AJ293" i="2" s="1"/>
  <c r="AJ294" i="2" a="1"/>
  <c r="AJ294" i="2" s="1"/>
  <c r="AJ295" i="2" a="1"/>
  <c r="AJ295" i="2" s="1"/>
  <c r="AJ296" i="2" a="1"/>
  <c r="AJ296" i="2" s="1"/>
  <c r="AJ297" i="2" a="1"/>
  <c r="AJ297" i="2" s="1"/>
  <c r="AJ298" i="2" a="1"/>
  <c r="AJ298" i="2" s="1"/>
  <c r="AJ299" i="2" a="1"/>
  <c r="AJ299" i="2" s="1"/>
  <c r="AJ300" i="2" a="1"/>
  <c r="AJ300" i="2" s="1"/>
  <c r="AJ301" i="2" a="1"/>
  <c r="AJ301" i="2" s="1"/>
  <c r="AJ302" i="2" a="1"/>
  <c r="AJ302" i="2"/>
  <c r="AJ303" i="2" a="1"/>
  <c r="AJ303" i="2" s="1"/>
  <c r="AJ304" i="2" a="1"/>
  <c r="AJ304" i="2"/>
  <c r="AJ305" i="2" a="1"/>
  <c r="AJ305" i="2" s="1"/>
  <c r="AJ306" i="2" a="1"/>
  <c r="AJ306" i="2" s="1"/>
  <c r="AJ307" i="2" a="1"/>
  <c r="AJ307" i="2" s="1"/>
  <c r="AJ308" i="2" a="1"/>
  <c r="AJ308" i="2" s="1"/>
  <c r="AJ309" i="2" a="1"/>
  <c r="AJ309" i="2" s="1"/>
  <c r="AJ310" i="2" a="1"/>
  <c r="AJ310" i="2" s="1"/>
  <c r="AJ311" i="2" a="1"/>
  <c r="AJ311" i="2" s="1"/>
  <c r="AJ312" i="2" a="1"/>
  <c r="AJ312" i="2" s="1"/>
  <c r="AJ313" i="2" a="1"/>
  <c r="AJ313" i="2"/>
  <c r="AJ314" i="2" a="1"/>
  <c r="AJ314" i="2" s="1"/>
  <c r="AJ315" i="2" a="1"/>
  <c r="AJ315" i="2" s="1"/>
  <c r="AJ316" i="2" a="1"/>
  <c r="AJ316" i="2"/>
  <c r="AJ317" i="2" a="1"/>
  <c r="AJ317" i="2" s="1"/>
  <c r="AJ318" i="2" a="1"/>
  <c r="AJ318" i="2" s="1"/>
  <c r="AJ319" i="2" a="1"/>
  <c r="AJ319" i="2"/>
  <c r="AJ320" i="2" a="1"/>
  <c r="AJ320" i="2"/>
  <c r="AJ321" i="2" a="1"/>
  <c r="AJ321" i="2" s="1"/>
  <c r="AJ322" i="2" a="1"/>
  <c r="AJ322" i="2" s="1"/>
  <c r="AJ323" i="2" a="1"/>
  <c r="AJ323" i="2"/>
  <c r="AJ324" i="2" a="1"/>
  <c r="AJ324" i="2" s="1"/>
  <c r="AJ325" i="2" a="1"/>
  <c r="AJ325" i="2" s="1"/>
  <c r="AJ326" i="2" a="1"/>
  <c r="AJ326" i="2" s="1"/>
  <c r="AJ327" i="2" a="1"/>
  <c r="AJ327" i="2" s="1"/>
  <c r="AJ328" i="2" a="1"/>
  <c r="AJ328" i="2" s="1"/>
  <c r="AJ329" i="2" a="1"/>
  <c r="AJ329" i="2"/>
  <c r="AJ330" i="2" a="1"/>
  <c r="AJ330" i="2" s="1"/>
  <c r="AJ331" i="2" a="1"/>
  <c r="AJ331" i="2"/>
  <c r="AJ332" i="2" a="1"/>
  <c r="AJ332" i="2" s="1"/>
  <c r="AJ333" i="2" a="1"/>
  <c r="AJ333" i="2" s="1"/>
  <c r="AJ334" i="2" a="1"/>
  <c r="AJ334" i="2" s="1"/>
  <c r="AJ335" i="2" a="1"/>
  <c r="AJ335" i="2" s="1"/>
  <c r="AJ336" i="2" a="1"/>
  <c r="AJ336" i="2" s="1"/>
  <c r="AJ337" i="2" a="1"/>
  <c r="AJ337" i="2" s="1"/>
  <c r="AJ338" i="2" a="1"/>
  <c r="AJ338" i="2" s="1"/>
  <c r="AJ339" i="2" a="1"/>
  <c r="AJ339" i="2" s="1"/>
  <c r="AJ340" i="2" a="1"/>
  <c r="AJ340" i="2" s="1"/>
  <c r="AJ341" i="2" a="1"/>
  <c r="AJ341" i="2" s="1"/>
  <c r="AJ342" i="2" a="1"/>
  <c r="AJ342" i="2" s="1"/>
  <c r="AJ343" i="2" a="1"/>
  <c r="AJ343" i="2" s="1"/>
  <c r="AJ344" i="2" a="1"/>
  <c r="AJ344" i="2" s="1"/>
  <c r="AJ345" i="2" a="1"/>
  <c r="AJ345" i="2" s="1"/>
  <c r="AJ346" i="2" a="1"/>
  <c r="AJ346" i="2" s="1"/>
  <c r="AJ347" i="2" a="1"/>
  <c r="AJ347" i="2"/>
  <c r="AJ348" i="2" a="1"/>
  <c r="AJ348" i="2" s="1"/>
  <c r="AJ349" i="2" a="1"/>
  <c r="AJ349" i="2" s="1"/>
  <c r="AJ350" i="2" a="1"/>
  <c r="AJ350" i="2" s="1"/>
  <c r="AJ351" i="2" a="1"/>
  <c r="AJ351" i="2" s="1"/>
  <c r="AJ352" i="2" a="1"/>
  <c r="AJ352" i="2" s="1"/>
  <c r="AJ353" i="2" a="1"/>
  <c r="AJ353" i="2" s="1"/>
  <c r="AJ354" i="2" a="1"/>
  <c r="AJ354" i="2" s="1"/>
  <c r="AJ355" i="2" a="1"/>
  <c r="AJ355" i="2" s="1"/>
  <c r="AJ356" i="2" a="1"/>
  <c r="AJ356" i="2" s="1"/>
  <c r="AJ357" i="2" a="1"/>
  <c r="AJ357" i="2" s="1"/>
  <c r="AJ358" i="2" a="1"/>
  <c r="AJ358" i="2" s="1"/>
  <c r="AJ359" i="2" a="1"/>
  <c r="AJ359" i="2" s="1"/>
  <c r="AJ360" i="2" a="1"/>
  <c r="AJ360" i="2" s="1"/>
  <c r="AJ361" i="2" a="1"/>
  <c r="AJ361" i="2" s="1"/>
  <c r="AJ362" i="2" a="1"/>
  <c r="AJ362" i="2" s="1"/>
  <c r="AJ363" i="2" a="1"/>
  <c r="AJ363" i="2" s="1"/>
  <c r="AJ364" i="2" a="1"/>
  <c r="AJ364" i="2"/>
  <c r="AJ365" i="2" a="1"/>
  <c r="AJ365" i="2"/>
  <c r="AJ366" i="2" a="1"/>
  <c r="AJ366" i="2" s="1"/>
  <c r="AJ367" i="2" a="1"/>
  <c r="AJ367" i="2" s="1"/>
  <c r="AJ368" i="2" a="1"/>
  <c r="AJ368" i="2" s="1"/>
  <c r="AJ369" i="2" a="1"/>
  <c r="AJ369" i="2" s="1"/>
  <c r="AJ370" i="2" a="1"/>
  <c r="AJ370" i="2" s="1"/>
  <c r="AJ371" i="2" a="1"/>
  <c r="AJ371" i="2" s="1"/>
  <c r="AJ372" i="2" a="1"/>
  <c r="AJ372" i="2" s="1"/>
  <c r="AJ373" i="2" a="1"/>
  <c r="AJ373" i="2" s="1"/>
  <c r="AJ374" i="2" a="1"/>
  <c r="AJ374" i="2" s="1"/>
  <c r="AJ375" i="2" a="1"/>
  <c r="AJ375" i="2" s="1"/>
  <c r="AJ376" i="2" a="1"/>
  <c r="AJ376" i="2" s="1"/>
  <c r="AJ377" i="2" a="1"/>
  <c r="AJ377" i="2" s="1"/>
  <c r="AJ378" i="2" a="1"/>
  <c r="AJ378" i="2" s="1"/>
  <c r="AJ379" i="2" a="1"/>
  <c r="AJ379" i="2" s="1"/>
  <c r="AJ380" i="2" a="1"/>
  <c r="AJ380" i="2" s="1"/>
  <c r="AJ381" i="2" a="1"/>
  <c r="AJ381" i="2" s="1"/>
  <c r="AJ382" i="2" a="1"/>
  <c r="AJ382" i="2" s="1"/>
  <c r="AJ383" i="2" a="1"/>
  <c r="AJ383" i="2"/>
  <c r="AJ384" i="2" a="1"/>
  <c r="AJ384" i="2" s="1"/>
  <c r="AJ385" i="2" a="1"/>
  <c r="AJ385" i="2"/>
  <c r="AJ386" i="2" a="1"/>
  <c r="AJ386" i="2" s="1"/>
  <c r="AJ387" i="2" a="1"/>
  <c r="AJ387" i="2" s="1"/>
  <c r="AJ388" i="2" a="1"/>
  <c r="AJ388" i="2"/>
  <c r="AJ389" i="2" a="1"/>
  <c r="AJ389" i="2" s="1"/>
  <c r="AJ390" i="2" a="1"/>
  <c r="AJ390" i="2" s="1"/>
  <c r="AJ391" i="2" a="1"/>
  <c r="AJ391" i="2"/>
  <c r="AJ392" i="2" a="1"/>
  <c r="AJ392" i="2" s="1"/>
  <c r="AJ393" i="2" a="1"/>
  <c r="AJ393" i="2" s="1"/>
  <c r="AJ394" i="2" a="1"/>
  <c r="AJ394" i="2" s="1"/>
  <c r="AJ395" i="2" a="1"/>
  <c r="AJ395" i="2"/>
  <c r="AJ396" i="2" a="1"/>
  <c r="AJ396" i="2" s="1"/>
  <c r="AJ397" i="2" a="1"/>
  <c r="AJ397" i="2" s="1"/>
  <c r="AJ398" i="2" a="1"/>
  <c r="AJ398" i="2"/>
  <c r="AJ399" i="2" a="1"/>
  <c r="AJ399" i="2" s="1"/>
  <c r="AJ400" i="2" a="1"/>
  <c r="AJ400" i="2"/>
  <c r="AJ401" i="2" a="1"/>
  <c r="AJ401" i="2" s="1"/>
  <c r="AJ402" i="2" a="1"/>
  <c r="AJ402" i="2" s="1"/>
  <c r="AJ403" i="2" a="1"/>
  <c r="AJ403" i="2"/>
  <c r="AJ404" i="2" a="1"/>
  <c r="AJ404" i="2" s="1"/>
  <c r="AJ405" i="2" a="1"/>
  <c r="AJ405" i="2" s="1"/>
  <c r="AJ406" i="2" a="1"/>
  <c r="AJ406" i="2" s="1"/>
  <c r="AJ407" i="2" a="1"/>
  <c r="AJ407" i="2" s="1"/>
  <c r="AJ408" i="2" a="1"/>
  <c r="AJ408" i="2" s="1"/>
  <c r="AJ409" i="2" a="1"/>
  <c r="AJ409" i="2"/>
  <c r="AJ410" i="2" a="1"/>
  <c r="AJ410" i="2" s="1"/>
  <c r="AJ411" i="2" a="1"/>
  <c r="AJ411" i="2" s="1"/>
  <c r="AJ412" i="2" a="1"/>
  <c r="AJ412" i="2"/>
  <c r="AJ413" i="2" a="1"/>
  <c r="AJ413" i="2" s="1"/>
  <c r="AJ414" i="2" a="1"/>
  <c r="AJ414" i="2" s="1"/>
  <c r="AJ415" i="2" a="1"/>
  <c r="AJ415" i="2" s="1"/>
  <c r="AJ416" i="2" a="1"/>
  <c r="AJ416" i="2" s="1"/>
  <c r="AJ417" i="2" a="1"/>
  <c r="AJ417" i="2" s="1"/>
  <c r="AJ418" i="2" a="1"/>
  <c r="AJ418" i="2" s="1"/>
  <c r="AJ419" i="2" a="1"/>
  <c r="AJ419" i="2" s="1"/>
  <c r="AJ420" i="2" a="1"/>
  <c r="AJ420" i="2" s="1"/>
  <c r="AJ421" i="2" a="1"/>
  <c r="AJ421" i="2"/>
  <c r="AJ422" i="2" a="1"/>
  <c r="AJ422" i="2" s="1"/>
  <c r="AJ423" i="2" a="1"/>
  <c r="AJ423" i="2" s="1"/>
  <c r="AJ424" i="2" a="1"/>
  <c r="AJ424" i="2" s="1"/>
  <c r="AJ425" i="2" a="1"/>
  <c r="AJ425" i="2" s="1"/>
  <c r="AJ426" i="2" a="1"/>
  <c r="AJ426" i="2" s="1"/>
  <c r="AJ427" i="2" a="1"/>
  <c r="AJ427" i="2" s="1"/>
  <c r="AJ428" i="2" a="1"/>
  <c r="AJ428" i="2"/>
  <c r="AJ429" i="2" a="1"/>
  <c r="AJ429" i="2" s="1"/>
  <c r="AJ430" i="2" a="1"/>
  <c r="AJ430" i="2" s="1"/>
  <c r="AJ431" i="2" a="1"/>
  <c r="AJ431" i="2"/>
  <c r="AJ432" i="2" a="1"/>
  <c r="AJ432" i="2" s="1"/>
  <c r="AJ433" i="2" a="1"/>
  <c r="AJ433" i="2" s="1"/>
  <c r="AJ434" i="2" a="1"/>
  <c r="AJ434" i="2" s="1"/>
  <c r="AJ435" i="2" a="1"/>
  <c r="AJ435" i="2" s="1"/>
  <c r="AJ436" i="2" a="1"/>
  <c r="AJ436" i="2" s="1"/>
  <c r="AJ437" i="2" a="1"/>
  <c r="AJ437" i="2"/>
  <c r="AJ438" i="2" a="1"/>
  <c r="AJ438" i="2" s="1"/>
  <c r="AJ439" i="2" a="1"/>
  <c r="AJ439" i="2"/>
  <c r="AJ440" i="2" a="1"/>
  <c r="AJ440" i="2" s="1"/>
  <c r="AJ441" i="2" a="1"/>
  <c r="AJ441" i="2" s="1"/>
  <c r="AJ442" i="2" a="1"/>
  <c r="AJ442" i="2" s="1"/>
  <c r="AJ443" i="2" a="1"/>
  <c r="AJ443" i="2" s="1"/>
  <c r="AJ444" i="2" a="1"/>
  <c r="AJ444" i="2" s="1"/>
  <c r="AJ445" i="2" a="1"/>
  <c r="AJ445" i="2"/>
  <c r="AJ446" i="2" a="1"/>
  <c r="AJ446" i="2" s="1"/>
  <c r="AJ447" i="2" a="1"/>
  <c r="AJ447" i="2" s="1"/>
  <c r="AJ448" i="2" a="1"/>
  <c r="AJ448" i="2" s="1"/>
  <c r="AJ449" i="2" a="1"/>
  <c r="AJ449" i="2" s="1"/>
  <c r="AJ450" i="2" a="1"/>
  <c r="AJ450" i="2" s="1"/>
  <c r="AJ451" i="2" a="1"/>
  <c r="AJ451" i="2" s="1"/>
  <c r="AJ452" i="2" a="1"/>
  <c r="AJ452" i="2" s="1"/>
  <c r="AJ453" i="2" a="1"/>
  <c r="AJ453" i="2" s="1"/>
  <c r="AJ454" i="2" a="1"/>
  <c r="AJ454" i="2" s="1"/>
  <c r="AJ455" i="2" a="1"/>
  <c r="AJ455" i="2"/>
  <c r="AJ456" i="2" a="1"/>
  <c r="AJ456" i="2" s="1"/>
  <c r="AJ457" i="2" a="1"/>
  <c r="AJ457" i="2" s="1"/>
  <c r="AJ458" i="2" a="1"/>
  <c r="AJ458" i="2" s="1"/>
  <c r="AJ459" i="2" a="1"/>
  <c r="AJ459" i="2" s="1"/>
  <c r="AJ460" i="2" a="1"/>
  <c r="AJ460" i="2" s="1"/>
  <c r="AJ461" i="2" a="1"/>
  <c r="AJ461" i="2" s="1"/>
  <c r="AJ462" i="2" a="1"/>
  <c r="AJ462" i="2" s="1"/>
  <c r="AJ463" i="2" a="1"/>
  <c r="AJ463" i="2" s="1"/>
  <c r="AJ464" i="2" a="1"/>
  <c r="AJ464" i="2"/>
  <c r="AJ465" i="2" a="1"/>
  <c r="AJ465" i="2" s="1"/>
  <c r="AJ466" i="2" a="1"/>
  <c r="AJ466" i="2" s="1"/>
  <c r="AJ467" i="2" a="1"/>
  <c r="AJ467" i="2" s="1"/>
  <c r="AJ468" i="2" a="1"/>
  <c r="AJ468" i="2" s="1"/>
  <c r="AJ469" i="2" a="1"/>
  <c r="AJ469" i="2" s="1"/>
  <c r="AJ470" i="2" a="1"/>
  <c r="AJ470" i="2" s="1"/>
  <c r="AJ471" i="2" a="1"/>
  <c r="AJ471" i="2" s="1"/>
  <c r="AJ472" i="2" a="1"/>
  <c r="AJ472" i="2" s="1"/>
  <c r="AJ473" i="2" a="1"/>
  <c r="AJ473" i="2"/>
  <c r="AJ474" i="2" a="1"/>
  <c r="AJ474" i="2" s="1"/>
  <c r="AJ475" i="2" a="1"/>
  <c r="AJ475" i="2"/>
  <c r="AJ476" i="2" a="1"/>
  <c r="AJ476" i="2" s="1"/>
  <c r="AJ477" i="2" a="1"/>
  <c r="AJ477" i="2" s="1"/>
  <c r="AJ478" i="2" a="1"/>
  <c r="AJ478" i="2" s="1"/>
  <c r="AJ479" i="2" a="1"/>
  <c r="AJ479" i="2" s="1"/>
  <c r="AJ480" i="2" a="1"/>
  <c r="AJ480" i="2" s="1"/>
  <c r="AJ481" i="2" a="1"/>
  <c r="AJ481" i="2" s="1"/>
  <c r="AJ482" i="2" a="1"/>
  <c r="AJ482" i="2" s="1"/>
  <c r="AJ483" i="2" a="1"/>
  <c r="AJ483" i="2" s="1"/>
  <c r="AJ484" i="2" a="1"/>
  <c r="AJ484" i="2" s="1"/>
  <c r="AJ485" i="2" a="1"/>
  <c r="AJ485" i="2" s="1"/>
  <c r="AJ486" i="2" a="1"/>
  <c r="AJ486" i="2" s="1"/>
  <c r="AJ487" i="2" a="1"/>
  <c r="AJ487" i="2" s="1"/>
  <c r="AJ488" i="2" a="1"/>
  <c r="AJ488" i="2" s="1"/>
  <c r="AJ489" i="2" a="1"/>
  <c r="AJ489" i="2" s="1"/>
  <c r="AJ490" i="2" a="1"/>
  <c r="AJ490" i="2" s="1"/>
  <c r="AJ491" i="2" a="1"/>
  <c r="AJ491" i="2" s="1"/>
  <c r="AJ492" i="2" a="1"/>
  <c r="AJ492" i="2" s="1"/>
  <c r="AJ493" i="2" a="1"/>
  <c r="AJ493" i="2" s="1"/>
  <c r="AJ494" i="2" a="1"/>
  <c r="AJ494" i="2" s="1"/>
  <c r="AJ495" i="2" a="1"/>
  <c r="AJ495" i="2" s="1"/>
  <c r="AJ496" i="2" a="1"/>
  <c r="AJ496" i="2" s="1"/>
  <c r="AJ497" i="2" a="1"/>
  <c r="AJ497" i="2"/>
  <c r="AJ498" i="2" a="1"/>
  <c r="AJ498" i="2" s="1"/>
  <c r="AJ499" i="2" a="1"/>
  <c r="AJ499" i="2" s="1"/>
  <c r="AJ500" i="2" a="1"/>
  <c r="AJ500" i="2"/>
  <c r="AJ501" i="2" a="1"/>
  <c r="AJ501" i="2" s="1"/>
  <c r="AJ502" i="2" a="1"/>
  <c r="AJ502" i="2"/>
  <c r="AJ503" i="2" a="1"/>
  <c r="AJ503" i="2"/>
  <c r="AJ504" i="2" a="1"/>
  <c r="AJ504" i="2" s="1"/>
  <c r="AJ505" i="2" a="1"/>
  <c r="AJ505" i="2" s="1"/>
  <c r="AJ506" i="2" a="1"/>
  <c r="AJ506" i="2" s="1"/>
  <c r="AJ507" i="2" a="1"/>
  <c r="AJ507" i="2" s="1"/>
  <c r="AJ508" i="2" a="1"/>
  <c r="AJ508" i="2"/>
  <c r="AJ509" i="2" a="1"/>
  <c r="AJ509" i="2" s="1"/>
  <c r="AJ510" i="2" a="1"/>
  <c r="AJ510" i="2" s="1"/>
  <c r="AJ511" i="2" a="1"/>
  <c r="AJ511" i="2" s="1"/>
  <c r="AJ512" i="2" a="1"/>
  <c r="AJ512" i="2" s="1"/>
  <c r="AJ513" i="2" a="1"/>
  <c r="AJ513" i="2" s="1"/>
  <c r="AJ514" i="2" a="1"/>
  <c r="AJ514" i="2" s="1"/>
  <c r="AJ515" i="2" a="1"/>
  <c r="AJ515" i="2" s="1"/>
  <c r="AJ516" i="2" a="1"/>
  <c r="AJ516" i="2" s="1"/>
  <c r="AJ517" i="2" a="1"/>
  <c r="AJ517" i="2"/>
  <c r="AJ518" i="2" a="1"/>
  <c r="AJ518" i="2" s="1"/>
  <c r="AJ519" i="2" a="1"/>
  <c r="AJ519" i="2" s="1"/>
  <c r="AJ520" i="2" a="1"/>
  <c r="AJ520" i="2" s="1"/>
  <c r="AJ521" i="2" a="1"/>
  <c r="AJ521" i="2" s="1"/>
  <c r="AJ522" i="2" a="1"/>
  <c r="AJ522" i="2"/>
  <c r="AJ523" i="2" a="1"/>
  <c r="AJ523" i="2" s="1"/>
  <c r="AJ524" i="2" a="1"/>
  <c r="AJ524" i="2" s="1"/>
  <c r="AJ525" i="2" a="1"/>
  <c r="AJ525" i="2" s="1"/>
  <c r="AJ526" i="2" a="1"/>
  <c r="AJ526" i="2" s="1"/>
  <c r="AJ527" i="2" a="1"/>
  <c r="AJ527" i="2" s="1"/>
  <c r="AJ528" i="2" a="1"/>
  <c r="AJ528" i="2" s="1"/>
  <c r="AJ529" i="2" a="1"/>
  <c r="AJ529" i="2"/>
  <c r="AJ530" i="2" a="1"/>
  <c r="AJ530" i="2" s="1"/>
  <c r="AJ531" i="2" a="1"/>
  <c r="AJ531" i="2"/>
  <c r="AJ532" i="2" a="1"/>
  <c r="AJ532" i="2"/>
  <c r="AJ533" i="2" a="1"/>
  <c r="AJ533" i="2" s="1"/>
  <c r="AJ534" i="2" a="1"/>
  <c r="AJ534" i="2" s="1"/>
  <c r="AJ535" i="2" a="1"/>
  <c r="AJ535" i="2" s="1"/>
  <c r="AJ536" i="2" a="1"/>
  <c r="AJ536" i="2" s="1"/>
  <c r="AJ537" i="2" a="1"/>
  <c r="AJ537" i="2"/>
  <c r="AJ538" i="2" a="1"/>
  <c r="AJ538" i="2" s="1"/>
  <c r="AJ539" i="2" a="1"/>
  <c r="AJ539" i="2" s="1"/>
  <c r="AJ540" i="2" a="1"/>
  <c r="AJ540" i="2"/>
  <c r="AJ541" i="2" a="1"/>
  <c r="AJ541" i="2"/>
  <c r="AJ542" i="2" a="1"/>
  <c r="AJ542" i="2" s="1"/>
  <c r="AJ543" i="2" a="1"/>
  <c r="AJ543" i="2" s="1"/>
  <c r="AJ544" i="2" a="1"/>
  <c r="AJ544" i="2"/>
  <c r="AJ545" i="2" a="1"/>
  <c r="AJ545" i="2" s="1"/>
  <c r="AJ546" i="2" a="1"/>
  <c r="AJ546" i="2" s="1"/>
  <c r="AJ547" i="2" a="1"/>
  <c r="AJ547" i="2" s="1"/>
  <c r="AJ548" i="2" a="1"/>
  <c r="AJ548" i="2"/>
  <c r="AJ549" i="2" a="1"/>
  <c r="AJ549" i="2" s="1"/>
  <c r="AJ550" i="2" a="1"/>
  <c r="AJ550" i="2"/>
  <c r="AJ551" i="2" a="1"/>
  <c r="AJ551" i="2" s="1"/>
  <c r="AJ552" i="2" a="1"/>
  <c r="AJ552" i="2" s="1"/>
  <c r="AJ553" i="2" a="1"/>
  <c r="AJ553" i="2"/>
  <c r="AJ554" i="2" a="1"/>
  <c r="AJ554" i="2" s="1"/>
  <c r="AJ555" i="2" a="1"/>
  <c r="AJ555" i="2" s="1"/>
  <c r="AJ556" i="2" a="1"/>
  <c r="AJ556" i="2" s="1"/>
  <c r="AJ557" i="2" a="1"/>
  <c r="AJ557" i="2" s="1"/>
  <c r="AJ558" i="2" a="1"/>
  <c r="AJ558" i="2" s="1"/>
  <c r="AJ559" i="2" a="1"/>
  <c r="AJ559" i="2" s="1"/>
  <c r="AJ560" i="2" a="1"/>
  <c r="AJ560" i="2" s="1"/>
  <c r="AJ561" i="2" a="1"/>
  <c r="AJ561" i="2" s="1"/>
  <c r="AJ562" i="2" a="1"/>
  <c r="AJ562" i="2" s="1"/>
  <c r="AJ563" i="2" a="1"/>
  <c r="AJ563" i="2" s="1"/>
  <c r="AJ564" i="2" a="1"/>
  <c r="AJ564" i="2" s="1"/>
  <c r="AJ565" i="2" a="1"/>
  <c r="AJ565" i="2" s="1"/>
  <c r="AJ566" i="2" a="1"/>
  <c r="AJ566" i="2"/>
  <c r="AJ567" i="2" a="1"/>
  <c r="AJ567" i="2" s="1"/>
  <c r="AJ568" i="2" a="1"/>
  <c r="AJ568" i="2"/>
  <c r="AJ569" i="2" a="1"/>
  <c r="AJ569" i="2" s="1"/>
  <c r="AJ570" i="2" a="1"/>
  <c r="AJ570" i="2" s="1"/>
  <c r="AJ571" i="2" a="1"/>
  <c r="AJ571" i="2" s="1"/>
  <c r="AJ572" i="2" a="1"/>
  <c r="AJ572" i="2" s="1"/>
  <c r="AJ573" i="2" a="1"/>
  <c r="AJ573" i="2" s="1"/>
  <c r="AJ574" i="2" a="1"/>
  <c r="AJ574" i="2" s="1"/>
  <c r="AJ575" i="2" a="1"/>
  <c r="AJ575" i="2" s="1"/>
  <c r="AJ576" i="2" a="1"/>
  <c r="AJ576" i="2"/>
  <c r="AJ577" i="2" a="1"/>
  <c r="AJ577" i="2" s="1"/>
  <c r="AJ578" i="2" a="1"/>
  <c r="AJ578" i="2" s="1"/>
  <c r="AJ579" i="2" a="1"/>
  <c r="AJ579" i="2" s="1"/>
  <c r="AJ580" i="2" a="1"/>
  <c r="AJ580" i="2" s="1"/>
  <c r="AJ581" i="2" a="1"/>
  <c r="AJ581" i="2" s="1"/>
  <c r="AJ582" i="2" a="1"/>
  <c r="AJ582" i="2" s="1"/>
  <c r="AJ583" i="2" a="1"/>
  <c r="AJ583" i="2" s="1"/>
  <c r="AJ584" i="2" a="1"/>
  <c r="AJ584" i="2"/>
  <c r="AJ585" i="2" a="1"/>
  <c r="AJ585" i="2" s="1"/>
  <c r="AJ586" i="2" a="1"/>
  <c r="AJ586" i="2" s="1"/>
  <c r="AJ587" i="2" a="1"/>
  <c r="AJ587" i="2" s="1"/>
  <c r="AJ588" i="2" a="1"/>
  <c r="AJ588" i="2"/>
  <c r="AJ589" i="2" a="1"/>
  <c r="AJ589" i="2" s="1"/>
  <c r="AJ590" i="2" a="1"/>
  <c r="AJ590" i="2" s="1"/>
  <c r="AJ591" i="2" a="1"/>
  <c r="AJ591" i="2" s="1"/>
  <c r="AJ592" i="2" a="1"/>
  <c r="AJ592" i="2" s="1"/>
  <c r="AJ593" i="2" a="1"/>
  <c r="AJ593" i="2" s="1"/>
  <c r="AJ594" i="2" a="1"/>
  <c r="AJ594" i="2" s="1"/>
  <c r="AJ595" i="2" a="1"/>
  <c r="AJ595" i="2" s="1"/>
  <c r="AJ596" i="2" a="1"/>
  <c r="AJ596" i="2"/>
  <c r="AJ597" i="2" a="1"/>
  <c r="AJ597" i="2"/>
  <c r="AJ598" i="2" a="1"/>
  <c r="AJ598" i="2" s="1"/>
  <c r="AJ599" i="2" a="1"/>
  <c r="AJ599" i="2" s="1"/>
  <c r="AJ600" i="2" a="1"/>
  <c r="AJ600" i="2"/>
  <c r="AJ601" i="2" a="1"/>
  <c r="AJ601" i="2" s="1"/>
  <c r="AJ602" i="2" a="1"/>
  <c r="AJ602" i="2" s="1"/>
  <c r="AJ603" i="2" a="1"/>
  <c r="AJ603" i="2" s="1"/>
  <c r="AJ604" i="2" a="1"/>
  <c r="AJ604" i="2" s="1"/>
  <c r="AJ605" i="2" a="1"/>
  <c r="AJ605" i="2" s="1"/>
  <c r="AJ606" i="2" a="1"/>
  <c r="AJ606" i="2" s="1"/>
  <c r="AJ607" i="2" a="1"/>
  <c r="AJ607" i="2" s="1"/>
  <c r="AJ608" i="2" a="1"/>
  <c r="AJ608" i="2" s="1"/>
  <c r="AJ609" i="2" a="1"/>
  <c r="AJ609" i="2" s="1"/>
  <c r="AJ610" i="2" a="1"/>
  <c r="AJ610" i="2"/>
  <c r="AJ611" i="2" a="1"/>
  <c r="AJ611" i="2" s="1"/>
  <c r="AJ612" i="2" a="1"/>
  <c r="AJ612" i="2"/>
  <c r="AJ613" i="2" a="1"/>
  <c r="AJ613" i="2"/>
  <c r="AJ614" i="2" a="1"/>
  <c r="AJ614" i="2" s="1"/>
  <c r="AJ615" i="2" a="1"/>
  <c r="AJ615" i="2" s="1"/>
  <c r="AJ616" i="2" a="1"/>
  <c r="AJ616" i="2" s="1"/>
  <c r="AJ617" i="2" a="1"/>
  <c r="AJ617" i="2" s="1"/>
  <c r="AJ618" i="2" a="1"/>
  <c r="AJ618" i="2" s="1"/>
  <c r="AJ619" i="2" a="1"/>
  <c r="AJ619" i="2" s="1"/>
  <c r="AJ620" i="2" a="1"/>
  <c r="AJ620" i="2"/>
  <c r="AJ621" i="2" a="1"/>
  <c r="AJ621" i="2" s="1"/>
  <c r="AJ622" i="2" a="1"/>
  <c r="AJ622" i="2"/>
  <c r="AJ623" i="2" a="1"/>
  <c r="AJ623" i="2" s="1"/>
  <c r="AJ624" i="2" a="1"/>
  <c r="AJ624" i="2" s="1"/>
  <c r="AJ625" i="2" a="1"/>
  <c r="AJ625" i="2"/>
  <c r="AJ626" i="2" a="1"/>
  <c r="AJ626" i="2" s="1"/>
  <c r="AJ627" i="2" a="1"/>
  <c r="AJ627" i="2"/>
  <c r="AJ628" i="2" a="1"/>
  <c r="AJ628" i="2"/>
  <c r="AJ629" i="2" a="1"/>
  <c r="AJ629" i="2" s="1"/>
  <c r="AJ630" i="2" a="1"/>
  <c r="AJ630" i="2"/>
  <c r="AJ631" i="2" a="1"/>
  <c r="AJ631" i="2" s="1"/>
  <c r="AJ632" i="2" a="1"/>
  <c r="AJ632" i="2" s="1"/>
  <c r="AJ633" i="2" a="1"/>
  <c r="AJ633" i="2" s="1"/>
  <c r="AJ634" i="2" a="1"/>
  <c r="AJ634" i="2"/>
  <c r="AJ635" i="2" a="1"/>
  <c r="AJ635" i="2" s="1"/>
  <c r="AJ636" i="2" a="1"/>
  <c r="AJ636" i="2" s="1"/>
  <c r="AJ637" i="2" a="1"/>
  <c r="AJ637" i="2" s="1"/>
  <c r="AJ638" i="2" a="1"/>
  <c r="AJ638" i="2" s="1"/>
  <c r="AJ639" i="2" a="1"/>
  <c r="AJ639" i="2" s="1"/>
  <c r="AJ640" i="2" a="1"/>
  <c r="AJ640" i="2"/>
  <c r="AJ641" i="2" a="1"/>
  <c r="AJ641" i="2" s="1"/>
  <c r="AJ642" i="2" a="1"/>
  <c r="AJ642" i="2" s="1"/>
  <c r="AJ643" i="2" a="1"/>
  <c r="AJ643" i="2" s="1"/>
  <c r="AJ644" i="2" a="1"/>
  <c r="AJ644" i="2" s="1"/>
  <c r="AJ645" i="2" a="1"/>
  <c r="AJ645" i="2" s="1"/>
  <c r="AJ646" i="2" a="1"/>
  <c r="AJ646" i="2"/>
  <c r="AJ647" i="2" a="1"/>
  <c r="AJ647" i="2" s="1"/>
  <c r="AJ648" i="2" a="1"/>
  <c r="AJ648" i="2"/>
  <c r="AJ649" i="2" a="1"/>
  <c r="AJ649" i="2" s="1"/>
  <c r="AJ650" i="2" a="1"/>
  <c r="AJ650" i="2" s="1"/>
  <c r="AJ651" i="2" a="1"/>
  <c r="AJ651" i="2" s="1"/>
  <c r="AJ652" i="2" a="1"/>
  <c r="AJ652" i="2" s="1"/>
  <c r="AJ653" i="2" a="1"/>
  <c r="AJ653" i="2" s="1"/>
  <c r="AJ654" i="2" a="1"/>
  <c r="AJ654" i="2"/>
  <c r="AJ655" i="2" a="1"/>
  <c r="AJ655" i="2"/>
  <c r="AJ656" i="2" a="1"/>
  <c r="AJ656" i="2" s="1"/>
  <c r="AJ657" i="2" a="1"/>
  <c r="AJ657" i="2"/>
  <c r="AJ658" i="2" a="1"/>
  <c r="AJ658" i="2" s="1"/>
  <c r="AJ659" i="2" a="1"/>
  <c r="AJ659" i="2" s="1"/>
  <c r="AJ660" i="2" a="1"/>
  <c r="AJ660" i="2" s="1"/>
  <c r="AJ661" i="2" a="1"/>
  <c r="AJ661" i="2" s="1"/>
  <c r="AJ662" i="2" a="1"/>
  <c r="AJ662" i="2"/>
  <c r="AJ663" i="2" a="1"/>
  <c r="AJ663" i="2" s="1"/>
  <c r="AJ664" i="2" a="1"/>
  <c r="AJ664" i="2" s="1"/>
  <c r="AJ665" i="2" a="1"/>
  <c r="AJ665" i="2" s="1"/>
  <c r="AJ666" i="2" a="1"/>
  <c r="AJ666" i="2" s="1"/>
  <c r="AJ667" i="2" a="1"/>
  <c r="AJ667" i="2"/>
  <c r="AJ668" i="2" a="1"/>
  <c r="AJ668" i="2"/>
  <c r="AJ669" i="2" a="1"/>
  <c r="AJ669" i="2"/>
  <c r="AJ670" i="2" a="1"/>
  <c r="AJ670" i="2" s="1"/>
  <c r="AJ671" i="2" a="1"/>
  <c r="AJ671" i="2" s="1"/>
  <c r="AJ672" i="2" a="1"/>
  <c r="AJ672" i="2"/>
  <c r="AJ673" i="2" a="1"/>
  <c r="AJ673" i="2" s="1"/>
  <c r="AJ674" i="2" a="1"/>
  <c r="AJ674" i="2" s="1"/>
  <c r="AJ675" i="2" a="1"/>
  <c r="AJ675" i="2" s="1"/>
  <c r="AJ676" i="2" a="1"/>
  <c r="AJ676" i="2" s="1"/>
  <c r="AJ677" i="2" a="1"/>
  <c r="AJ677" i="2" s="1"/>
  <c r="AJ678" i="2" a="1"/>
  <c r="AJ678" i="2" s="1"/>
  <c r="AJ679" i="2" a="1"/>
  <c r="AJ679" i="2" s="1"/>
  <c r="AJ680" i="2" a="1"/>
  <c r="AJ680" i="2"/>
  <c r="AJ681" i="2" a="1"/>
  <c r="AJ681" i="2"/>
  <c r="AJ682" i="2" a="1"/>
  <c r="AJ682" i="2" s="1"/>
  <c r="AJ683" i="2" a="1"/>
  <c r="AJ683" i="2" s="1"/>
  <c r="AJ684" i="2" a="1"/>
  <c r="AJ684" i="2" s="1"/>
  <c r="AJ685" i="2" a="1"/>
  <c r="AJ685" i="2" s="1"/>
  <c r="AJ686" i="2" a="1"/>
  <c r="AJ686" i="2" s="1"/>
  <c r="AJ687" i="2" a="1"/>
  <c r="AJ687" i="2" s="1"/>
  <c r="AJ688" i="2" a="1"/>
  <c r="AJ688" i="2"/>
  <c r="AJ689" i="2" a="1"/>
  <c r="AJ689" i="2" s="1"/>
  <c r="AJ690" i="2" a="1"/>
  <c r="AJ690" i="2" s="1"/>
  <c r="AJ691" i="2" a="1"/>
  <c r="AJ691" i="2" s="1"/>
  <c r="AJ692" i="2" a="1"/>
  <c r="AJ692" i="2"/>
  <c r="AJ693" i="2" a="1"/>
  <c r="AJ693" i="2" s="1"/>
  <c r="AJ694" i="2" a="1"/>
  <c r="AJ694" i="2" s="1"/>
  <c r="AJ695" i="2" a="1"/>
  <c r="AJ695" i="2" s="1"/>
  <c r="AJ696" i="2" a="1"/>
  <c r="AJ696" i="2" s="1"/>
  <c r="AJ697" i="2" a="1"/>
  <c r="AJ697" i="2"/>
  <c r="AJ698" i="2" a="1"/>
  <c r="AJ698" i="2" s="1"/>
  <c r="AJ699" i="2" a="1"/>
  <c r="AJ699" i="2" s="1"/>
  <c r="AJ700" i="2" a="1"/>
  <c r="AJ700" i="2"/>
  <c r="AJ701" i="2" a="1"/>
  <c r="AJ701" i="2" s="1"/>
  <c r="AJ702" i="2" a="1"/>
  <c r="AJ702" i="2"/>
  <c r="AJ703" i="2" a="1"/>
  <c r="AJ703" i="2"/>
  <c r="AJ704" i="2" a="1"/>
  <c r="AJ704" i="2" s="1"/>
  <c r="AJ705" i="2" a="1"/>
  <c r="AJ705" i="2"/>
  <c r="AJ706" i="2" a="1"/>
  <c r="AJ706" i="2" s="1"/>
  <c r="AJ707" i="2" a="1"/>
  <c r="AJ707" i="2" s="1"/>
  <c r="AJ708" i="2" a="1"/>
  <c r="AJ708" i="2" s="1"/>
  <c r="AJ709" i="2" a="1"/>
  <c r="AJ709" i="2" s="1"/>
  <c r="AJ710" i="2" a="1"/>
  <c r="AJ710" i="2"/>
  <c r="AJ711" i="2" a="1"/>
  <c r="AJ711" i="2"/>
  <c r="AJ712" i="2" a="1"/>
  <c r="AJ712" i="2" s="1"/>
  <c r="AJ713" i="2" a="1"/>
  <c r="AJ713" i="2" s="1"/>
  <c r="AJ714" i="2" a="1"/>
  <c r="AJ714" i="2" s="1"/>
  <c r="AJ715" i="2" a="1"/>
  <c r="AJ715" i="2" s="1"/>
  <c r="AJ716" i="2" a="1"/>
  <c r="AJ716" i="2" s="1"/>
  <c r="AJ717" i="2" a="1"/>
  <c r="AJ717" i="2" s="1"/>
  <c r="AJ718" i="2" a="1"/>
  <c r="AJ718" i="2"/>
  <c r="AJ719" i="2" a="1"/>
  <c r="AJ719" i="2" s="1"/>
  <c r="AJ720" i="2" a="1"/>
  <c r="AJ720" i="2"/>
  <c r="AJ721" i="2" a="1"/>
  <c r="AJ721" i="2" s="1"/>
  <c r="AJ722" i="2" a="1"/>
  <c r="AJ722" i="2" s="1"/>
  <c r="AJ723" i="2" a="1"/>
  <c r="AJ723" i="2" s="1"/>
  <c r="AJ724" i="2" a="1"/>
  <c r="AJ724" i="2" s="1"/>
  <c r="AJ725" i="2" a="1"/>
  <c r="AJ725" i="2" s="1"/>
  <c r="AJ726" i="2" a="1"/>
  <c r="AJ726" i="2"/>
  <c r="AJ727" i="2" a="1"/>
  <c r="AJ727" i="2"/>
  <c r="AJ728" i="2" a="1"/>
  <c r="AJ728" i="2" s="1"/>
  <c r="AJ729" i="2" a="1"/>
  <c r="AJ729" i="2"/>
  <c r="AJ730" i="2" a="1"/>
  <c r="AJ730" i="2" s="1"/>
  <c r="AJ731" i="2" a="1"/>
  <c r="AJ731" i="2" s="1"/>
  <c r="AJ732" i="2" a="1"/>
  <c r="AJ732" i="2" s="1"/>
  <c r="AJ733" i="2" a="1"/>
  <c r="AJ733" i="2"/>
  <c r="AJ734" i="2" a="1"/>
  <c r="AJ734" i="2"/>
  <c r="AJ735" i="2" a="1"/>
  <c r="AJ735" i="2" s="1"/>
  <c r="AJ736" i="2" a="1"/>
  <c r="AJ736" i="2" s="1"/>
  <c r="AJ737" i="2" a="1"/>
  <c r="AJ737" i="2" s="1"/>
  <c r="AJ738" i="2" a="1"/>
  <c r="AJ738" i="2"/>
  <c r="AJ739" i="2" a="1"/>
  <c r="AJ739" i="2" s="1"/>
  <c r="AJ740" i="2" a="1"/>
  <c r="AJ740" i="2"/>
  <c r="AJ741" i="2" a="1"/>
  <c r="AJ741" i="2" s="1"/>
  <c r="AJ742" i="2" a="1"/>
  <c r="AJ742" i="2" s="1"/>
  <c r="AJ743" i="2" a="1"/>
  <c r="AJ743" i="2" s="1"/>
  <c r="AJ744" i="2" a="1"/>
  <c r="AJ744" i="2" s="1"/>
  <c r="AJ745" i="2" a="1"/>
  <c r="AJ745" i="2"/>
  <c r="AJ746" i="2" a="1"/>
  <c r="AJ746" i="2" s="1"/>
  <c r="AJ747" i="2" a="1"/>
  <c r="AJ747" i="2"/>
  <c r="AJ748" i="2" a="1"/>
  <c r="AJ748" i="2" s="1"/>
  <c r="AJ749" i="2" a="1"/>
  <c r="AJ749" i="2" s="1"/>
  <c r="AJ750" i="2" a="1"/>
  <c r="AJ750" i="2" s="1"/>
  <c r="AJ751" i="2" a="1"/>
  <c r="AJ751" i="2" s="1"/>
  <c r="AJ752" i="2" a="1"/>
  <c r="AJ752" i="2"/>
  <c r="AJ753" i="2" a="1"/>
  <c r="AJ753" i="2" s="1"/>
  <c r="AJ754" i="2" a="1"/>
  <c r="AJ754" i="2"/>
  <c r="AJ755" i="2" a="1"/>
  <c r="AJ755" i="2" s="1"/>
  <c r="AJ756" i="2" a="1"/>
  <c r="AJ756" i="2"/>
  <c r="AJ757" i="2" a="1"/>
  <c r="AJ757" i="2" s="1"/>
  <c r="AJ758" i="2" a="1"/>
  <c r="AJ758" i="2" s="1"/>
  <c r="AJ759" i="2" a="1"/>
  <c r="AJ759" i="2"/>
  <c r="AJ760" i="2" a="1"/>
  <c r="AJ760" i="2" s="1"/>
  <c r="AJ761" i="2" a="1"/>
  <c r="AJ761" i="2" s="1"/>
  <c r="AJ762" i="2" a="1"/>
  <c r="AJ762" i="2" s="1"/>
  <c r="AJ763" i="2" a="1"/>
  <c r="AJ763" i="2" s="1"/>
  <c r="AJ764" i="2" a="1"/>
  <c r="AJ764" i="2"/>
  <c r="AJ765" i="2" a="1"/>
  <c r="AJ765" i="2" s="1"/>
  <c r="AJ766" i="2" a="1"/>
  <c r="AJ766" i="2" s="1"/>
  <c r="AJ767" i="2" a="1"/>
  <c r="AJ767" i="2" s="1"/>
  <c r="AJ768" i="2" a="1"/>
  <c r="AJ768" i="2" s="1"/>
  <c r="AJ769" i="2" a="1"/>
  <c r="AJ769" i="2" s="1"/>
  <c r="AJ770" i="2" a="1"/>
  <c r="AJ770" i="2"/>
  <c r="AJ771" i="2" a="1"/>
  <c r="AJ771" i="2" s="1"/>
  <c r="AJ772" i="2" a="1"/>
  <c r="AJ772" i="2" s="1"/>
  <c r="AJ773" i="2" a="1"/>
  <c r="AJ773" i="2" s="1"/>
  <c r="AJ774" i="2" a="1"/>
  <c r="AJ774" i="2" s="1"/>
  <c r="AJ775" i="2" a="1"/>
  <c r="AJ775" i="2" s="1"/>
  <c r="AJ776" i="2" a="1"/>
  <c r="AJ776" i="2" s="1"/>
  <c r="AJ777" i="2" a="1"/>
  <c r="AJ777" i="2"/>
  <c r="AJ778" i="2" a="1"/>
  <c r="AJ778" i="2"/>
  <c r="AJ779" i="2" a="1"/>
  <c r="AJ779" i="2" s="1"/>
  <c r="AJ780" i="2" a="1"/>
  <c r="AJ780" i="2"/>
  <c r="AJ781" i="2" a="1"/>
  <c r="AJ781" i="2" s="1"/>
  <c r="AJ782" i="2" a="1"/>
  <c r="AJ782" i="2"/>
  <c r="AJ783" i="2" a="1"/>
  <c r="AJ783" i="2" s="1"/>
  <c r="AJ784" i="2" a="1"/>
  <c r="AJ784" i="2"/>
  <c r="AJ785" i="2" a="1"/>
  <c r="AJ785" i="2" s="1"/>
  <c r="AJ786" i="2" a="1"/>
  <c r="AJ786" i="2"/>
  <c r="AJ787" i="2" a="1"/>
  <c r="AJ787" i="2" s="1"/>
  <c r="AJ788" i="2" a="1"/>
  <c r="AJ788" i="2" s="1"/>
  <c r="AJ789" i="2" a="1"/>
  <c r="AJ789" i="2" s="1"/>
  <c r="AJ790" i="2" a="1"/>
  <c r="AJ790" i="2" s="1"/>
  <c r="AJ791" i="2" a="1"/>
  <c r="AJ791" i="2" s="1"/>
  <c r="AJ792" i="2" a="1"/>
  <c r="AJ792" i="2" s="1"/>
  <c r="AJ793" i="2" a="1"/>
  <c r="AJ793" i="2" s="1"/>
  <c r="AJ794" i="2" a="1"/>
  <c r="AJ794" i="2" s="1"/>
  <c r="AJ795" i="2" a="1"/>
  <c r="AJ795" i="2"/>
  <c r="AJ796" i="2" a="1"/>
  <c r="AJ796" i="2" s="1"/>
  <c r="AJ797" i="2" a="1"/>
  <c r="AJ797" i="2" s="1"/>
  <c r="AJ798" i="2" a="1"/>
  <c r="AJ798" i="2" s="1"/>
  <c r="AJ799" i="2" a="1"/>
  <c r="AJ799" i="2" s="1"/>
  <c r="AJ800" i="2" a="1"/>
  <c r="AJ800" i="2" s="1"/>
  <c r="AJ801" i="2" a="1"/>
  <c r="AJ801" i="2"/>
  <c r="AJ802" i="2" a="1"/>
  <c r="AJ802" i="2" s="1"/>
  <c r="AJ803" i="2" a="1"/>
  <c r="AJ803" i="2" s="1"/>
  <c r="AJ804" i="2" a="1"/>
  <c r="AJ804" i="2" s="1"/>
  <c r="AJ805" i="2" a="1"/>
  <c r="AJ805" i="2"/>
  <c r="AJ806" i="2" a="1"/>
  <c r="AJ806" i="2" s="1"/>
  <c r="AJ807" i="2" a="1"/>
  <c r="AJ807" i="2" s="1"/>
  <c r="AJ808" i="2" a="1"/>
  <c r="AJ808" i="2" s="1"/>
  <c r="AJ809" i="2" a="1"/>
  <c r="AJ809" i="2" s="1"/>
  <c r="AJ810" i="2" a="1"/>
  <c r="AJ810" i="2" s="1"/>
  <c r="AJ811" i="2" a="1"/>
  <c r="AJ811" i="2" s="1"/>
  <c r="AJ812" i="2" a="1"/>
  <c r="AJ812" i="2" s="1"/>
  <c r="AJ813" i="2" a="1"/>
  <c r="AJ813" i="2" s="1"/>
  <c r="AJ814" i="2" a="1"/>
  <c r="AJ814" i="2" s="1"/>
  <c r="AJ815" i="2" a="1"/>
  <c r="AJ815" i="2" s="1"/>
  <c r="AJ816" i="2" a="1"/>
  <c r="AJ816" i="2"/>
  <c r="AJ817" i="2" a="1"/>
  <c r="AJ817" i="2" s="1"/>
  <c r="AJ818" i="2" a="1"/>
  <c r="AJ818" i="2" s="1"/>
  <c r="AJ819" i="2" a="1"/>
  <c r="AJ819" i="2" s="1"/>
  <c r="AJ820" i="2" a="1"/>
  <c r="AJ820" i="2" s="1"/>
  <c r="AJ821" i="2" a="1"/>
  <c r="AJ821" i="2" s="1"/>
  <c r="AJ822" i="2" a="1"/>
  <c r="AJ822" i="2" s="1"/>
  <c r="AJ823" i="2" a="1"/>
  <c r="AJ823" i="2"/>
  <c r="AJ824" i="2" a="1"/>
  <c r="AJ824" i="2"/>
  <c r="AJ825" i="2" a="1"/>
  <c r="AJ825" i="2"/>
  <c r="AJ826" i="2" a="1"/>
  <c r="AJ826" i="2" s="1"/>
  <c r="AJ827" i="2" a="1"/>
  <c r="AJ827" i="2" s="1"/>
  <c r="AJ828" i="2" a="1"/>
  <c r="AJ828" i="2" s="1"/>
  <c r="AJ829" i="2" a="1"/>
  <c r="AJ829" i="2" s="1"/>
  <c r="AJ830" i="2" a="1"/>
  <c r="AJ830" i="2"/>
  <c r="AJ831" i="2" a="1"/>
  <c r="AJ831" i="2" s="1"/>
  <c r="AJ832" i="2" a="1"/>
  <c r="AJ832" i="2" s="1"/>
  <c r="AJ833" i="2" a="1"/>
  <c r="AJ833" i="2" s="1"/>
  <c r="AJ834" i="2" a="1"/>
  <c r="AJ834" i="2" s="1"/>
  <c r="AJ835" i="2" a="1"/>
  <c r="AJ835" i="2" s="1"/>
  <c r="AJ836" i="2" a="1"/>
  <c r="AJ836" i="2" s="1"/>
  <c r="AJ837" i="2" a="1"/>
  <c r="AJ837" i="2" s="1"/>
  <c r="AJ838" i="2" a="1"/>
  <c r="AJ838" i="2" s="1"/>
  <c r="AJ839" i="2" a="1"/>
  <c r="AJ839" i="2" s="1"/>
  <c r="AJ840" i="2" a="1"/>
  <c r="AJ840" i="2" s="1"/>
  <c r="AJ841" i="2" a="1"/>
  <c r="AJ841" i="2"/>
  <c r="AJ842" i="2" a="1"/>
  <c r="AJ842" i="2" s="1"/>
  <c r="AJ843" i="2" a="1"/>
  <c r="AJ843" i="2" s="1"/>
  <c r="AJ844" i="2" a="1"/>
  <c r="AJ844" i="2" s="1"/>
  <c r="AJ845" i="2" a="1"/>
  <c r="AJ845" i="2" s="1"/>
  <c r="AJ846" i="2" a="1"/>
  <c r="AJ846" i="2" s="1"/>
  <c r="AJ847" i="2" a="1"/>
  <c r="AJ847" i="2" s="1"/>
  <c r="AJ848" i="2" a="1"/>
  <c r="AJ848" i="2" s="1"/>
  <c r="AJ849" i="2" a="1"/>
  <c r="AJ849" i="2" s="1"/>
  <c r="AJ850" i="2" a="1"/>
  <c r="AJ850" i="2"/>
  <c r="AJ851" i="2" a="1"/>
  <c r="AJ851" i="2" s="1"/>
  <c r="AJ852" i="2" a="1"/>
  <c r="AJ852" i="2" s="1"/>
  <c r="AJ853" i="2" a="1"/>
  <c r="AJ853" i="2" s="1"/>
  <c r="AJ854" i="2" a="1"/>
  <c r="AJ854" i="2" s="1"/>
  <c r="AJ855" i="2" a="1"/>
  <c r="AJ855" i="2" s="1"/>
  <c r="AJ856" i="2" a="1"/>
  <c r="AJ856" i="2"/>
  <c r="AJ857" i="2" a="1"/>
  <c r="AJ857" i="2" s="1"/>
  <c r="AJ858" i="2" a="1"/>
  <c r="AJ858" i="2"/>
  <c r="AJ859" i="2" a="1"/>
  <c r="AJ859" i="2" s="1"/>
  <c r="AJ860" i="2" a="1"/>
  <c r="AJ860" i="2"/>
  <c r="AJ861" i="2" a="1"/>
  <c r="AJ861" i="2"/>
  <c r="AJ862" i="2" a="1"/>
  <c r="AJ862" i="2" s="1"/>
  <c r="AJ863" i="2" a="1"/>
  <c r="AJ863" i="2" s="1"/>
  <c r="AJ864" i="2" a="1"/>
  <c r="AJ864" i="2"/>
  <c r="AJ865" i="2" a="1"/>
  <c r="AJ865" i="2" s="1"/>
  <c r="AJ866" i="2" a="1"/>
  <c r="AJ866" i="2"/>
  <c r="AJ867" i="2" a="1"/>
  <c r="AJ867" i="2" s="1"/>
  <c r="AJ868" i="2" a="1"/>
  <c r="AJ868" i="2" s="1"/>
  <c r="AJ869" i="2" a="1"/>
  <c r="AJ869" i="2" s="1"/>
  <c r="AJ870" i="2" a="1"/>
  <c r="AJ870" i="2" s="1"/>
  <c r="AJ871" i="2" a="1"/>
  <c r="AJ871" i="2" s="1"/>
  <c r="AJ872" i="2" a="1"/>
  <c r="AJ872" i="2" s="1"/>
  <c r="AJ873" i="2" a="1"/>
  <c r="AJ873" i="2"/>
  <c r="AJ874" i="2" a="1"/>
  <c r="AJ874" i="2" s="1"/>
  <c r="AJ875" i="2" a="1"/>
  <c r="AJ875" i="2" s="1"/>
  <c r="AJ876" i="2" a="1"/>
  <c r="AJ876" i="2" s="1"/>
  <c r="AJ877" i="2" a="1"/>
  <c r="AJ877" i="2" s="1"/>
  <c r="AJ878" i="2" a="1"/>
  <c r="AJ878" i="2" s="1"/>
  <c r="AJ879" i="2" a="1"/>
  <c r="AJ879" i="2" s="1"/>
  <c r="AJ880" i="2" a="1"/>
  <c r="AJ880" i="2"/>
  <c r="AJ881" i="2" a="1"/>
  <c r="AJ881" i="2" s="1"/>
  <c r="AJ882" i="2" a="1"/>
  <c r="AJ882" i="2" s="1"/>
  <c r="AJ883" i="2" a="1"/>
  <c r="AJ883" i="2" s="1"/>
  <c r="AJ884" i="2" a="1"/>
  <c r="AJ884" i="2" s="1"/>
  <c r="AJ885" i="2" a="1"/>
  <c r="AJ885" i="2" s="1"/>
  <c r="AJ886" i="2" a="1"/>
  <c r="AJ886" i="2"/>
  <c r="AJ887" i="2" a="1"/>
  <c r="AJ887" i="2"/>
  <c r="AJ888" i="2" a="1"/>
  <c r="AJ888" i="2" s="1"/>
  <c r="AJ889" i="2" a="1"/>
  <c r="AJ889" i="2" s="1"/>
  <c r="AJ890" i="2" a="1"/>
  <c r="AJ890" i="2"/>
  <c r="AJ891" i="2" a="1"/>
  <c r="AJ891" i="2"/>
  <c r="AJ892" i="2" a="1"/>
  <c r="AJ892" i="2" s="1"/>
  <c r="AJ893" i="2" a="1"/>
  <c r="AJ893" i="2"/>
  <c r="AJ894" i="2" a="1"/>
  <c r="AJ894" i="2" s="1"/>
  <c r="AJ895" i="2" a="1"/>
  <c r="AJ895" i="2" s="1"/>
  <c r="AJ896" i="2" a="1"/>
  <c r="AJ896" i="2" s="1"/>
  <c r="AJ897" i="2" a="1"/>
  <c r="AJ897" i="2" s="1"/>
  <c r="AJ898" i="2" a="1"/>
  <c r="AJ898" i="2" s="1"/>
  <c r="AJ899" i="2" a="1"/>
  <c r="AJ899" i="2" s="1"/>
  <c r="AJ900" i="2" a="1"/>
  <c r="AJ900" i="2" s="1"/>
  <c r="AJ901" i="2" a="1"/>
  <c r="AJ901" i="2" s="1"/>
  <c r="AJ902" i="2" a="1"/>
  <c r="AJ902" i="2"/>
  <c r="AJ903" i="2" a="1"/>
  <c r="AJ903" i="2" s="1"/>
  <c r="AJ904" i="2" a="1"/>
  <c r="AJ904" i="2"/>
  <c r="AJ905" i="2" a="1"/>
  <c r="AJ905" i="2"/>
  <c r="AJ906" i="2" a="1"/>
  <c r="AJ906" i="2"/>
  <c r="AJ907" i="2" a="1"/>
  <c r="AJ907" i="2" s="1"/>
  <c r="AJ908" i="2" a="1"/>
  <c r="AJ908" i="2" s="1"/>
  <c r="AJ909" i="2" a="1"/>
  <c r="AJ909" i="2" s="1"/>
  <c r="AJ910" i="2" a="1"/>
  <c r="AJ910" i="2"/>
  <c r="AJ911" i="2" a="1"/>
  <c r="AJ911" i="2" s="1"/>
  <c r="AJ912" i="2" a="1"/>
  <c r="AJ912" i="2"/>
  <c r="AJ913" i="2" a="1"/>
  <c r="AJ913" i="2" s="1"/>
  <c r="AJ914" i="2" a="1"/>
  <c r="AJ914" i="2" s="1"/>
  <c r="AJ915" i="2" a="1"/>
  <c r="AJ915" i="2"/>
  <c r="AJ916" i="2" a="1"/>
  <c r="AJ916" i="2" s="1"/>
  <c r="AJ917" i="2" a="1"/>
  <c r="AJ917" i="2"/>
  <c r="AJ918" i="2" a="1"/>
  <c r="AJ918" i="2" s="1"/>
  <c r="AJ919" i="2" a="1"/>
  <c r="AJ919" i="2" s="1"/>
  <c r="AJ920" i="2" a="1"/>
  <c r="AJ920" i="2"/>
  <c r="AJ921" i="2" a="1"/>
  <c r="AJ921" i="2" s="1"/>
  <c r="AJ922" i="2" a="1"/>
  <c r="AJ922" i="2" s="1"/>
  <c r="AJ923" i="2" a="1"/>
  <c r="AJ923" i="2"/>
  <c r="AJ924" i="2" a="1"/>
  <c r="AJ924" i="2" s="1"/>
  <c r="AJ925" i="2" a="1"/>
  <c r="AJ925" i="2" s="1"/>
  <c r="AJ926" i="2" a="1"/>
  <c r="AJ926" i="2" s="1"/>
  <c r="AJ927" i="2" a="1"/>
  <c r="AJ927" i="2" s="1"/>
  <c r="AJ928" i="2" a="1"/>
  <c r="AJ928" i="2" s="1"/>
  <c r="AJ929" i="2" a="1"/>
  <c r="AJ929" i="2"/>
  <c r="AJ930" i="2" a="1"/>
  <c r="AJ930" i="2"/>
  <c r="AJ931" i="2" a="1"/>
  <c r="AJ931" i="2" s="1"/>
  <c r="AJ932" i="2" a="1"/>
  <c r="AJ932" i="2" s="1"/>
  <c r="AJ933" i="2" a="1"/>
  <c r="AJ933" i="2" s="1"/>
  <c r="AJ934" i="2" a="1"/>
  <c r="AJ934" i="2" s="1"/>
  <c r="AJ935" i="2" a="1"/>
  <c r="AJ935" i="2" s="1"/>
  <c r="AJ936" i="2" a="1"/>
  <c r="AJ936" i="2" s="1"/>
  <c r="AJ937" i="2" a="1"/>
  <c r="AJ937" i="2" s="1"/>
  <c r="AJ938" i="2" a="1"/>
  <c r="AJ938" i="2" s="1"/>
  <c r="AJ939" i="2" a="1"/>
  <c r="AJ939" i="2" s="1"/>
  <c r="AJ940" i="2" a="1"/>
  <c r="AJ940" i="2" s="1"/>
  <c r="AJ941" i="2" a="1"/>
  <c r="AJ941" i="2" s="1"/>
  <c r="AJ942" i="2" a="1"/>
  <c r="AJ942" i="2"/>
  <c r="AJ943" i="2" a="1"/>
  <c r="AJ943" i="2" s="1"/>
  <c r="AJ944" i="2" a="1"/>
  <c r="AJ944" i="2" s="1"/>
  <c r="AJ945" i="2" a="1"/>
  <c r="AJ945" i="2"/>
  <c r="AJ946" i="2" a="1"/>
  <c r="AJ946" i="2"/>
  <c r="AJ947" i="2" a="1"/>
  <c r="AJ947" i="2" s="1"/>
  <c r="AJ948" i="2" a="1"/>
  <c r="AJ948" i="2" s="1"/>
  <c r="AJ949" i="2" a="1"/>
  <c r="AJ949" i="2" s="1"/>
  <c r="AJ950" i="2" a="1"/>
  <c r="AJ950" i="2"/>
  <c r="AJ951" i="2" a="1"/>
  <c r="AJ951" i="2"/>
  <c r="AJ952" i="2" a="1"/>
  <c r="AJ952" i="2"/>
  <c r="AJ953" i="2" a="1"/>
  <c r="AJ953" i="2" s="1"/>
  <c r="AJ954" i="2" a="1"/>
  <c r="AJ954" i="2"/>
  <c r="AJ955" i="2" a="1"/>
  <c r="AJ955" i="2" s="1"/>
  <c r="AJ956" i="2" a="1"/>
  <c r="AJ956" i="2" s="1"/>
  <c r="AJ957" i="2" a="1"/>
  <c r="AJ957" i="2" s="1"/>
  <c r="AJ958" i="2" a="1"/>
  <c r="AJ958" i="2" s="1"/>
  <c r="AJ959" i="2" a="1"/>
  <c r="AJ959" i="2" s="1"/>
  <c r="AJ960" i="2" a="1"/>
  <c r="AJ960" i="2" s="1"/>
  <c r="AJ961" i="2" a="1"/>
  <c r="AJ961" i="2" s="1"/>
  <c r="AJ962" i="2" a="1"/>
  <c r="AJ962" i="2"/>
  <c r="AJ963" i="2" a="1"/>
  <c r="AJ963" i="2" s="1"/>
  <c r="AJ964" i="2" a="1"/>
  <c r="AJ964" i="2" s="1"/>
  <c r="AJ965" i="2" a="1"/>
  <c r="AJ965" i="2" s="1"/>
  <c r="AJ966" i="2" a="1"/>
  <c r="AJ966" i="2" s="1"/>
  <c r="AJ967" i="2" a="1"/>
  <c r="AJ967" i="2" s="1"/>
  <c r="AJ968" i="2" a="1"/>
  <c r="AJ968" i="2" s="1"/>
  <c r="AJ969" i="2" a="1"/>
  <c r="AJ969" i="2"/>
  <c r="AJ970" i="2" a="1"/>
  <c r="AJ970" i="2"/>
  <c r="AJ971" i="2" a="1"/>
  <c r="AJ971" i="2"/>
  <c r="AJ972" i="2" a="1"/>
  <c r="AJ972" i="2" s="1"/>
  <c r="AJ973" i="2" a="1"/>
  <c r="AJ973" i="2" s="1"/>
  <c r="AJ974" i="2" a="1"/>
  <c r="AJ974" i="2"/>
  <c r="AJ975" i="2" a="1"/>
  <c r="AJ975" i="2"/>
  <c r="AJ976" i="2" a="1"/>
  <c r="AJ976" i="2" s="1"/>
  <c r="AJ977" i="2" a="1"/>
  <c r="AJ977" i="2" s="1"/>
  <c r="AJ978" i="2" a="1"/>
  <c r="AJ978" i="2"/>
  <c r="AJ979" i="2" a="1"/>
  <c r="AJ979" i="2" s="1"/>
  <c r="AJ980" i="2" a="1"/>
  <c r="AJ980" i="2" s="1"/>
  <c r="AJ981" i="2" a="1"/>
  <c r="AJ981" i="2" s="1"/>
  <c r="AJ982" i="2" a="1"/>
  <c r="AJ982" i="2"/>
  <c r="AJ983" i="2" a="1"/>
  <c r="AJ983" i="2"/>
  <c r="AJ984" i="2" a="1"/>
  <c r="AJ984" i="2" s="1"/>
  <c r="AJ985" i="2" a="1"/>
  <c r="AJ985" i="2" s="1"/>
  <c r="AJ986" i="2" a="1"/>
  <c r="AJ986" i="2" s="1"/>
  <c r="AJ987" i="2" a="1"/>
  <c r="AJ987" i="2" s="1"/>
  <c r="AJ988" i="2" a="1"/>
  <c r="AJ988" i="2" s="1"/>
  <c r="AJ989" i="2" a="1"/>
  <c r="AJ989" i="2"/>
  <c r="AJ990" i="2" a="1"/>
  <c r="AJ990" i="2"/>
  <c r="AJ991" i="2" a="1"/>
  <c r="AJ991" i="2" s="1"/>
  <c r="AJ992" i="2" a="1"/>
  <c r="AJ992" i="2" s="1"/>
  <c r="AJ993" i="2" a="1"/>
  <c r="AJ993" i="2" s="1"/>
  <c r="AJ994" i="2" a="1"/>
  <c r="AJ994" i="2" s="1"/>
  <c r="AJ995" i="2" a="1"/>
  <c r="AJ995" i="2" s="1"/>
  <c r="AJ996" i="2" a="1"/>
  <c r="AJ996" i="2" s="1"/>
  <c r="AJ997" i="2" a="1"/>
  <c r="AJ997" i="2" s="1"/>
  <c r="AJ998" i="2" a="1"/>
  <c r="AJ998" i="2" s="1"/>
  <c r="AJ999" i="2" a="1"/>
  <c r="AJ999" i="2" s="1"/>
  <c r="AJ1000" i="2" a="1"/>
  <c r="AJ1000" i="2" s="1"/>
  <c r="AJ1001" i="2" a="1"/>
  <c r="AJ1001" i="2"/>
  <c r="AJ1002" i="2" a="1"/>
  <c r="AJ1002" i="2" s="1"/>
  <c r="AJ1003" i="2" a="1"/>
  <c r="AJ1003" i="2" s="1"/>
  <c r="AJ1004" i="2" a="1"/>
  <c r="AJ1004" i="2" s="1"/>
  <c r="AJ1005" i="2" a="1"/>
  <c r="AJ1005" i="2"/>
  <c r="AJ1006" i="2" a="1"/>
  <c r="AJ1006" i="2" s="1"/>
  <c r="AJ1007" i="2" a="1"/>
  <c r="AJ1007" i="2" s="1"/>
  <c r="AJ1008" i="2" a="1"/>
  <c r="AJ1008" i="2"/>
  <c r="AJ1009" i="2" a="1"/>
  <c r="AJ1009" i="2" s="1"/>
  <c r="AJ1010" i="2" a="1"/>
  <c r="AJ1010" i="2" s="1"/>
  <c r="AJ1011" i="2" a="1"/>
  <c r="AJ1011" i="2" s="1"/>
  <c r="AJ1012" i="2" a="1"/>
  <c r="AJ1012" i="2" s="1"/>
  <c r="AJ1013" i="2" a="1"/>
  <c r="AJ1013" i="2"/>
  <c r="AJ1014" i="2" a="1"/>
  <c r="AJ1014" i="2"/>
  <c r="AJ1015" i="2" a="1"/>
  <c r="AJ1015" i="2" s="1"/>
  <c r="AJ1016" i="2" a="1"/>
  <c r="AJ1016" i="2"/>
  <c r="AJ1017" i="2" a="1"/>
  <c r="AJ1017" i="2"/>
  <c r="AJ1018" i="2" a="1"/>
  <c r="AJ1018" i="2" s="1"/>
  <c r="AJ1019" i="2" a="1"/>
  <c r="AJ1019" i="2" s="1"/>
  <c r="AJ1020" i="2" a="1"/>
  <c r="AJ1020" i="2" s="1"/>
  <c r="AJ1021" i="2" a="1"/>
  <c r="AJ1021" i="2" s="1"/>
  <c r="AJ1022" i="2" a="1"/>
  <c r="AJ1022" i="2"/>
  <c r="AJ1023" i="2" a="1"/>
  <c r="AJ1023" i="2" s="1"/>
  <c r="AJ1024" i="2" a="1"/>
  <c r="AJ1024" i="2"/>
  <c r="AJ1025" i="2" a="1"/>
  <c r="AJ1025" i="2" s="1"/>
  <c r="AJ1026" i="2" a="1"/>
  <c r="AJ1026" i="2" s="1"/>
  <c r="AJ1027" i="2" a="1"/>
  <c r="AJ1027" i="2" s="1"/>
  <c r="AJ1028" i="2" a="1"/>
  <c r="AJ1028" i="2"/>
  <c r="AJ1029" i="2" a="1"/>
  <c r="AJ1029" i="2"/>
  <c r="AJ1030" i="2" a="1"/>
  <c r="AJ1030" i="2" s="1"/>
  <c r="AJ1031" i="2" a="1"/>
  <c r="AJ1031" i="2" s="1"/>
  <c r="AJ1032" i="2" a="1"/>
  <c r="AJ1032" i="2" s="1"/>
  <c r="AJ1033" i="2" a="1"/>
  <c r="AJ1033" i="2" s="1"/>
  <c r="AJ1034" i="2" a="1"/>
  <c r="AJ1034" i="2" s="1"/>
  <c r="AJ1035" i="2" a="1"/>
  <c r="AJ1035" i="2"/>
  <c r="AJ1036" i="2" a="1"/>
  <c r="AJ1036" i="2"/>
  <c r="AJ1037" i="2" a="1"/>
  <c r="AJ1037" i="2" s="1"/>
  <c r="AJ1038" i="2" a="1"/>
  <c r="AJ1038" i="2" s="1"/>
  <c r="AJ1039" i="2" a="1"/>
  <c r="AJ1039" i="2" s="1"/>
  <c r="AJ1040" i="2" a="1"/>
  <c r="AJ1040" i="2" s="1"/>
  <c r="AJ1041" i="2" a="1"/>
  <c r="AJ1041" i="2" s="1"/>
  <c r="AJ1042" i="2" a="1"/>
  <c r="AJ1042" i="2" s="1"/>
  <c r="AJ1043" i="2" a="1"/>
  <c r="AJ1043" i="2" s="1"/>
  <c r="AJ1044" i="2" a="1"/>
  <c r="AJ1044" i="2"/>
  <c r="AJ1045" i="2" a="1"/>
  <c r="AJ1045" i="2" s="1"/>
  <c r="AJ1046" i="2" a="1"/>
  <c r="AJ1046" i="2" s="1"/>
  <c r="AJ1047" i="2" a="1"/>
  <c r="AJ1047" i="2" s="1"/>
  <c r="AJ1048" i="2" a="1"/>
  <c r="AJ1048" i="2" s="1"/>
  <c r="AJ1049" i="2" a="1"/>
  <c r="AJ1049" i="2"/>
  <c r="AJ1050" i="2" a="1"/>
  <c r="AJ1050" i="2"/>
  <c r="AJ1051" i="2" a="1"/>
  <c r="AJ1051" i="2" s="1"/>
  <c r="AJ1052" i="2" a="1"/>
  <c r="AJ1052" i="2" s="1"/>
  <c r="AJ1053" i="2" a="1"/>
  <c r="AJ1053" i="2" s="1"/>
  <c r="AJ1054" i="2" a="1"/>
  <c r="AJ1054" i="2"/>
  <c r="AJ1055" i="2" a="1"/>
  <c r="AJ1055" i="2" s="1"/>
  <c r="AJ1056" i="2" a="1"/>
  <c r="AJ1056" i="2" s="1"/>
  <c r="AJ1057" i="2" a="1"/>
  <c r="AJ1057" i="2" s="1"/>
  <c r="AJ1058" i="2" a="1"/>
  <c r="AJ1058" i="2" s="1"/>
  <c r="AJ1059" i="2" a="1"/>
  <c r="AJ1059" i="2"/>
  <c r="AJ1060" i="2" a="1"/>
  <c r="AJ1060" i="2"/>
  <c r="AJ1061" i="2" a="1"/>
  <c r="AJ1061" i="2"/>
  <c r="AJ1062" i="2" a="1"/>
  <c r="AJ1062" i="2" s="1"/>
  <c r="AJ1063" i="2" a="1"/>
  <c r="AJ1063" i="2" s="1"/>
  <c r="AJ1064" i="2" a="1"/>
  <c r="AJ1064" i="2"/>
  <c r="AJ1065" i="2" a="1"/>
  <c r="AJ1065" i="2" s="1"/>
  <c r="AJ1066" i="2" a="1"/>
  <c r="AJ1066" i="2" s="1"/>
  <c r="AJ1067" i="2" a="1"/>
  <c r="AJ1067" i="2" s="1"/>
  <c r="AJ1068" i="2" a="1"/>
  <c r="AJ1068" i="2"/>
  <c r="AJ1069" i="2" a="1"/>
  <c r="AJ1069" i="2" s="1"/>
  <c r="AJ1070" i="2" a="1"/>
  <c r="AJ1070" i="2" s="1"/>
  <c r="AJ1071" i="2" a="1"/>
  <c r="AJ1071" i="2" s="1"/>
  <c r="AJ1072" i="2" a="1"/>
  <c r="AJ1072" i="2"/>
  <c r="AJ1073" i="2" a="1"/>
  <c r="AJ1073" i="2"/>
  <c r="AJ1074" i="2" a="1"/>
  <c r="AJ1074" i="2" s="1"/>
  <c r="AJ1075" i="2" a="1"/>
  <c r="AJ1075" i="2" s="1"/>
  <c r="AJ1076" i="2" a="1"/>
  <c r="AJ1076" i="2" s="1"/>
  <c r="AJ1077" i="2" a="1"/>
  <c r="AJ1077" i="2" s="1"/>
  <c r="AJ1078" i="2" a="1"/>
  <c r="AJ1078" i="2" s="1"/>
  <c r="AJ1079" i="2" a="1"/>
  <c r="AJ1079" i="2" s="1"/>
  <c r="AJ1080" i="2" a="1"/>
  <c r="AJ1080" i="2" s="1"/>
  <c r="AJ1081" i="2" a="1"/>
  <c r="AJ1081" i="2"/>
  <c r="AJ1082" i="2" a="1"/>
  <c r="AJ1082" i="2"/>
  <c r="AJ1083" i="2" a="1"/>
  <c r="AJ1083" i="2" s="1"/>
  <c r="AJ1084" i="2" a="1"/>
  <c r="AJ1084" i="2" s="1"/>
  <c r="AJ1085" i="2" a="1"/>
  <c r="AJ1085" i="2" s="1"/>
  <c r="AJ1086" i="2" a="1"/>
  <c r="AJ1086" i="2" s="1"/>
  <c r="AJ1087" i="2" a="1"/>
  <c r="AJ1087" i="2" s="1"/>
  <c r="AJ1088" i="2" a="1"/>
  <c r="AJ1088" i="2"/>
  <c r="AJ1089" i="2" a="1"/>
  <c r="AJ1089" i="2"/>
  <c r="AJ1090" i="2" a="1"/>
  <c r="AJ1090" i="2" s="1"/>
  <c r="AJ1091" i="2" a="1"/>
  <c r="AJ1091" i="2" s="1"/>
  <c r="AJ1092" i="2" a="1"/>
  <c r="AJ1092" i="2" s="1"/>
  <c r="AJ1093" i="2" a="1"/>
  <c r="AJ1093" i="2" s="1"/>
  <c r="AJ1094" i="2" a="1"/>
  <c r="AJ1094" i="2" s="1"/>
  <c r="AJ1095" i="2" a="1"/>
  <c r="AJ1095" i="2"/>
  <c r="AJ1096" i="2" a="1"/>
  <c r="AJ1096" i="2" s="1"/>
  <c r="AJ1097" i="2" a="1"/>
  <c r="AJ1097" i="2" s="1"/>
  <c r="AJ1098" i="2" a="1"/>
  <c r="AJ1098" i="2"/>
  <c r="AJ1099" i="2" a="1"/>
  <c r="AJ1099" i="2" s="1"/>
  <c r="AJ1100" i="2" a="1"/>
  <c r="AJ1100" i="2" s="1"/>
  <c r="AJ1101" i="2" a="1"/>
  <c r="AJ1101" i="2" s="1"/>
  <c r="AJ1102" i="2" a="1"/>
  <c r="AJ1102" i="2" s="1"/>
  <c r="AJ1103" i="2" a="1"/>
  <c r="AJ1103" i="2" s="1"/>
  <c r="AJ1104" i="2" a="1"/>
  <c r="AJ1104" i="2"/>
  <c r="AJ1105" i="2" a="1"/>
  <c r="AJ1105" i="2"/>
  <c r="AJ1106" i="2" a="1"/>
  <c r="AJ1106" i="2" s="1"/>
  <c r="AJ1107" i="2" a="1"/>
  <c r="AJ1107" i="2" s="1"/>
  <c r="AJ1108" i="2" a="1"/>
  <c r="AJ1108" i="2" s="1"/>
  <c r="AJ1109" i="2" a="1"/>
  <c r="AJ1109" i="2" s="1"/>
  <c r="AJ1110" i="2" a="1"/>
  <c r="AJ1110" i="2"/>
  <c r="AJ1111" i="2" a="1"/>
  <c r="AJ1111" i="2"/>
  <c r="AJ1112" i="2" a="1"/>
  <c r="AJ1112" i="2" s="1"/>
  <c r="AJ1113" i="2" a="1"/>
  <c r="AJ1113" i="2" s="1"/>
  <c r="AJ1114" i="2" a="1"/>
  <c r="AJ1114" i="2" s="1"/>
  <c r="AJ1115" i="2" a="1"/>
  <c r="AJ1115" i="2" s="1"/>
  <c r="AJ1116" i="2" a="1"/>
  <c r="AJ1116" i="2" s="1"/>
  <c r="AJ1117" i="2" a="1"/>
  <c r="AJ1117" i="2"/>
  <c r="AJ1118" i="2" a="1"/>
  <c r="AJ1118" i="2"/>
  <c r="AJ1119" i="2" a="1"/>
  <c r="AJ1119" i="2" s="1"/>
  <c r="AJ1120" i="2" a="1"/>
  <c r="AJ1120" i="2" s="1"/>
  <c r="AJ1121" i="2" a="1"/>
  <c r="AJ1121" i="2" s="1"/>
  <c r="AJ1122" i="2" a="1"/>
  <c r="AJ1122" i="2" s="1"/>
  <c r="AJ1123" i="2" a="1"/>
  <c r="AJ1123" i="2" s="1"/>
  <c r="AJ1124" i="2" a="1"/>
  <c r="AJ1124" i="2"/>
  <c r="AJ1125" i="2" a="1"/>
  <c r="AJ1125" i="2"/>
  <c r="AJ1126" i="2" a="1"/>
  <c r="AJ1126" i="2" s="1"/>
  <c r="AJ1127" i="2" a="1"/>
  <c r="AJ1127" i="2" s="1"/>
  <c r="AJ1128" i="2" a="1"/>
  <c r="AJ1128" i="2" s="1"/>
  <c r="AJ1129" i="2" a="1"/>
  <c r="AJ1129" i="2" s="1"/>
  <c r="AJ1130" i="2" a="1"/>
  <c r="AJ1130" i="2" s="1"/>
  <c r="AJ1131" i="2" a="1"/>
  <c r="AJ1131" i="2"/>
  <c r="AJ1132" i="2" a="1"/>
  <c r="AJ1132" i="2" s="1"/>
  <c r="AJ1133" i="2" a="1"/>
  <c r="AJ1133" i="2" s="1"/>
  <c r="AJ1134" i="2" a="1"/>
  <c r="AJ1134" i="2"/>
  <c r="AJ1135" i="2" a="1"/>
  <c r="AJ1135" i="2" s="1"/>
  <c r="AJ1136" i="2" a="1"/>
  <c r="AJ1136" i="2" s="1"/>
  <c r="AJ1137" i="2" a="1"/>
  <c r="AJ1137" i="2" s="1"/>
  <c r="AJ1138" i="2" a="1"/>
  <c r="AJ1138" i="2" s="1"/>
  <c r="AJ1139" i="2" a="1"/>
  <c r="AJ1139" i="2" s="1"/>
  <c r="AJ1140" i="2" a="1"/>
  <c r="AJ1140" i="2"/>
  <c r="AJ1141" i="2" a="1"/>
  <c r="AJ1141" i="2"/>
  <c r="AJ1142" i="2" a="1"/>
  <c r="AJ1142" i="2" s="1"/>
  <c r="AJ1143" i="2" a="1"/>
  <c r="AJ1143" i="2" s="1"/>
  <c r="AJ1144" i="2" a="1"/>
  <c r="AJ1144" i="2" s="1"/>
  <c r="AJ1145" i="2" a="1"/>
  <c r="AJ1145" i="2" s="1"/>
  <c r="AJ1146" i="2" a="1"/>
  <c r="AJ1146" i="2"/>
  <c r="AJ1147" i="2" a="1"/>
  <c r="AJ1147" i="2"/>
  <c r="AJ1148" i="2" a="1"/>
  <c r="AJ1148" i="2" s="1"/>
  <c r="AJ1149" i="2" a="1"/>
  <c r="AJ1149" i="2" s="1"/>
  <c r="AJ1150" i="2" a="1"/>
  <c r="AJ1150" i="2" s="1"/>
  <c r="AJ1151" i="2" a="1"/>
  <c r="AJ1151" i="2" s="1"/>
  <c r="AJ1152" i="2" a="1"/>
  <c r="AJ1152" i="2" s="1"/>
  <c r="AJ1153" i="2" a="1"/>
  <c r="AJ1153" i="2"/>
  <c r="AJ1154" i="2" a="1"/>
  <c r="AJ1154" i="2"/>
  <c r="AJ1155" i="2" a="1"/>
  <c r="AJ1155" i="2" s="1"/>
  <c r="AJ1156" i="2" a="1"/>
  <c r="AJ1156" i="2" s="1"/>
  <c r="AJ1157" i="2" a="1"/>
  <c r="AJ1157" i="2" s="1"/>
  <c r="AJ1158" i="2" a="1"/>
  <c r="AJ1158" i="2" s="1"/>
  <c r="AJ1159" i="2" a="1"/>
  <c r="AJ1159" i="2" s="1"/>
  <c r="AJ1160" i="2" a="1"/>
  <c r="AJ1160" i="2"/>
  <c r="AJ1161" i="2" a="1"/>
  <c r="AJ1161" i="2"/>
  <c r="AJ1162" i="2" a="1"/>
  <c r="AJ1162" i="2" s="1"/>
  <c r="AJ1163" i="2" a="1"/>
  <c r="AJ1163" i="2" s="1"/>
  <c r="AJ1164" i="2" a="1"/>
  <c r="AJ1164" i="2" s="1"/>
  <c r="AJ1165" i="2" a="1"/>
  <c r="AJ1165" i="2" s="1"/>
  <c r="AJ1166" i="2" a="1"/>
  <c r="AJ1166" i="2" s="1"/>
  <c r="AJ1167" i="2" a="1"/>
  <c r="AJ1167" i="2"/>
  <c r="AJ1168" i="2" a="1"/>
  <c r="AJ1168" i="2" s="1"/>
  <c r="AJ1169" i="2" a="1"/>
  <c r="AJ1169" i="2" s="1"/>
  <c r="AJ1170" i="2" a="1"/>
  <c r="AJ1170" i="2"/>
  <c r="AJ1171" i="2" a="1"/>
  <c r="AJ1171" i="2" s="1"/>
  <c r="AJ1172" i="2" a="1"/>
  <c r="AJ1172" i="2" s="1"/>
  <c r="AJ1173" i="2" a="1"/>
  <c r="AJ1173" i="2" s="1"/>
  <c r="AJ1174" i="2" a="1"/>
  <c r="AJ1174" i="2" s="1"/>
  <c r="AJ1175" i="2" a="1"/>
  <c r="AJ1175" i="2" s="1"/>
  <c r="AJ1176" i="2" a="1"/>
  <c r="AJ1176" i="2"/>
  <c r="AJ1177" i="2" a="1"/>
  <c r="AJ1177" i="2"/>
  <c r="AJ1178" i="2" a="1"/>
  <c r="AJ1178" i="2" s="1"/>
  <c r="AJ1179" i="2" a="1"/>
  <c r="AJ1179" i="2" s="1"/>
  <c r="AJ1180" i="2" a="1"/>
  <c r="AJ1180" i="2" s="1"/>
  <c r="AJ1181" i="2" a="1"/>
  <c r="AJ1181" i="2" s="1"/>
  <c r="AJ1182" i="2" a="1"/>
  <c r="AJ1182" i="2"/>
  <c r="AJ1183" i="2" a="1"/>
  <c r="AJ1183" i="2"/>
  <c r="AJ1184" i="2" a="1"/>
  <c r="AJ1184" i="2" s="1"/>
  <c r="AJ1185" i="2" a="1"/>
  <c r="AJ1185" i="2" s="1"/>
  <c r="AJ1186" i="2" a="1"/>
  <c r="AJ1186" i="2" s="1"/>
  <c r="AJ1187" i="2" a="1"/>
  <c r="AJ1187" i="2" s="1"/>
  <c r="AJ1188" i="2" a="1"/>
  <c r="AJ1188" i="2" s="1"/>
  <c r="AJ1189" i="2" a="1"/>
  <c r="AJ1189" i="2"/>
  <c r="AJ1190" i="2" a="1"/>
  <c r="AJ1190" i="2"/>
  <c r="AJ1191" i="2" a="1"/>
  <c r="AJ1191" i="2" s="1"/>
  <c r="AJ1192" i="2" a="1"/>
  <c r="AJ1192" i="2" s="1"/>
  <c r="AJ1193" i="2" a="1"/>
  <c r="AJ1193" i="2" s="1"/>
  <c r="AJ1194" i="2" a="1"/>
  <c r="AJ1194" i="2" s="1"/>
  <c r="AJ1195" i="2" a="1"/>
  <c r="AJ1195" i="2" s="1"/>
  <c r="AJ1196" i="2" a="1"/>
  <c r="AJ1196" i="2"/>
  <c r="AJ1197" i="2" a="1"/>
  <c r="AJ1197" i="2"/>
  <c r="AJ1198" i="2" a="1"/>
  <c r="AJ1198" i="2" s="1"/>
  <c r="AJ1199" i="2" a="1"/>
  <c r="AJ1199" i="2" s="1"/>
  <c r="AJ1200" i="2" a="1"/>
  <c r="AJ1200" i="2" s="1"/>
  <c r="AJ1201" i="2" a="1"/>
  <c r="AJ1201" i="2" s="1"/>
  <c r="AJ1202" i="2" a="1"/>
  <c r="AJ1202" i="2" s="1"/>
  <c r="AJ1203" i="2" a="1"/>
  <c r="AJ1203" i="2"/>
  <c r="AJ1204" i="2" a="1"/>
  <c r="AJ1204" i="2" s="1"/>
  <c r="AJ1205" i="2" a="1"/>
  <c r="AJ1205" i="2" s="1"/>
  <c r="AJ1206" i="2" a="1"/>
  <c r="AJ1206" i="2"/>
  <c r="AJ1207" i="2" a="1"/>
  <c r="AJ1207" i="2" s="1"/>
  <c r="AJ1208" i="2" a="1"/>
  <c r="AJ1208" i="2" s="1"/>
  <c r="AJ1209" i="2" a="1"/>
  <c r="AJ1209" i="2" s="1"/>
  <c r="AJ1210" i="2" a="1"/>
  <c r="AJ1210" i="2" s="1"/>
  <c r="AJ1211" i="2" a="1"/>
  <c r="AJ1211" i="2" s="1"/>
  <c r="AJ1212" i="2" a="1"/>
  <c r="AJ1212" i="2"/>
  <c r="AJ1213" i="2" a="1"/>
  <c r="AJ1213" i="2"/>
  <c r="AJ1214" i="2" a="1"/>
  <c r="AJ1214" i="2" s="1"/>
  <c r="AJ1215" i="2" a="1"/>
  <c r="AJ1215" i="2" s="1"/>
  <c r="AJ1216" i="2" a="1"/>
  <c r="AJ1216" i="2" s="1"/>
  <c r="AJ1217" i="2" a="1"/>
  <c r="AJ1217" i="2" s="1"/>
  <c r="AJ1218" i="2" a="1"/>
  <c r="AJ1218" i="2"/>
  <c r="AJ1219" i="2" a="1"/>
  <c r="AJ1219" i="2"/>
  <c r="AJ1220" i="2" a="1"/>
  <c r="AJ1220" i="2" s="1"/>
  <c r="AJ1221" i="2" a="1"/>
  <c r="AJ1221" i="2" s="1"/>
  <c r="AJ1222" i="2" a="1"/>
  <c r="AJ1222" i="2" s="1"/>
  <c r="AJ1223" i="2" a="1"/>
  <c r="AJ1223" i="2" s="1"/>
  <c r="AJ1224" i="2" a="1"/>
  <c r="AJ1224" i="2" s="1"/>
  <c r="AJ1225" i="2" a="1"/>
  <c r="AJ1225" i="2"/>
  <c r="AJ1226" i="2" a="1"/>
  <c r="AJ1226" i="2"/>
  <c r="AJ1227" i="2" a="1"/>
  <c r="AJ1227" i="2" s="1"/>
  <c r="AJ1228" i="2" a="1"/>
  <c r="AJ1228" i="2" s="1"/>
  <c r="AJ1229" i="2" a="1"/>
  <c r="AJ1229" i="2" s="1"/>
  <c r="AJ1230" i="2" a="1"/>
  <c r="AJ1230" i="2" s="1"/>
  <c r="AJ1231" i="2" a="1"/>
  <c r="AJ1231" i="2" s="1"/>
  <c r="AJ1232" i="2" a="1"/>
  <c r="AJ1232" i="2"/>
  <c r="AJ1233" i="2" a="1"/>
  <c r="AJ1233" i="2"/>
  <c r="AJ1234" i="2" a="1"/>
  <c r="AJ1234" i="2" s="1"/>
  <c r="AJ1235" i="2" a="1"/>
  <c r="AJ1235" i="2" s="1"/>
  <c r="AJ1236" i="2" a="1"/>
  <c r="AJ1236" i="2" s="1"/>
  <c r="AJ1237" i="2" a="1"/>
  <c r="AJ1237" i="2" s="1"/>
  <c r="AJ1238" i="2" a="1"/>
  <c r="AJ1238" i="2" s="1"/>
  <c r="AJ1239" i="2" a="1"/>
  <c r="AJ1239" i="2"/>
  <c r="AJ1240" i="2" a="1"/>
  <c r="AJ1240" i="2" s="1"/>
  <c r="AJ1241" i="2" a="1"/>
  <c r="AJ1241" i="2" s="1"/>
  <c r="AJ1242" i="2" a="1"/>
  <c r="AJ1242" i="2"/>
  <c r="AJ1243" i="2" a="1"/>
  <c r="AJ1243" i="2" s="1"/>
  <c r="AJ1244" i="2" a="1"/>
  <c r="AJ1244" i="2" s="1"/>
  <c r="AJ1245" i="2" a="1"/>
  <c r="AJ1245" i="2" s="1"/>
  <c r="AJ1246" i="2" a="1"/>
  <c r="AJ1246" i="2" s="1"/>
  <c r="AJ1247" i="2" a="1"/>
  <c r="AJ1247" i="2" s="1"/>
  <c r="AJ1248" i="2" a="1"/>
  <c r="AJ1248" i="2"/>
  <c r="AJ1249" i="2" a="1"/>
  <c r="AJ1249" i="2"/>
  <c r="AJ1250" i="2" a="1"/>
  <c r="AJ1250" i="2" s="1"/>
  <c r="AJ1251" i="2" a="1"/>
  <c r="AJ1251" i="2" s="1"/>
  <c r="AJ1252" i="2" a="1"/>
  <c r="AJ1252" i="2" s="1"/>
  <c r="AJ1253" i="2" a="1"/>
  <c r="AJ1253" i="2" s="1"/>
  <c r="AJ1254" i="2" a="1"/>
  <c r="AJ1254" i="2"/>
  <c r="AJ1255" i="2" a="1"/>
  <c r="AJ1255" i="2"/>
  <c r="AJ1256" i="2" a="1"/>
  <c r="AJ1256" i="2" s="1"/>
  <c r="AJ1257" i="2" a="1"/>
  <c r="AJ1257" i="2" s="1"/>
  <c r="AJ1258" i="2" a="1"/>
  <c r="AJ1258" i="2" s="1"/>
  <c r="AJ1259" i="2" a="1"/>
  <c r="AJ1259" i="2" s="1"/>
  <c r="AJ1260" i="2" a="1"/>
  <c r="AJ1260" i="2" s="1"/>
  <c r="AJ1261" i="2" a="1"/>
  <c r="AJ1261" i="2"/>
  <c r="AJ1262" i="2" a="1"/>
  <c r="AJ1262" i="2"/>
  <c r="AJ1263" i="2" a="1"/>
  <c r="AJ1263" i="2" s="1"/>
  <c r="AJ1264" i="2" a="1"/>
  <c r="AJ1264" i="2" s="1"/>
  <c r="AJ1265" i="2" a="1"/>
  <c r="AJ1265" i="2" s="1"/>
  <c r="AJ1266" i="2" a="1"/>
  <c r="AJ1266" i="2" s="1"/>
  <c r="AJ1267" i="2" a="1"/>
  <c r="AJ1267" i="2" s="1"/>
  <c r="AJ1268" i="2" a="1"/>
  <c r="AJ1268" i="2"/>
  <c r="AJ1269" i="2" a="1"/>
  <c r="AJ1269" i="2"/>
  <c r="AJ1270" i="2" a="1"/>
  <c r="AJ1270" i="2" s="1"/>
  <c r="AJ1271" i="2" a="1"/>
  <c r="AJ1271" i="2" s="1"/>
  <c r="AJ1272" i="2" a="1"/>
  <c r="AJ1272" i="2" s="1"/>
  <c r="AJ1273" i="2" a="1"/>
  <c r="AJ1273" i="2" s="1"/>
  <c r="AJ1274" i="2" a="1"/>
  <c r="AJ1274" i="2" s="1"/>
  <c r="AJ1275" i="2" a="1"/>
  <c r="AJ1275" i="2"/>
  <c r="AJ1276" i="2" a="1"/>
  <c r="AJ1276" i="2" s="1"/>
  <c r="AJ1277" i="2" a="1"/>
  <c r="AJ1277" i="2" s="1"/>
  <c r="AJ1278" i="2" a="1"/>
  <c r="AJ1278" i="2"/>
  <c r="AJ1279" i="2" a="1"/>
  <c r="AJ1279" i="2" s="1"/>
  <c r="AJ1280" i="2" a="1"/>
  <c r="AJ1280" i="2" s="1"/>
  <c r="AJ1281" i="2" a="1"/>
  <c r="AJ1281" i="2" s="1"/>
  <c r="AJ1282" i="2" a="1"/>
  <c r="AJ1282" i="2" s="1"/>
  <c r="AJ1283" i="2" a="1"/>
  <c r="AJ1283" i="2" s="1"/>
  <c r="AJ1284" i="2" a="1"/>
  <c r="AJ1284" i="2"/>
  <c r="AJ1285" i="2" a="1"/>
  <c r="AJ1285" i="2"/>
  <c r="AJ1286" i="2" a="1"/>
  <c r="AJ1286" i="2" s="1"/>
  <c r="AJ1287" i="2" a="1"/>
  <c r="AJ1287" i="2" s="1"/>
  <c r="AJ1288" i="2" a="1"/>
  <c r="AJ1288" i="2" s="1"/>
  <c r="AJ1289" i="2" a="1"/>
  <c r="AJ1289" i="2" s="1"/>
  <c r="AJ1290" i="2" a="1"/>
  <c r="AJ1290" i="2"/>
  <c r="AJ1291" i="2" a="1"/>
  <c r="AJ1291" i="2"/>
  <c r="AJ1292" i="2" a="1"/>
  <c r="AJ1292" i="2" s="1"/>
  <c r="AJ1293" i="2" a="1"/>
  <c r="AJ1293" i="2" s="1"/>
  <c r="AJ1294" i="2" a="1"/>
  <c r="AJ1294" i="2" s="1"/>
  <c r="AJ1295" i="2" a="1"/>
  <c r="AJ1295" i="2" s="1"/>
  <c r="AJ1296" i="2" a="1"/>
  <c r="AJ1296" i="2" s="1"/>
  <c r="AJ1297" i="2" a="1"/>
  <c r="AJ1297" i="2"/>
  <c r="AJ1298" i="2" a="1"/>
  <c r="AJ1298" i="2"/>
  <c r="AJ1299" i="2" a="1"/>
  <c r="AJ1299" i="2" s="1"/>
  <c r="AJ1300" i="2" a="1"/>
  <c r="AJ1300" i="2" s="1"/>
  <c r="AJ1301" i="2" a="1"/>
  <c r="AJ1301" i="2" s="1"/>
  <c r="AJ1302" i="2" a="1"/>
  <c r="AJ1302" i="2" s="1"/>
  <c r="AJ1303" i="2" a="1"/>
  <c r="AJ1303" i="2" s="1"/>
  <c r="AJ1304" i="2" a="1"/>
  <c r="AJ1304" i="2"/>
  <c r="AJ1305" i="2" a="1"/>
  <c r="AJ1305" i="2"/>
  <c r="AJ1306" i="2" a="1"/>
  <c r="AJ1306" i="2" s="1"/>
  <c r="AJ1307" i="2" a="1"/>
  <c r="AJ1307" i="2" s="1"/>
  <c r="AJ1308" i="2" a="1"/>
  <c r="AJ1308" i="2" s="1"/>
  <c r="AJ1309" i="2" a="1"/>
  <c r="AJ1309" i="2" s="1"/>
  <c r="AJ1310" i="2" a="1"/>
  <c r="AJ1310" i="2" s="1"/>
  <c r="AJ1311" i="2" a="1"/>
  <c r="AJ1311" i="2"/>
  <c r="AJ1312" i="2" a="1"/>
  <c r="AJ1312" i="2" s="1"/>
  <c r="AJ1313" i="2" a="1"/>
  <c r="AJ1313" i="2" s="1"/>
  <c r="AJ1314" i="2" a="1"/>
  <c r="AJ1314" i="2"/>
  <c r="AJ1315" i="2" a="1"/>
  <c r="AJ1315" i="2" s="1"/>
  <c r="AJ1316" i="2" a="1"/>
  <c r="AJ1316" i="2" s="1"/>
  <c r="AJ1317" i="2" a="1"/>
  <c r="AJ1317" i="2" s="1"/>
  <c r="AJ1318" i="2" a="1"/>
  <c r="AJ1318" i="2" s="1"/>
  <c r="AJ1319" i="2" a="1"/>
  <c r="AJ1319" i="2" s="1"/>
  <c r="AJ1320" i="2" a="1"/>
  <c r="AJ1320" i="2"/>
  <c r="AJ1321" i="2" a="1"/>
  <c r="AJ1321" i="2"/>
  <c r="AJ1322" i="2" a="1"/>
  <c r="AJ1322" i="2" s="1"/>
  <c r="AJ1323" i="2" a="1"/>
  <c r="AJ1323" i="2" s="1"/>
  <c r="AJ1324" i="2" a="1"/>
  <c r="AJ1324" i="2" s="1"/>
  <c r="AJ1325" i="2" a="1"/>
  <c r="AJ1325" i="2" s="1"/>
  <c r="AJ1326" i="2" a="1"/>
  <c r="AJ1326" i="2"/>
  <c r="AJ1327" i="2" a="1"/>
  <c r="AJ1327" i="2"/>
  <c r="AJ1328" i="2" a="1"/>
  <c r="AJ1328" i="2" s="1"/>
  <c r="AJ1329" i="2" a="1"/>
  <c r="AJ1329" i="2" s="1"/>
  <c r="AJ1330" i="2" a="1"/>
  <c r="AJ1330" i="2" s="1"/>
  <c r="AJ1331" i="2" a="1"/>
  <c r="AJ1331" i="2" s="1"/>
  <c r="AJ1332" i="2" a="1"/>
  <c r="AJ1332" i="2" s="1"/>
  <c r="AJ1333" i="2" a="1"/>
  <c r="AJ1333" i="2"/>
  <c r="AJ1334" i="2" a="1"/>
  <c r="AJ1334" i="2"/>
  <c r="AJ1335" i="2" a="1"/>
  <c r="AJ1335" i="2" s="1"/>
  <c r="AJ1336" i="2" a="1"/>
  <c r="AJ1336" i="2" s="1"/>
  <c r="AJ1337" i="2" a="1"/>
  <c r="AJ1337" i="2" s="1"/>
  <c r="AJ1338" i="2" a="1"/>
  <c r="AJ1338" i="2" s="1"/>
  <c r="AJ1339" i="2" a="1"/>
  <c r="AJ1339" i="2" s="1"/>
  <c r="AJ1340" i="2" a="1"/>
  <c r="AJ1340" i="2"/>
  <c r="AJ1341" i="2" a="1"/>
  <c r="AJ1341" i="2"/>
  <c r="AJ1342" i="2" a="1"/>
  <c r="AJ1342" i="2" s="1"/>
  <c r="AJ1343" i="2" a="1"/>
  <c r="AJ1343" i="2" s="1"/>
  <c r="AJ1344" i="2" a="1"/>
  <c r="AJ1344" i="2" s="1"/>
  <c r="AJ1345" i="2" a="1"/>
  <c r="AJ1345" i="2" s="1"/>
  <c r="AJ1346" i="2" a="1"/>
  <c r="AJ1346" i="2" s="1"/>
  <c r="AJ1347" i="2" a="1"/>
  <c r="AJ1347" i="2"/>
  <c r="AJ1348" i="2" a="1"/>
  <c r="AJ1348" i="2" s="1"/>
  <c r="AJ1349" i="2" a="1"/>
  <c r="AJ1349" i="2" s="1"/>
  <c r="AJ1350" i="2" a="1"/>
  <c r="AJ1350" i="2"/>
  <c r="AJ1351" i="2" a="1"/>
  <c r="AJ1351" i="2" s="1"/>
  <c r="AJ1352" i="2" a="1"/>
  <c r="AJ1352" i="2" s="1"/>
  <c r="AJ1353" i="2" a="1"/>
  <c r="AJ1353" i="2" s="1"/>
  <c r="AJ1354" i="2" a="1"/>
  <c r="AJ1354" i="2" s="1"/>
  <c r="AJ1355" i="2" a="1"/>
  <c r="AJ1355" i="2" s="1"/>
  <c r="AJ1356" i="2" a="1"/>
  <c r="AJ1356" i="2"/>
  <c r="AJ1357" i="2" a="1"/>
  <c r="AJ1357" i="2"/>
  <c r="AJ1358" i="2" a="1"/>
  <c r="AJ1358" i="2" s="1"/>
  <c r="AJ1359" i="2" a="1"/>
  <c r="AJ1359" i="2" s="1"/>
  <c r="AJ1360" i="2" a="1"/>
  <c r="AJ1360" i="2" s="1"/>
  <c r="AJ1361" i="2" a="1"/>
  <c r="AJ1361" i="2" s="1"/>
  <c r="AJ1362" i="2" a="1"/>
  <c r="AJ1362" i="2"/>
  <c r="AJ1363" i="2" a="1"/>
  <c r="AJ1363" i="2"/>
  <c r="AJ1364" i="2" a="1"/>
  <c r="AJ1364" i="2" s="1"/>
  <c r="AJ1365" i="2" a="1"/>
  <c r="AJ1365" i="2" s="1"/>
  <c r="AJ1366" i="2" a="1"/>
  <c r="AJ1366" i="2" s="1"/>
  <c r="AJ1367" i="2" a="1"/>
  <c r="AJ1367" i="2" s="1"/>
  <c r="AJ1368" i="2" a="1"/>
  <c r="AJ1368" i="2" s="1"/>
  <c r="AJ1369" i="2" a="1"/>
  <c r="AJ1369" i="2"/>
  <c r="AJ1370" i="2" a="1"/>
  <c r="AJ1370" i="2"/>
  <c r="AJ1371" i="2" a="1"/>
  <c r="AJ1371" i="2" s="1"/>
  <c r="AJ1372" i="2" a="1"/>
  <c r="AJ1372" i="2" s="1"/>
  <c r="AJ1373" i="2" a="1"/>
  <c r="AJ1373" i="2" s="1"/>
  <c r="AJ1374" i="2" a="1"/>
  <c r="AJ1374" i="2" s="1"/>
  <c r="AJ1375" i="2" a="1"/>
  <c r="AJ1375" i="2" s="1"/>
  <c r="AJ1376" i="2" a="1"/>
  <c r="AJ1376" i="2"/>
  <c r="AJ1377" i="2" a="1"/>
  <c r="AJ1377" i="2"/>
  <c r="AJ1378" i="2" a="1"/>
  <c r="AJ1378" i="2" s="1"/>
  <c r="AJ1379" i="2" a="1"/>
  <c r="AJ1379" i="2" s="1"/>
  <c r="AJ1380" i="2" a="1"/>
  <c r="AJ1380" i="2" s="1"/>
  <c r="AJ1381" i="2" a="1"/>
  <c r="AJ1381" i="2" s="1"/>
  <c r="AJ1382" i="2" a="1"/>
  <c r="AJ1382" i="2" s="1"/>
  <c r="AJ1383" i="2" a="1"/>
  <c r="AJ1383" i="2"/>
  <c r="AJ1384" i="2" a="1"/>
  <c r="AJ1384" i="2" s="1"/>
  <c r="AJ1385" i="2" a="1"/>
  <c r="AJ1385" i="2" s="1"/>
  <c r="AJ1386" i="2" a="1"/>
  <c r="AJ1386" i="2"/>
  <c r="AJ1387" i="2" a="1"/>
  <c r="AJ1387" i="2" s="1"/>
  <c r="AJ1388" i="2" a="1"/>
  <c r="AJ1388" i="2" s="1"/>
  <c r="AJ1389" i="2" a="1"/>
  <c r="AJ1389" i="2" s="1"/>
  <c r="AJ1390" i="2" a="1"/>
  <c r="AJ1390" i="2" s="1"/>
  <c r="AJ1391" i="2" a="1"/>
  <c r="AJ1391" i="2" s="1"/>
  <c r="AJ1392" i="2" a="1"/>
  <c r="AJ1392" i="2"/>
  <c r="AJ1393" i="2" a="1"/>
  <c r="AJ1393" i="2"/>
  <c r="AJ1394" i="2" a="1"/>
  <c r="AJ1394" i="2" s="1"/>
  <c r="AJ1395" i="2" a="1"/>
  <c r="AJ1395" i="2" s="1"/>
  <c r="AJ1396" i="2" a="1"/>
  <c r="AJ1396" i="2" s="1"/>
  <c r="AJ1397" i="2" a="1"/>
  <c r="AJ1397" i="2" s="1"/>
  <c r="AJ1398" i="2" a="1"/>
  <c r="AJ1398" i="2"/>
  <c r="AJ1399" i="2" a="1"/>
  <c r="AJ1399" i="2"/>
  <c r="AJ1400" i="2" a="1"/>
  <c r="AJ1400" i="2" s="1"/>
  <c r="AJ1401" i="2" a="1"/>
  <c r="AJ1401" i="2" s="1"/>
  <c r="AJ1402" i="2" a="1"/>
  <c r="AJ1402" i="2" s="1"/>
  <c r="AJ1403" i="2" a="1"/>
  <c r="AJ1403" i="2" s="1"/>
  <c r="AJ1404" i="2" a="1"/>
  <c r="AJ1404" i="2" s="1"/>
  <c r="AJ1405" i="2" a="1"/>
  <c r="AJ1405" i="2"/>
  <c r="AJ1406" i="2" a="1"/>
  <c r="AJ1406" i="2"/>
  <c r="AJ1407" i="2" a="1"/>
  <c r="AJ1407" i="2" s="1"/>
  <c r="AJ1408" i="2" a="1"/>
  <c r="AJ1408" i="2" s="1"/>
  <c r="AJ1409" i="2" a="1"/>
  <c r="AJ1409" i="2" s="1"/>
  <c r="AJ1410" i="2" a="1"/>
  <c r="AJ1410" i="2" s="1"/>
  <c r="AJ1411" i="2" a="1"/>
  <c r="AJ1411" i="2" s="1"/>
  <c r="AJ1412" i="2" a="1"/>
  <c r="AJ1412" i="2"/>
  <c r="AJ1413" i="2" a="1"/>
  <c r="AJ1413" i="2"/>
  <c r="AJ1414" i="2" a="1"/>
  <c r="AJ1414" i="2" s="1"/>
  <c r="AJ1415" i="2" a="1"/>
  <c r="AJ1415" i="2" s="1"/>
  <c r="AJ1416" i="2" a="1"/>
  <c r="AJ1416" i="2" s="1"/>
  <c r="AJ1417" i="2" a="1"/>
  <c r="AJ1417" i="2" s="1"/>
  <c r="AJ1418" i="2" a="1"/>
  <c r="AJ1418" i="2" s="1"/>
  <c r="AJ1419" i="2" a="1"/>
  <c r="AJ1419" i="2"/>
  <c r="AJ1420" i="2" a="1"/>
  <c r="AJ1420" i="2" s="1"/>
  <c r="AJ1421" i="2" a="1"/>
  <c r="AJ1421" i="2" s="1"/>
  <c r="AJ1422" i="2" a="1"/>
  <c r="AJ1422" i="2"/>
  <c r="AJ1423" i="2" a="1"/>
  <c r="AJ1423" i="2" s="1"/>
  <c r="AJ1424" i="2" a="1"/>
  <c r="AJ1424" i="2" s="1"/>
  <c r="AJ1425" i="2" a="1"/>
  <c r="AJ1425" i="2" s="1"/>
  <c r="AJ1426" i="2" a="1"/>
  <c r="AJ1426" i="2" s="1"/>
  <c r="AJ1427" i="2" a="1"/>
  <c r="AJ1427" i="2" s="1"/>
  <c r="AJ1428" i="2" a="1"/>
  <c r="AJ1428" i="2"/>
  <c r="AJ1429" i="2" a="1"/>
  <c r="AJ1429" i="2"/>
  <c r="AJ1430" i="2" a="1"/>
  <c r="AJ1430" i="2" s="1"/>
  <c r="AJ1431" i="2" a="1"/>
  <c r="AJ1431" i="2" s="1"/>
  <c r="AJ1432" i="2" a="1"/>
  <c r="AJ1432" i="2" s="1"/>
  <c r="AJ1433" i="2" a="1"/>
  <c r="AJ1433" i="2" s="1"/>
  <c r="AJ1434" i="2" a="1"/>
  <c r="AJ1434" i="2"/>
  <c r="AJ1435" i="2" a="1"/>
  <c r="AJ1435" i="2"/>
  <c r="AJ1436" i="2" a="1"/>
  <c r="AJ1436" i="2" s="1"/>
  <c r="AJ1437" i="2" a="1"/>
  <c r="AJ1437" i="2" s="1"/>
  <c r="AJ1438" i="2" a="1"/>
  <c r="AJ1438" i="2" s="1"/>
  <c r="AJ1439" i="2" a="1"/>
  <c r="AJ1439" i="2" s="1"/>
  <c r="AJ1440" i="2" a="1"/>
  <c r="AJ1440" i="2" s="1"/>
  <c r="AJ1441" i="2" a="1"/>
  <c r="AJ1441" i="2"/>
  <c r="AJ1442" i="2" a="1"/>
  <c r="AJ1442" i="2"/>
  <c r="AJ1443" i="2" a="1"/>
  <c r="AJ1443" i="2" s="1"/>
  <c r="AJ1444" i="2" a="1"/>
  <c r="AJ1444" i="2" s="1"/>
  <c r="AJ1445" i="2" a="1"/>
  <c r="AJ1445" i="2" s="1"/>
  <c r="AJ1446" i="2" a="1"/>
  <c r="AJ1446" i="2" s="1"/>
  <c r="AJ1447" i="2" a="1"/>
  <c r="AJ1447" i="2" s="1"/>
  <c r="AJ1448" i="2" a="1"/>
  <c r="AJ1448" i="2"/>
  <c r="AJ1449" i="2" a="1"/>
  <c r="AJ1449" i="2"/>
  <c r="AJ1450" i="2" a="1"/>
  <c r="AJ1450" i="2" s="1"/>
  <c r="AJ1451" i="2" a="1"/>
  <c r="AJ1451" i="2" s="1"/>
  <c r="AJ1452" i="2" a="1"/>
  <c r="AJ1452" i="2" s="1"/>
  <c r="AJ1453" i="2" a="1"/>
  <c r="AJ1453" i="2" s="1"/>
  <c r="AJ1454" i="2" a="1"/>
  <c r="AJ1454" i="2" s="1"/>
  <c r="AJ1455" i="2" a="1"/>
  <c r="AJ1455" i="2"/>
  <c r="AJ1456" i="2" a="1"/>
  <c r="AJ1456" i="2" s="1"/>
  <c r="AJ1457" i="2" a="1"/>
  <c r="AJ1457" i="2" s="1"/>
  <c r="AJ1458" i="2" a="1"/>
  <c r="AJ1458" i="2"/>
  <c r="AJ1459" i="2" a="1"/>
  <c r="AJ1459" i="2" s="1"/>
  <c r="AJ1460" i="2" a="1"/>
  <c r="AJ1460" i="2" s="1"/>
  <c r="AJ1461" i="2" a="1"/>
  <c r="AJ1461" i="2" s="1"/>
  <c r="AJ1462" i="2" a="1"/>
  <c r="AJ1462" i="2" s="1"/>
  <c r="AJ1463" i="2" a="1"/>
  <c r="AJ1463" i="2" s="1"/>
  <c r="AJ1464" i="2" a="1"/>
  <c r="AJ1464" i="2"/>
  <c r="AJ1465" i="2" a="1"/>
  <c r="AJ1465" i="2"/>
  <c r="AJ1466" i="2" a="1"/>
  <c r="AJ1466" i="2" s="1"/>
  <c r="AJ1467" i="2" a="1"/>
  <c r="AJ1467" i="2" s="1"/>
  <c r="AJ1468" i="2" a="1"/>
  <c r="AJ1468" i="2" s="1"/>
  <c r="AJ1469" i="2" a="1"/>
  <c r="AJ1469" i="2" s="1"/>
  <c r="AJ1470" i="2" a="1"/>
  <c r="AJ1470" i="2"/>
  <c r="AJ1471" i="2" a="1"/>
  <c r="AJ1471" i="2"/>
  <c r="AJ2" i="1" a="1"/>
  <c r="AJ2" i="1" s="1"/>
  <c r="AK3" i="1" a="1"/>
  <c r="AK3" i="1" s="1"/>
  <c r="AK4" i="1" a="1"/>
  <c r="AK4" i="1"/>
  <c r="AK5" i="1" a="1"/>
  <c r="AK5" i="1"/>
  <c r="AK6" i="1" a="1"/>
  <c r="AK6" i="1"/>
  <c r="AK7" i="1" a="1"/>
  <c r="AK7" i="1" s="1"/>
  <c r="AK8" i="1" a="1"/>
  <c r="AK8" i="1" s="1"/>
  <c r="AK9" i="1" a="1"/>
  <c r="AK9" i="1" s="1"/>
  <c r="AK10" i="1" a="1"/>
  <c r="AK10" i="1"/>
  <c r="AK11" i="1" a="1"/>
  <c r="AK11" i="1"/>
  <c r="AK12" i="1" a="1"/>
  <c r="AK12" i="1"/>
  <c r="AK13" i="1" a="1"/>
  <c r="AK13" i="1" s="1"/>
  <c r="AK14" i="1" a="1"/>
  <c r="AK14" i="1" s="1"/>
  <c r="AK15" i="1" a="1"/>
  <c r="AK15" i="1" s="1"/>
  <c r="AK16" i="1" a="1"/>
  <c r="AK16" i="1"/>
  <c r="AK17" i="1" a="1"/>
  <c r="AK17" i="1"/>
  <c r="AK18" i="1" a="1"/>
  <c r="AK18" i="1"/>
  <c r="AK19" i="1" a="1"/>
  <c r="AK19" i="1" s="1"/>
  <c r="AK20" i="1" a="1"/>
  <c r="AK20" i="1"/>
  <c r="AK21" i="1" a="1"/>
  <c r="AK21" i="1" s="1"/>
  <c r="AK22" i="1" a="1"/>
  <c r="AK22" i="1"/>
  <c r="AK23" i="1" a="1"/>
  <c r="AK23" i="1"/>
  <c r="AK24" i="1" a="1"/>
  <c r="AK24" i="1"/>
  <c r="AK25" i="1" a="1"/>
  <c r="AK25" i="1" s="1"/>
  <c r="AK26" i="1" a="1"/>
  <c r="AK26" i="1"/>
  <c r="AK27" i="1" a="1"/>
  <c r="AK27" i="1" s="1"/>
  <c r="AK28" i="1" a="1"/>
  <c r="AK28" i="1"/>
  <c r="AK29" i="1" a="1"/>
  <c r="AK29" i="1"/>
  <c r="AK30" i="1" a="1"/>
  <c r="AK30" i="1"/>
  <c r="AK31" i="1" a="1"/>
  <c r="AK31" i="1" s="1"/>
  <c r="AK32" i="1" a="1"/>
  <c r="AK32" i="1"/>
  <c r="AK33" i="1" a="1"/>
  <c r="AK33" i="1" s="1"/>
  <c r="AK34" i="1" a="1"/>
  <c r="AK34" i="1"/>
  <c r="AK35" i="1" a="1"/>
  <c r="AK35" i="1"/>
  <c r="AK36" i="1" a="1"/>
  <c r="AK36" i="1"/>
  <c r="AK37" i="1" a="1"/>
  <c r="AK37" i="1" s="1"/>
  <c r="AK38" i="1" a="1"/>
  <c r="AK38" i="1"/>
  <c r="AK39" i="1" a="1"/>
  <c r="AK39" i="1" s="1"/>
  <c r="AK40" i="1" a="1"/>
  <c r="AK40" i="1"/>
  <c r="AK41" i="1" a="1"/>
  <c r="AK41" i="1"/>
  <c r="AK42" i="1" a="1"/>
  <c r="AK42" i="1"/>
  <c r="AK43" i="1" a="1"/>
  <c r="AK43" i="1" s="1"/>
  <c r="AK44" i="1" a="1"/>
  <c r="AK44" i="1" s="1"/>
  <c r="AK45" i="1" a="1"/>
  <c r="AK45" i="1" s="1"/>
  <c r="AK46" i="1" a="1"/>
  <c r="AK46" i="1"/>
  <c r="AK47" i="1" a="1"/>
  <c r="AK47" i="1"/>
  <c r="AK48" i="1" a="1"/>
  <c r="AK48" i="1"/>
  <c r="AK49" i="1" a="1"/>
  <c r="AK49" i="1" s="1"/>
  <c r="AK50" i="1" a="1"/>
  <c r="AK50" i="1" s="1"/>
  <c r="AK51" i="1" a="1"/>
  <c r="AK51" i="1" s="1"/>
  <c r="AK52" i="1" a="1"/>
  <c r="AK52" i="1"/>
  <c r="AK53" i="1" a="1"/>
  <c r="AK53" i="1"/>
  <c r="AK54" i="1" a="1"/>
  <c r="AK54" i="1"/>
  <c r="AK55" i="1" a="1"/>
  <c r="AK55" i="1" s="1"/>
  <c r="AK56" i="1" a="1"/>
  <c r="AK56" i="1"/>
  <c r="AK57" i="1" a="1"/>
  <c r="AK57" i="1" s="1"/>
  <c r="AK58" i="1" a="1"/>
  <c r="AK58" i="1"/>
  <c r="AK59" i="1" a="1"/>
  <c r="AK59" i="1"/>
  <c r="AK60" i="1" a="1"/>
  <c r="AK60" i="1"/>
  <c r="AK61" i="1" a="1"/>
  <c r="AK61" i="1" s="1"/>
  <c r="AK62" i="1" a="1"/>
  <c r="AK62" i="1"/>
  <c r="AK63" i="1" a="1"/>
  <c r="AK63" i="1" s="1"/>
  <c r="AK64" i="1" a="1"/>
  <c r="AK64" i="1"/>
  <c r="AK65" i="1" a="1"/>
  <c r="AK65" i="1"/>
  <c r="AK66" i="1" a="1"/>
  <c r="AK66" i="1"/>
  <c r="AK67" i="1" a="1"/>
  <c r="AK67" i="1" s="1"/>
  <c r="AK68" i="1" a="1"/>
  <c r="AK68" i="1"/>
  <c r="AK69" i="1" a="1"/>
  <c r="AK69" i="1" s="1"/>
  <c r="AK70" i="1" a="1"/>
  <c r="AK70" i="1"/>
  <c r="AK71" i="1" a="1"/>
  <c r="AK71" i="1"/>
  <c r="AK72" i="1" a="1"/>
  <c r="AK72" i="1"/>
  <c r="AK73" i="1" a="1"/>
  <c r="AK73" i="1" s="1"/>
  <c r="AK74" i="1" a="1"/>
  <c r="AK74" i="1"/>
  <c r="AK75" i="1" a="1"/>
  <c r="AK75" i="1" s="1"/>
  <c r="AK76" i="1" a="1"/>
  <c r="AK76" i="1"/>
  <c r="AK77" i="1" a="1"/>
  <c r="AK77" i="1"/>
  <c r="AK78" i="1" a="1"/>
  <c r="AK78" i="1"/>
  <c r="AK79" i="1" a="1"/>
  <c r="AK79" i="1" s="1"/>
  <c r="AK80" i="1" a="1"/>
  <c r="AK80" i="1" s="1"/>
  <c r="AK81" i="1" a="1"/>
  <c r="AK81" i="1" s="1"/>
  <c r="AK82" i="1" a="1"/>
  <c r="AK82" i="1"/>
  <c r="AK83" i="1" a="1"/>
  <c r="AK83" i="1"/>
  <c r="AK84" i="1" a="1"/>
  <c r="AK84" i="1"/>
  <c r="AK85" i="1" a="1"/>
  <c r="AK85" i="1" s="1"/>
  <c r="AK86" i="1" a="1"/>
  <c r="AK86" i="1" s="1"/>
  <c r="AK87" i="1" a="1"/>
  <c r="AK87" i="1" s="1"/>
  <c r="AK88" i="1" a="1"/>
  <c r="AK88" i="1"/>
  <c r="AK89" i="1" a="1"/>
  <c r="AK89" i="1"/>
  <c r="AK90" i="1" a="1"/>
  <c r="AK90" i="1"/>
  <c r="AK91" i="1" a="1"/>
  <c r="AK91" i="1" s="1"/>
  <c r="AK92" i="1" a="1"/>
  <c r="AK92" i="1"/>
  <c r="AK93" i="1" a="1"/>
  <c r="AK93" i="1" s="1"/>
  <c r="AK94" i="1" a="1"/>
  <c r="AK94" i="1"/>
  <c r="AK95" i="1" a="1"/>
  <c r="AK95" i="1"/>
  <c r="AK96" i="1" a="1"/>
  <c r="AK96" i="1"/>
  <c r="AK97" i="1" a="1"/>
  <c r="AK97" i="1" s="1"/>
  <c r="AK98" i="1" a="1"/>
  <c r="AK98" i="1"/>
  <c r="AK99" i="1" a="1"/>
  <c r="AK99" i="1" s="1"/>
  <c r="AK100" i="1" a="1"/>
  <c r="AK100" i="1"/>
  <c r="AK101" i="1" a="1"/>
  <c r="AK101" i="1"/>
  <c r="AK102" i="1" a="1"/>
  <c r="AK102" i="1"/>
  <c r="AK103" i="1" a="1"/>
  <c r="AK103" i="1" s="1"/>
  <c r="AK104" i="1" a="1"/>
  <c r="AK104" i="1"/>
  <c r="AK105" i="1" a="1"/>
  <c r="AK105" i="1"/>
  <c r="AK106" i="1" a="1"/>
  <c r="AK106" i="1"/>
  <c r="AK107" i="1" a="1"/>
  <c r="AK107" i="1"/>
  <c r="AK108" i="1" a="1"/>
  <c r="AK108" i="1"/>
  <c r="AK109" i="1" a="1"/>
  <c r="AK109" i="1" s="1"/>
  <c r="AK110" i="1" a="1"/>
  <c r="AK110" i="1" s="1"/>
  <c r="AK111" i="1" a="1"/>
  <c r="AK111" i="1"/>
  <c r="AK112" i="1" a="1"/>
  <c r="AK112" i="1"/>
  <c r="AK113" i="1" a="1"/>
  <c r="AK113" i="1"/>
  <c r="AK114" i="1" a="1"/>
  <c r="AK114" i="1"/>
  <c r="AK115" i="1" a="1"/>
  <c r="AK115" i="1" s="1"/>
  <c r="AK116" i="1" a="1"/>
  <c r="AK116" i="1"/>
  <c r="AK117" i="1" a="1"/>
  <c r="AK117" i="1"/>
  <c r="AK118" i="1" a="1"/>
  <c r="AK118" i="1"/>
  <c r="AK119" i="1" a="1"/>
  <c r="AK119" i="1"/>
  <c r="AK120" i="1" a="1"/>
  <c r="AK120" i="1"/>
  <c r="AK121" i="1" a="1"/>
  <c r="AK121" i="1" s="1"/>
  <c r="AK122" i="1" a="1"/>
  <c r="AK122" i="1" s="1"/>
  <c r="AK123" i="1" a="1"/>
  <c r="AK123" i="1" s="1"/>
  <c r="AK124" i="1" a="1"/>
  <c r="AK124" i="1"/>
  <c r="AK125" i="1" a="1"/>
  <c r="AK125" i="1"/>
  <c r="AK126" i="1" a="1"/>
  <c r="AK126" i="1"/>
  <c r="AK127" i="1" a="1"/>
  <c r="AK127" i="1" s="1"/>
  <c r="AK128" i="1" a="1"/>
  <c r="AK128" i="1" s="1"/>
  <c r="AK129" i="1" a="1"/>
  <c r="AK129" i="1"/>
  <c r="AK130" i="1" a="1"/>
  <c r="AK130" i="1"/>
  <c r="AK131" i="1" a="1"/>
  <c r="AK131" i="1"/>
  <c r="AK132" i="1" a="1"/>
  <c r="AK132" i="1"/>
  <c r="AK133" i="1" a="1"/>
  <c r="AK133" i="1" s="1"/>
  <c r="AK134" i="1" a="1"/>
  <c r="AK134" i="1" s="1"/>
  <c r="AK135" i="1" a="1"/>
  <c r="AK135" i="1" s="1"/>
  <c r="AK136" i="1" a="1"/>
  <c r="AK136" i="1"/>
  <c r="AK137" i="1" a="1"/>
  <c r="AK137" i="1"/>
  <c r="AK138" i="1" a="1"/>
  <c r="AK138" i="1"/>
  <c r="AK139" i="1" a="1"/>
  <c r="AK139" i="1" s="1"/>
  <c r="AK140" i="1" a="1"/>
  <c r="AK140" i="1" s="1"/>
  <c r="AK141" i="1" a="1"/>
  <c r="AK141" i="1" s="1"/>
  <c r="AK142" i="1" a="1"/>
  <c r="AK142" i="1"/>
  <c r="AK143" i="1" a="1"/>
  <c r="AK143" i="1"/>
  <c r="AK144" i="1" a="1"/>
  <c r="AK144" i="1"/>
  <c r="AK145" i="1" a="1"/>
  <c r="AK145" i="1" s="1"/>
  <c r="AK146" i="1" a="1"/>
  <c r="AK146" i="1"/>
  <c r="AK147" i="1" a="1"/>
  <c r="AK147" i="1" s="1"/>
  <c r="AK148" i="1" a="1"/>
  <c r="AK148" i="1"/>
  <c r="AK149" i="1" a="1"/>
  <c r="AK149" i="1"/>
  <c r="AK150" i="1" a="1"/>
  <c r="AK150" i="1"/>
  <c r="AK151" i="1" a="1"/>
  <c r="AK151" i="1" s="1"/>
  <c r="AK152" i="1" a="1"/>
  <c r="AK152" i="1"/>
  <c r="AK153" i="1" a="1"/>
  <c r="AK153" i="1" s="1"/>
  <c r="AK154" i="1" a="1"/>
  <c r="AK154" i="1"/>
  <c r="AK155" i="1" a="1"/>
  <c r="AK155" i="1"/>
  <c r="AK156" i="1" a="1"/>
  <c r="AK156" i="1"/>
  <c r="AK157" i="1" a="1"/>
  <c r="AK157" i="1" s="1"/>
  <c r="AK158" i="1" a="1"/>
  <c r="AK158" i="1"/>
  <c r="AK159" i="1" a="1"/>
  <c r="AK159" i="1"/>
  <c r="AK160" i="1" a="1"/>
  <c r="AK160" i="1"/>
  <c r="AK161" i="1" a="1"/>
  <c r="AK161" i="1"/>
  <c r="AK162" i="1" a="1"/>
  <c r="AK162" i="1"/>
  <c r="AK163" i="1" a="1"/>
  <c r="AK163" i="1" s="1"/>
  <c r="AK164" i="1" a="1"/>
  <c r="AK164" i="1"/>
  <c r="AK165" i="1" a="1"/>
  <c r="AK165" i="1"/>
  <c r="AK166" i="1" a="1"/>
  <c r="AK166" i="1"/>
  <c r="AK167" i="1" a="1"/>
  <c r="AK167" i="1"/>
  <c r="AK168" i="1" a="1"/>
  <c r="AK168" i="1"/>
  <c r="AK169" i="1" a="1"/>
  <c r="AK169" i="1" s="1"/>
  <c r="AK170" i="1" a="1"/>
  <c r="AK170" i="1"/>
  <c r="AK171" i="1" a="1"/>
  <c r="AK171" i="1"/>
  <c r="AK172" i="1" a="1"/>
  <c r="AK172" i="1"/>
  <c r="AK173" i="1" a="1"/>
  <c r="AK173" i="1"/>
  <c r="AK174" i="1" a="1"/>
  <c r="AK174" i="1"/>
  <c r="AK175" i="1" a="1"/>
  <c r="AK175" i="1" s="1"/>
  <c r="AK176" i="1" a="1"/>
  <c r="AK176" i="1"/>
  <c r="AK177" i="1" a="1"/>
  <c r="AK177" i="1" s="1"/>
  <c r="AK178" i="1" a="1"/>
  <c r="AK178" i="1"/>
  <c r="AK179" i="1" a="1"/>
  <c r="AK179" i="1"/>
  <c r="AK180" i="1" a="1"/>
  <c r="AK180" i="1"/>
  <c r="AK181" i="1" a="1"/>
  <c r="AK181" i="1" s="1"/>
  <c r="AK182" i="1" a="1"/>
  <c r="AK182" i="1" s="1"/>
  <c r="AK183" i="1" a="1"/>
  <c r="AK183" i="1"/>
  <c r="AK184" i="1" a="1"/>
  <c r="AK184" i="1"/>
  <c r="AK185" i="1" a="1"/>
  <c r="AK185" i="1"/>
  <c r="AK186" i="1" a="1"/>
  <c r="AK186" i="1"/>
  <c r="AK187" i="1" a="1"/>
  <c r="AK187" i="1" s="1"/>
  <c r="AK188" i="1" a="1"/>
  <c r="AK188" i="1"/>
  <c r="AK189" i="1" a="1"/>
  <c r="AK189" i="1"/>
  <c r="AK190" i="1" a="1"/>
  <c r="AK190" i="1"/>
  <c r="AK191" i="1" a="1"/>
  <c r="AK191" i="1"/>
  <c r="AK192" i="1" a="1"/>
  <c r="AK192" i="1"/>
  <c r="AK193" i="1" a="1"/>
  <c r="AK193" i="1" s="1"/>
  <c r="AK194" i="1" a="1"/>
  <c r="AK194" i="1" s="1"/>
  <c r="AK195" i="1" a="1"/>
  <c r="AK195" i="1" s="1"/>
  <c r="AK196" i="1" a="1"/>
  <c r="AK196" i="1" s="1"/>
  <c r="AK197" i="1" a="1"/>
  <c r="AK197" i="1" s="1"/>
  <c r="AK198" i="1" a="1"/>
  <c r="AK198" i="1" s="1"/>
  <c r="AK199" i="1" a="1"/>
  <c r="AK199" i="1"/>
  <c r="AK200" i="1" a="1"/>
  <c r="AK200" i="1"/>
  <c r="AK201" i="1" a="1"/>
  <c r="AK201" i="1" s="1"/>
  <c r="AK202" i="1" a="1"/>
  <c r="AK202" i="1" s="1"/>
  <c r="AK203" i="1" a="1"/>
  <c r="AK203" i="1" s="1"/>
  <c r="AK204" i="1" a="1"/>
  <c r="AK204" i="1" s="1"/>
  <c r="AK205" i="1" a="1"/>
  <c r="AK205" i="1"/>
  <c r="AK206" i="1" a="1"/>
  <c r="AK206" i="1"/>
  <c r="AK207" i="1" a="1"/>
  <c r="AK207" i="1"/>
  <c r="AK208" i="1" a="1"/>
  <c r="AK208" i="1" s="1"/>
  <c r="AK209" i="1" a="1"/>
  <c r="AK209" i="1" s="1"/>
  <c r="AK210" i="1" a="1"/>
  <c r="AK210" i="1" s="1"/>
  <c r="AK211" i="1" a="1"/>
  <c r="AK211" i="1" s="1"/>
  <c r="AK212" i="1" a="1"/>
  <c r="AK212" i="1" s="1"/>
  <c r="AK213" i="1" a="1"/>
  <c r="AK213" i="1"/>
  <c r="AK214" i="1" a="1"/>
  <c r="AK214" i="1" s="1"/>
  <c r="AK215" i="1" a="1"/>
  <c r="AK215" i="1" s="1"/>
  <c r="AK216" i="1" a="1"/>
  <c r="AK216" i="1" s="1"/>
  <c r="AK217" i="1" a="1"/>
  <c r="AK217" i="1" s="1"/>
  <c r="AK218" i="1" a="1"/>
  <c r="AK218" i="1"/>
  <c r="AK219" i="1" a="1"/>
  <c r="AK219" i="1" s="1"/>
  <c r="AK220" i="1" a="1"/>
  <c r="AK220" i="1" s="1"/>
  <c r="AK221" i="1" a="1"/>
  <c r="AK221" i="1"/>
  <c r="AK222" i="1" a="1"/>
  <c r="AK222" i="1"/>
  <c r="AK223" i="1" a="1"/>
  <c r="AK223" i="1"/>
  <c r="AK224" i="1" a="1"/>
  <c r="AK224" i="1" s="1"/>
  <c r="AK225" i="1" a="1"/>
  <c r="AK225" i="1" s="1"/>
  <c r="AK226" i="1" a="1"/>
  <c r="AK226" i="1"/>
  <c r="AK227" i="1" a="1"/>
  <c r="AK227" i="1" s="1"/>
  <c r="AK228" i="1" a="1"/>
  <c r="AK228" i="1" s="1"/>
  <c r="AK229" i="1" a="1"/>
  <c r="AK229" i="1" s="1"/>
  <c r="AK230" i="1" a="1"/>
  <c r="AK230" i="1"/>
  <c r="AK231" i="1" a="1"/>
  <c r="AK231" i="1" s="1"/>
  <c r="AK232" i="1" a="1"/>
  <c r="AK232" i="1" s="1"/>
  <c r="AK233" i="1" a="1"/>
  <c r="AK233" i="1"/>
  <c r="AK234" i="1" a="1"/>
  <c r="AK234" i="1"/>
  <c r="AK235" i="1" a="1"/>
  <c r="AK235" i="1"/>
  <c r="AK236" i="1" a="1"/>
  <c r="AK236" i="1"/>
  <c r="AK237" i="1" a="1"/>
  <c r="AK237" i="1" s="1"/>
  <c r="AK238" i="1" a="1"/>
  <c r="AK238" i="1"/>
  <c r="AK239" i="1" a="1"/>
  <c r="AK239" i="1" s="1"/>
  <c r="AK240" i="1" a="1"/>
  <c r="AK240" i="1"/>
  <c r="AK241" i="1" a="1"/>
  <c r="AK241" i="1"/>
  <c r="AK242" i="1" a="1"/>
  <c r="AK242" i="1"/>
  <c r="AK243" i="1" a="1"/>
  <c r="AK243" i="1" s="1"/>
  <c r="AK244" i="1" a="1"/>
  <c r="AK244" i="1"/>
  <c r="AK245" i="1" a="1"/>
  <c r="AK245" i="1"/>
  <c r="AK246" i="1" a="1"/>
  <c r="AK246" i="1" s="1"/>
  <c r="AK247" i="1" a="1"/>
  <c r="AK247" i="1" s="1"/>
  <c r="AK248" i="1" a="1"/>
  <c r="AK248" i="1" s="1"/>
  <c r="AK249" i="1" a="1"/>
  <c r="AK249" i="1" s="1"/>
  <c r="AK250" i="1" a="1"/>
  <c r="AK250" i="1"/>
  <c r="AK251" i="1" a="1"/>
  <c r="AK251" i="1" s="1"/>
  <c r="AK252" i="1" a="1"/>
  <c r="AK252" i="1" s="1"/>
  <c r="AK253" i="1" a="1"/>
  <c r="AK253" i="1"/>
  <c r="AK254" i="1" a="1"/>
  <c r="AK254" i="1" s="1"/>
  <c r="AK255" i="1" a="1"/>
  <c r="AK255" i="1" s="1"/>
  <c r="AK256" i="1" a="1"/>
  <c r="AK256" i="1"/>
  <c r="AK257" i="1" a="1"/>
  <c r="AK257" i="1"/>
  <c r="AK258" i="1" a="1"/>
  <c r="AK258" i="1"/>
  <c r="AK259" i="1" a="1"/>
  <c r="AK259" i="1"/>
  <c r="AK260" i="1" a="1"/>
  <c r="AK260" i="1"/>
  <c r="AK261" i="1" a="1"/>
  <c r="AK261" i="1" s="1"/>
  <c r="AK262" i="1" a="1"/>
  <c r="AK262" i="1" s="1"/>
  <c r="AK263" i="1" a="1"/>
  <c r="AK263" i="1" s="1"/>
  <c r="AK264" i="1" a="1"/>
  <c r="AK264" i="1"/>
  <c r="AK265" i="1" a="1"/>
  <c r="AK265" i="1" s="1"/>
  <c r="AK266" i="1" a="1"/>
  <c r="AK266" i="1"/>
  <c r="AK267" i="1" a="1"/>
  <c r="AK267" i="1" s="1"/>
  <c r="AK268" i="1" a="1"/>
  <c r="AK268" i="1" s="1"/>
  <c r="AK269" i="1" a="1"/>
  <c r="AK269" i="1" s="1"/>
  <c r="AK270" i="1" a="1"/>
  <c r="AK270" i="1" s="1"/>
  <c r="AK271" i="1" a="1"/>
  <c r="AK271" i="1" s="1"/>
  <c r="AK272" i="1" a="1"/>
  <c r="AK272" i="1" s="1"/>
  <c r="AK273" i="1" a="1"/>
  <c r="AK273" i="1" s="1"/>
  <c r="AK274" i="1" a="1"/>
  <c r="AK274" i="1"/>
  <c r="AK275" i="1" a="1"/>
  <c r="AK275" i="1"/>
  <c r="AK276" i="1" a="1"/>
  <c r="AK276" i="1"/>
  <c r="AK277" i="1" a="1"/>
  <c r="AK277" i="1"/>
  <c r="AK278" i="1" a="1"/>
  <c r="AK278" i="1" s="1"/>
  <c r="AK279" i="1" a="1"/>
  <c r="AK279" i="1" s="1"/>
  <c r="AK280" i="1" a="1"/>
  <c r="AK280" i="1" s="1"/>
  <c r="AK281" i="1" a="1"/>
  <c r="AK281" i="1" s="1"/>
  <c r="AK282" i="1" a="1"/>
  <c r="AK282" i="1" s="1"/>
  <c r="AK283" i="1" a="1"/>
  <c r="AK283" i="1" s="1"/>
  <c r="AK284" i="1" a="1"/>
  <c r="AK284" i="1" s="1"/>
  <c r="AK285" i="1" a="1"/>
  <c r="AK285" i="1" s="1"/>
  <c r="AK286" i="1" a="1"/>
  <c r="AK286" i="1" s="1"/>
  <c r="AK287" i="1" a="1"/>
  <c r="AK287" i="1" s="1"/>
  <c r="AK288" i="1" a="1"/>
  <c r="AK288" i="1"/>
  <c r="AK289" i="1" a="1"/>
  <c r="AK289" i="1" s="1"/>
  <c r="AK290" i="1" a="1"/>
  <c r="AK290" i="1" s="1"/>
  <c r="AK291" i="1" a="1"/>
  <c r="AK291" i="1" s="1"/>
  <c r="AK292" i="1" a="1"/>
  <c r="AK292" i="1"/>
  <c r="AK293" i="1" a="1"/>
  <c r="AK293" i="1"/>
  <c r="AK294" i="1" a="1"/>
  <c r="AK294" i="1" s="1"/>
  <c r="AK295" i="1" a="1"/>
  <c r="AK295" i="1" s="1"/>
  <c r="AK296" i="1" a="1"/>
  <c r="AK296" i="1" s="1"/>
  <c r="AK297" i="1" a="1"/>
  <c r="AK297" i="1" s="1"/>
  <c r="AK298" i="1" a="1"/>
  <c r="AK298" i="1"/>
  <c r="AK299" i="1" a="1"/>
  <c r="AK299" i="1" s="1"/>
  <c r="AK300" i="1" a="1"/>
  <c r="AK300" i="1" s="1"/>
  <c r="AK301" i="1" a="1"/>
  <c r="AK301" i="1" s="1"/>
  <c r="AK302" i="1" a="1"/>
  <c r="AK302" i="1" s="1"/>
  <c r="AK303" i="1" a="1"/>
  <c r="AK303" i="1" s="1"/>
  <c r="AK304" i="1" a="1"/>
  <c r="AK304" i="1" s="1"/>
  <c r="AK305" i="1" a="1"/>
  <c r="AK305" i="1"/>
  <c r="AK306" i="1" a="1"/>
  <c r="AK306" i="1" s="1"/>
  <c r="AK307" i="1" a="1"/>
  <c r="AK307" i="1" s="1"/>
  <c r="AK308" i="1" a="1"/>
  <c r="AK308" i="1"/>
  <c r="AK309" i="1" a="1"/>
  <c r="AK309" i="1" s="1"/>
  <c r="AK310" i="1" a="1"/>
  <c r="AK310" i="1"/>
  <c r="AK311" i="1" a="1"/>
  <c r="AK311" i="1" s="1"/>
  <c r="AK312" i="1" a="1"/>
  <c r="AK312" i="1" s="1"/>
  <c r="AK313" i="1" a="1"/>
  <c r="AK313" i="1"/>
  <c r="AK314" i="1" a="1"/>
  <c r="AK314" i="1" s="1"/>
  <c r="AK315" i="1" a="1"/>
  <c r="AK315" i="1" s="1"/>
  <c r="AK316" i="1" a="1"/>
  <c r="AK316" i="1"/>
  <c r="AK317" i="1" a="1"/>
  <c r="AK317" i="1" s="1"/>
  <c r="AK318" i="1" a="1"/>
  <c r="AK318" i="1" s="1"/>
  <c r="AK319" i="1" a="1"/>
  <c r="AK319" i="1" s="1"/>
  <c r="AK320" i="1" a="1"/>
  <c r="AK320" i="1" s="1"/>
  <c r="AK321" i="1" a="1"/>
  <c r="AK321" i="1" s="1"/>
  <c r="AK322" i="1" a="1"/>
  <c r="AK322" i="1"/>
  <c r="AK323" i="1" a="1"/>
  <c r="AK323" i="1" s="1"/>
  <c r="AK324" i="1" a="1"/>
  <c r="AK324" i="1" s="1"/>
  <c r="AK325" i="1" a="1"/>
  <c r="AK325" i="1"/>
  <c r="AK326" i="1" a="1"/>
  <c r="AK326" i="1" s="1"/>
  <c r="AK327" i="1" a="1"/>
  <c r="AK327" i="1" s="1"/>
  <c r="AK328" i="1" a="1"/>
  <c r="AK328" i="1" s="1"/>
  <c r="AK329" i="1" a="1"/>
  <c r="AK329" i="1" s="1"/>
  <c r="AK330" i="1" a="1"/>
  <c r="AK330" i="1"/>
  <c r="AK331" i="1" a="1"/>
  <c r="AK331" i="1" s="1"/>
  <c r="AK332" i="1" a="1"/>
  <c r="AK332" i="1"/>
  <c r="AK333" i="1" a="1"/>
  <c r="AK333" i="1" s="1"/>
  <c r="AK334" i="1" a="1"/>
  <c r="AK334" i="1" s="1"/>
  <c r="AK335" i="1" a="1"/>
  <c r="AK335" i="1"/>
  <c r="AK336" i="1" a="1"/>
  <c r="AK336" i="1" s="1"/>
  <c r="AK337" i="1" a="1"/>
  <c r="AK337" i="1" s="1"/>
  <c r="AK338" i="1" a="1"/>
  <c r="AK338" i="1"/>
  <c r="AK339" i="1" a="1"/>
  <c r="AK339" i="1" s="1"/>
  <c r="AK340" i="1" a="1"/>
  <c r="AK340" i="1" s="1"/>
  <c r="AK341" i="1" a="1"/>
  <c r="AK341" i="1" s="1"/>
  <c r="AK342" i="1" a="1"/>
  <c r="AK342" i="1" s="1"/>
  <c r="AK343" i="1" a="1"/>
  <c r="AK343" i="1"/>
  <c r="AK344" i="1" a="1"/>
  <c r="AK344" i="1"/>
  <c r="AK345" i="1" a="1"/>
  <c r="AK345" i="1" s="1"/>
  <c r="AK346" i="1" a="1"/>
  <c r="AK346" i="1" s="1"/>
  <c r="AK347" i="1" a="1"/>
  <c r="AK347" i="1" s="1"/>
  <c r="AK348" i="1" a="1"/>
  <c r="AK348" i="1" s="1"/>
  <c r="AK349" i="1" a="1"/>
  <c r="AK349" i="1" s="1"/>
  <c r="AK350" i="1" a="1"/>
  <c r="AK350" i="1" s="1"/>
  <c r="AK351" i="1" a="1"/>
  <c r="AK351" i="1" s="1"/>
  <c r="AK352" i="1" a="1"/>
  <c r="AK352" i="1"/>
  <c r="AK353" i="1" a="1"/>
  <c r="AK353" i="1"/>
  <c r="AK354" i="1" a="1"/>
  <c r="AK354" i="1" s="1"/>
  <c r="AK355" i="1" a="1"/>
  <c r="AK355" i="1" s="1"/>
  <c r="AK356" i="1" a="1"/>
  <c r="AK356" i="1" s="1"/>
  <c r="AK357" i="1" a="1"/>
  <c r="AK357" i="1" s="1"/>
  <c r="AK358" i="1" a="1"/>
  <c r="AK358" i="1"/>
  <c r="AK359" i="1" a="1"/>
  <c r="AK359" i="1"/>
  <c r="AK360" i="1" a="1"/>
  <c r="AK360" i="1"/>
  <c r="AK361" i="1" a="1"/>
  <c r="AK361" i="1" s="1"/>
  <c r="AK362" i="1" a="1"/>
  <c r="AK362" i="1" s="1"/>
  <c r="AK363" i="1" a="1"/>
  <c r="AK363" i="1" s="1"/>
  <c r="AK364" i="1" a="1"/>
  <c r="AK364" i="1" s="1"/>
  <c r="AK365" i="1" a="1"/>
  <c r="AK365" i="1"/>
  <c r="AK366" i="1" a="1"/>
  <c r="AK366" i="1"/>
  <c r="AK367" i="1" a="1"/>
  <c r="AK367" i="1" s="1"/>
  <c r="AK368" i="1" a="1"/>
  <c r="AK368" i="1" s="1"/>
  <c r="AK369" i="1" a="1"/>
  <c r="AK369" i="1" s="1"/>
  <c r="AK370" i="1" a="1"/>
  <c r="AK370" i="1" s="1"/>
  <c r="AK371" i="1" a="1"/>
  <c r="AK371" i="1" s="1"/>
  <c r="AK372" i="1" a="1"/>
  <c r="AK372" i="1"/>
  <c r="AK373" i="1" a="1"/>
  <c r="AK373" i="1" s="1"/>
  <c r="AK374" i="1" a="1"/>
  <c r="AK374" i="1"/>
  <c r="AK375" i="1" a="1"/>
  <c r="AK375" i="1" s="1"/>
  <c r="AK376" i="1" a="1"/>
  <c r="AK376" i="1" s="1"/>
  <c r="AK377" i="1" a="1"/>
  <c r="AK377" i="1" s="1"/>
  <c r="AK378" i="1" a="1"/>
  <c r="AK378" i="1" s="1"/>
  <c r="AK379" i="1" a="1"/>
  <c r="AK379" i="1"/>
  <c r="AK380" i="1" a="1"/>
  <c r="AK380" i="1" s="1"/>
  <c r="AK381" i="1" a="1"/>
  <c r="AK381" i="1" s="1"/>
  <c r="AK382" i="1" a="1"/>
  <c r="AK382" i="1" s="1"/>
  <c r="AK383" i="1" a="1"/>
  <c r="AK383" i="1" s="1"/>
  <c r="AK384" i="1" a="1"/>
  <c r="AK384" i="1" s="1"/>
  <c r="AK385" i="1" a="1"/>
  <c r="AK385" i="1" s="1"/>
  <c r="AK386" i="1" a="1"/>
  <c r="AK386" i="1" s="1"/>
  <c r="AK387" i="1" a="1"/>
  <c r="AK387" i="1" s="1"/>
  <c r="AK388" i="1" a="1"/>
  <c r="AK388" i="1" s="1"/>
  <c r="AK389" i="1" a="1"/>
  <c r="AK389" i="1" s="1"/>
  <c r="AK390" i="1" a="1"/>
  <c r="AK390" i="1" s="1"/>
  <c r="AK391" i="1" a="1"/>
  <c r="AK391" i="1" s="1"/>
  <c r="AK392" i="1" a="1"/>
  <c r="AK392" i="1" s="1"/>
  <c r="AK393" i="1" a="1"/>
  <c r="AK393" i="1" s="1"/>
  <c r="AK394" i="1" a="1"/>
  <c r="AK394" i="1" s="1"/>
  <c r="AK395" i="1" a="1"/>
  <c r="AK395" i="1"/>
  <c r="AK396" i="1" a="1"/>
  <c r="AK396" i="1" s="1"/>
  <c r="AK397" i="1" a="1"/>
  <c r="AK397" i="1"/>
  <c r="AK398" i="1" a="1"/>
  <c r="AK398" i="1" s="1"/>
  <c r="AK399" i="1" a="1"/>
  <c r="AK399" i="1" s="1"/>
  <c r="AK400" i="1" a="1"/>
  <c r="AK400" i="1" s="1"/>
  <c r="AK401" i="1" a="1"/>
  <c r="AK401" i="1" s="1"/>
  <c r="AK402" i="1" a="1"/>
  <c r="AK402" i="1"/>
  <c r="AK403" i="1" a="1"/>
  <c r="AK403" i="1" s="1"/>
  <c r="AK404" i="1" a="1"/>
  <c r="AK404" i="1"/>
  <c r="AK405" i="1" a="1"/>
  <c r="AK405" i="1" s="1"/>
  <c r="AK406" i="1" a="1"/>
  <c r="AK406" i="1" s="1"/>
  <c r="AK407" i="1" a="1"/>
  <c r="AK407" i="1" s="1"/>
  <c r="AK408" i="1" a="1"/>
  <c r="AK408" i="1" s="1"/>
  <c r="AK409" i="1" a="1"/>
  <c r="AK409" i="1" s="1"/>
  <c r="AK410" i="1" a="1"/>
  <c r="AK410" i="1" s="1"/>
  <c r="AK411" i="1" a="1"/>
  <c r="AK411" i="1" s="1"/>
  <c r="AK412" i="1" a="1"/>
  <c r="AK412" i="1"/>
  <c r="AK413" i="1" a="1"/>
  <c r="AK413" i="1" s="1"/>
  <c r="AK414" i="1" a="1"/>
  <c r="AK414" i="1" s="1"/>
  <c r="AK415" i="1" a="1"/>
  <c r="AK415" i="1" s="1"/>
  <c r="AK416" i="1" a="1"/>
  <c r="AK416" i="1" s="1"/>
  <c r="AK417" i="1" a="1"/>
  <c r="AK417" i="1" s="1"/>
  <c r="AK418" i="1" a="1"/>
  <c r="AK418" i="1" s="1"/>
  <c r="AK419" i="1" a="1"/>
  <c r="AK419" i="1" s="1"/>
  <c r="AK420" i="1" a="1"/>
  <c r="AK420" i="1" s="1"/>
  <c r="AK421" i="1" a="1"/>
  <c r="AK421" i="1"/>
  <c r="AK422" i="1" a="1"/>
  <c r="AK422" i="1" s="1"/>
  <c r="AK423" i="1" a="1"/>
  <c r="AK423" i="1" s="1"/>
  <c r="AK424" i="1" a="1"/>
  <c r="AK424" i="1"/>
  <c r="AK425" i="1" a="1"/>
  <c r="AK425" i="1" s="1"/>
  <c r="AK426" i="1" a="1"/>
  <c r="AK426" i="1"/>
  <c r="AK427" i="1" a="1"/>
  <c r="AK427" i="1" s="1"/>
  <c r="AK428" i="1" a="1"/>
  <c r="AK428" i="1" s="1"/>
  <c r="AK429" i="1" a="1"/>
  <c r="AK429" i="1" s="1"/>
  <c r="AK430" i="1" a="1"/>
  <c r="AK430" i="1" s="1"/>
  <c r="AK431" i="1" a="1"/>
  <c r="AK431" i="1"/>
  <c r="AK432" i="1" a="1"/>
  <c r="AK432" i="1" s="1"/>
  <c r="AK433" i="1" a="1"/>
  <c r="AK433" i="1"/>
  <c r="AK434" i="1" a="1"/>
  <c r="AK434" i="1"/>
  <c r="AK435" i="1" a="1"/>
  <c r="AK435" i="1" s="1"/>
  <c r="AK436" i="1" a="1"/>
  <c r="AK436" i="1" s="1"/>
  <c r="AK437" i="1" a="1"/>
  <c r="AK437" i="1" s="1"/>
  <c r="AK438" i="1" a="1"/>
  <c r="AK438" i="1" s="1"/>
  <c r="AK439" i="1" a="1"/>
  <c r="AK439" i="1" s="1"/>
  <c r="AK440" i="1" a="1"/>
  <c r="AK440" i="1" s="1"/>
  <c r="AK441" i="1" a="1"/>
  <c r="AK441" i="1" s="1"/>
  <c r="AK442" i="1" a="1"/>
  <c r="AK442" i="1" s="1"/>
  <c r="AK443" i="1" a="1"/>
  <c r="AK443" i="1" s="1"/>
  <c r="AK444" i="1" a="1"/>
  <c r="AK444" i="1"/>
  <c r="AK445" i="1" a="1"/>
  <c r="AK445" i="1" s="1"/>
  <c r="AK446" i="1" a="1"/>
  <c r="AK446" i="1" s="1"/>
  <c r="AK447" i="1" a="1"/>
  <c r="AK447" i="1" s="1"/>
  <c r="AK448" i="1" a="1"/>
  <c r="AK448" i="1" s="1"/>
  <c r="AK449" i="1" a="1"/>
  <c r="AK449" i="1" s="1"/>
  <c r="AK450" i="1" a="1"/>
  <c r="AK450" i="1"/>
  <c r="AK451" i="1" a="1"/>
  <c r="AK451" i="1" s="1"/>
  <c r="AK452" i="1" a="1"/>
  <c r="AK452" i="1" s="1"/>
  <c r="AK453" i="1" a="1"/>
  <c r="AK453" i="1" s="1"/>
  <c r="AK454" i="1" a="1"/>
  <c r="AK454" i="1"/>
  <c r="AK455" i="1" a="1"/>
  <c r="AK455" i="1" s="1"/>
  <c r="AK456" i="1" a="1"/>
  <c r="AK456" i="1"/>
  <c r="AK457" i="1" a="1"/>
  <c r="AK457" i="1"/>
  <c r="AK458" i="1" a="1"/>
  <c r="AK458" i="1" s="1"/>
  <c r="AK459" i="1" a="1"/>
  <c r="AK459" i="1" s="1"/>
  <c r="AK460" i="1" a="1"/>
  <c r="AK460" i="1" s="1"/>
  <c r="AK461" i="1" a="1"/>
  <c r="AK461" i="1" s="1"/>
  <c r="AK462" i="1" a="1"/>
  <c r="AK462" i="1" s="1"/>
  <c r="AK463" i="1" a="1"/>
  <c r="AK463" i="1" s="1"/>
  <c r="AK464" i="1" a="1"/>
  <c r="AK464" i="1"/>
  <c r="AK465" i="1" a="1"/>
  <c r="AK465" i="1" s="1"/>
  <c r="AK466" i="1" a="1"/>
  <c r="AK466" i="1" s="1"/>
  <c r="AK467" i="1" a="1"/>
  <c r="AK467" i="1" s="1"/>
  <c r="AK468" i="1" a="1"/>
  <c r="AK468" i="1" s="1"/>
  <c r="AK469" i="1" a="1"/>
  <c r="AK469" i="1" s="1"/>
  <c r="AK470" i="1" a="1"/>
  <c r="AK470" i="1"/>
  <c r="AK471" i="1" a="1"/>
  <c r="AK471" i="1" s="1"/>
  <c r="AK472" i="1" a="1"/>
  <c r="AK472" i="1" s="1"/>
  <c r="AK473" i="1" a="1"/>
  <c r="AK473" i="1" s="1"/>
  <c r="AK474" i="1" a="1"/>
  <c r="AK474" i="1" s="1"/>
  <c r="AK475" i="1" a="1"/>
  <c r="AK475" i="1" s="1"/>
  <c r="AK476" i="1" a="1"/>
  <c r="AK476" i="1" s="1"/>
  <c r="AK477" i="1" a="1"/>
  <c r="AK477" i="1" s="1"/>
  <c r="AK478" i="1" a="1"/>
  <c r="AK478" i="1"/>
  <c r="AK479" i="1" a="1"/>
  <c r="AK479" i="1"/>
  <c r="AK480" i="1" a="1"/>
  <c r="AK480" i="1" s="1"/>
  <c r="AK481" i="1" a="1"/>
  <c r="AK481" i="1" s="1"/>
  <c r="AK482" i="1" a="1"/>
  <c r="AK482" i="1"/>
  <c r="AK483" i="1" a="1"/>
  <c r="AK483" i="1" s="1"/>
  <c r="AK484" i="1" a="1"/>
  <c r="AK484" i="1" s="1"/>
  <c r="AK485" i="1" a="1"/>
  <c r="AK485" i="1"/>
  <c r="AK486" i="1" a="1"/>
  <c r="AK486" i="1"/>
  <c r="AK487" i="1" a="1"/>
  <c r="AK487" i="1" s="1"/>
  <c r="AK488" i="1" a="1"/>
  <c r="AK488" i="1" s="1"/>
  <c r="AK489" i="1" a="1"/>
  <c r="AK489" i="1" s="1"/>
  <c r="AK490" i="1" a="1"/>
  <c r="AK490" i="1" s="1"/>
  <c r="AK491" i="1" a="1"/>
  <c r="AK491" i="1" s="1"/>
  <c r="AK492" i="1" a="1"/>
  <c r="AK492" i="1"/>
  <c r="AK493" i="1" a="1"/>
  <c r="AK493" i="1"/>
  <c r="AK494" i="1" a="1"/>
  <c r="AK494" i="1" s="1"/>
  <c r="AK495" i="1" a="1"/>
  <c r="AK495" i="1" s="1"/>
  <c r="AK496" i="1" a="1"/>
  <c r="AK496" i="1" s="1"/>
  <c r="AK497" i="1" a="1"/>
  <c r="AK497" i="1" s="1"/>
  <c r="AK498" i="1" a="1"/>
  <c r="AK498" i="1" s="1"/>
  <c r="AK499" i="1" a="1"/>
  <c r="AK499" i="1"/>
  <c r="AK500" i="1" a="1"/>
  <c r="AK500" i="1"/>
  <c r="AK501" i="1" a="1"/>
  <c r="AK501" i="1" s="1"/>
  <c r="AK502" i="1" a="1"/>
  <c r="AK502" i="1" s="1"/>
  <c r="AK503" i="1" a="1"/>
  <c r="AK503" i="1"/>
  <c r="AK504" i="1" a="1"/>
  <c r="AK504" i="1" s="1"/>
  <c r="AK505" i="1" a="1"/>
  <c r="AK505" i="1"/>
  <c r="AK506" i="1" a="1"/>
  <c r="AK506" i="1" s="1"/>
  <c r="AK507" i="1" a="1"/>
  <c r="AK507" i="1" s="1"/>
  <c r="AK508" i="1" a="1"/>
  <c r="AK508" i="1" s="1"/>
  <c r="AK509" i="1" a="1"/>
  <c r="AK509" i="1" s="1"/>
  <c r="AK510" i="1" a="1"/>
  <c r="AK510" i="1" s="1"/>
  <c r="AK511" i="1" a="1"/>
  <c r="AK511" i="1" s="1"/>
  <c r="AK512" i="1" a="1"/>
  <c r="AK512" i="1" s="1"/>
  <c r="AK513" i="1" a="1"/>
  <c r="AK513" i="1" s="1"/>
  <c r="AK514" i="1" a="1"/>
  <c r="AK514" i="1" s="1"/>
  <c r="AK515" i="1" a="1"/>
  <c r="AK515" i="1"/>
  <c r="AK516" i="1" a="1"/>
  <c r="AK516" i="1" s="1"/>
  <c r="AK517" i="1" a="1"/>
  <c r="AK517" i="1" s="1"/>
  <c r="AK518" i="1" a="1"/>
  <c r="AK518" i="1"/>
  <c r="AK519" i="1" a="1"/>
  <c r="AK519" i="1" s="1"/>
  <c r="AK520" i="1" a="1"/>
  <c r="AK520" i="1" s="1"/>
  <c r="AK521" i="1" a="1"/>
  <c r="AK521" i="1" s="1"/>
  <c r="AK522" i="1" a="1"/>
  <c r="AK522" i="1" s="1"/>
  <c r="AK523" i="1" a="1"/>
  <c r="AK523" i="1"/>
  <c r="AK524" i="1" a="1"/>
  <c r="AK524" i="1" s="1"/>
  <c r="AK525" i="1" a="1"/>
  <c r="AK525" i="1" s="1"/>
  <c r="AK526" i="1" a="1"/>
  <c r="AK526" i="1"/>
  <c r="AK527" i="1" a="1"/>
  <c r="AK527" i="1" s="1"/>
  <c r="AK528" i="1" a="1"/>
  <c r="AK528" i="1" s="1"/>
  <c r="AK529" i="1" a="1"/>
  <c r="AK529" i="1"/>
  <c r="AK530" i="1" a="1"/>
  <c r="AK530" i="1"/>
  <c r="AK531" i="1" a="1"/>
  <c r="AK531" i="1" s="1"/>
  <c r="AK532" i="1" a="1"/>
  <c r="AK532" i="1" s="1"/>
  <c r="AK533" i="1" a="1"/>
  <c r="AK533" i="1" s="1"/>
  <c r="AK534" i="1" a="1"/>
  <c r="AK534" i="1" s="1"/>
  <c r="AK535" i="1" a="1"/>
  <c r="AK535" i="1" s="1"/>
  <c r="AK536" i="1" a="1"/>
  <c r="AK536" i="1"/>
  <c r="AK537" i="1" a="1"/>
  <c r="AK537" i="1" s="1"/>
  <c r="AK538" i="1" a="1"/>
  <c r="AK538" i="1" s="1"/>
  <c r="AK539" i="1" a="1"/>
  <c r="AK539" i="1"/>
  <c r="AK540" i="1" a="1"/>
  <c r="AK540" i="1" s="1"/>
  <c r="AK541" i="1" a="1"/>
  <c r="AK541" i="1" s="1"/>
  <c r="AK542" i="1" a="1"/>
  <c r="AK542" i="1" s="1"/>
  <c r="AK543" i="1" a="1"/>
  <c r="AK543" i="1" s="1"/>
  <c r="AK544" i="1" a="1"/>
  <c r="AK544" i="1"/>
  <c r="AK545" i="1" a="1"/>
  <c r="AK545" i="1" s="1"/>
  <c r="AK546" i="1" a="1"/>
  <c r="AK546" i="1"/>
  <c r="AK547" i="1" a="1"/>
  <c r="AK547" i="1" s="1"/>
  <c r="AK548" i="1" a="1"/>
  <c r="AK548" i="1" s="1"/>
  <c r="AK549" i="1" a="1"/>
  <c r="AK549" i="1" s="1"/>
  <c r="AK550" i="1" a="1"/>
  <c r="AK550" i="1" s="1"/>
  <c r="AK551" i="1" a="1"/>
  <c r="AK551" i="1"/>
  <c r="AK552" i="1" a="1"/>
  <c r="AK552" i="1" s="1"/>
  <c r="AK553" i="1" a="1"/>
  <c r="AK553" i="1" s="1"/>
  <c r="AK554" i="1" a="1"/>
  <c r="AK554" i="1" s="1"/>
  <c r="AK555" i="1" a="1"/>
  <c r="AK555" i="1" s="1"/>
  <c r="AK556" i="1" a="1"/>
  <c r="AK556" i="1" s="1"/>
  <c r="AK557" i="1" a="1"/>
  <c r="AK557" i="1" s="1"/>
  <c r="AK558" i="1" a="1"/>
  <c r="AK558" i="1" s="1"/>
  <c r="AK559" i="1" a="1"/>
  <c r="AK559" i="1" s="1"/>
  <c r="AK560" i="1" a="1"/>
  <c r="AK560" i="1" s="1"/>
  <c r="AK561" i="1" a="1"/>
  <c r="AK561" i="1" s="1"/>
  <c r="AK562" i="1" a="1"/>
  <c r="AK562" i="1"/>
  <c r="AK563" i="1" a="1"/>
  <c r="AK563" i="1" s="1"/>
  <c r="AK564" i="1" a="1"/>
  <c r="AK564" i="1" s="1"/>
  <c r="AK565" i="1" a="1"/>
  <c r="AK565" i="1" s="1"/>
  <c r="AK566" i="1" a="1"/>
  <c r="AK566" i="1" s="1"/>
  <c r="AK567" i="1" a="1"/>
  <c r="AK567" i="1" s="1"/>
  <c r="AK568" i="1" a="1"/>
  <c r="AK568" i="1" s="1"/>
  <c r="AK569" i="1" a="1"/>
  <c r="AK569" i="1"/>
  <c r="AK570" i="1" a="1"/>
  <c r="AK570" i="1" s="1"/>
  <c r="AK571" i="1" a="1"/>
  <c r="AK571" i="1" s="1"/>
  <c r="AK572" i="1" a="1"/>
  <c r="AK572" i="1" s="1"/>
  <c r="AK573" i="1" a="1"/>
  <c r="AK573" i="1" s="1"/>
  <c r="AK574" i="1" a="1"/>
  <c r="AK574" i="1"/>
  <c r="AK575" i="1" a="1"/>
  <c r="AK575" i="1"/>
  <c r="AK576" i="1" a="1"/>
  <c r="AK576" i="1"/>
  <c r="AK577" i="1" a="1"/>
  <c r="AK577" i="1" s="1"/>
  <c r="AK578" i="1" a="1"/>
  <c r="AK578" i="1" s="1"/>
  <c r="AK579" i="1" a="1"/>
  <c r="AK579" i="1" s="1"/>
  <c r="AK580" i="1" a="1"/>
  <c r="AK580" i="1" s="1"/>
  <c r="AK581" i="1" a="1"/>
  <c r="AK581" i="1"/>
  <c r="AK582" i="1" a="1"/>
  <c r="AK582" i="1"/>
  <c r="AK583" i="1" a="1"/>
  <c r="AK583" i="1" s="1"/>
  <c r="AK584" i="1" a="1"/>
  <c r="AK584" i="1" s="1"/>
  <c r="AK585" i="1" a="1"/>
  <c r="AK585" i="1" s="1"/>
  <c r="AK586" i="1" a="1"/>
  <c r="AK586" i="1" s="1"/>
  <c r="AK587" i="1" a="1"/>
  <c r="AK587" i="1" s="1"/>
  <c r="AK588" i="1" a="1"/>
  <c r="AK588" i="1" s="1"/>
  <c r="AK589" i="1" a="1"/>
  <c r="AK589" i="1" s="1"/>
  <c r="AK590" i="1" a="1"/>
  <c r="AK590" i="1"/>
  <c r="AK591" i="1" a="1"/>
  <c r="AK591" i="1" s="1"/>
  <c r="AK592" i="1" a="1"/>
  <c r="AK592" i="1" s="1"/>
  <c r="AK593" i="1" a="1"/>
  <c r="AK593" i="1" s="1"/>
  <c r="AK594" i="1" a="1"/>
  <c r="AK594" i="1" s="1"/>
  <c r="AK595" i="1" a="1"/>
  <c r="AK595" i="1" s="1"/>
  <c r="AK596" i="1" a="1"/>
  <c r="AK596" i="1"/>
  <c r="AK597" i="1" a="1"/>
  <c r="AK597" i="1" s="1"/>
  <c r="AK598" i="1" a="1"/>
  <c r="AK598" i="1"/>
  <c r="AK599" i="1" a="1"/>
  <c r="AK599" i="1" s="1"/>
  <c r="AK600" i="1" a="1"/>
  <c r="AK600" i="1" s="1"/>
  <c r="AK601" i="1" a="1"/>
  <c r="AK601" i="1" s="1"/>
  <c r="AK602" i="1" a="1"/>
  <c r="AK602" i="1" s="1"/>
  <c r="AK603" i="1" a="1"/>
  <c r="AK603" i="1" s="1"/>
  <c r="AK604" i="1" a="1"/>
  <c r="AK604" i="1"/>
  <c r="AK605" i="1" a="1"/>
  <c r="AK605" i="1"/>
  <c r="AK606" i="1" a="1"/>
  <c r="AK606" i="1" s="1"/>
  <c r="AK607" i="1" a="1"/>
  <c r="AK607" i="1" s="1"/>
  <c r="AK608" i="1" a="1"/>
  <c r="AK608" i="1"/>
  <c r="AK609" i="1" a="1"/>
  <c r="AK609" i="1" s="1"/>
  <c r="AK610" i="1" a="1"/>
  <c r="AK610" i="1" s="1"/>
  <c r="AK611" i="1" a="1"/>
  <c r="AK611" i="1"/>
  <c r="AK612" i="1" a="1"/>
  <c r="AK612" i="1" s="1"/>
  <c r="AK613" i="1" a="1"/>
  <c r="AK613" i="1"/>
  <c r="AK614" i="1" a="1"/>
  <c r="AK614" i="1" s="1"/>
  <c r="AK615" i="1" a="1"/>
  <c r="AK615" i="1" s="1"/>
  <c r="AK616" i="1" a="1"/>
  <c r="AK616" i="1" s="1"/>
  <c r="AK617" i="1" a="1"/>
  <c r="AK617" i="1" s="1"/>
  <c r="AK618" i="1" a="1"/>
  <c r="AK618" i="1"/>
  <c r="AK619" i="1" a="1"/>
  <c r="AK619" i="1" s="1"/>
  <c r="AK620" i="1" a="1"/>
  <c r="AK620" i="1"/>
  <c r="AK621" i="1" a="1"/>
  <c r="AK621" i="1" s="1"/>
  <c r="AK622" i="1" a="1"/>
  <c r="AK622" i="1" s="1"/>
  <c r="AK623" i="1" a="1"/>
  <c r="AK623" i="1" s="1"/>
  <c r="AK624" i="1" a="1"/>
  <c r="AK624" i="1" s="1"/>
  <c r="AK625" i="1" a="1"/>
  <c r="AK625" i="1" s="1"/>
  <c r="AK626" i="1" a="1"/>
  <c r="AK626" i="1"/>
  <c r="AK627" i="1" a="1"/>
  <c r="AK627" i="1" s="1"/>
  <c r="AK628" i="1" a="1"/>
  <c r="AK628" i="1"/>
  <c r="AK629" i="1" a="1"/>
  <c r="AK629" i="1" s="1"/>
  <c r="AK630" i="1" a="1"/>
  <c r="AK630" i="1" s="1"/>
  <c r="AK631" i="1" a="1"/>
  <c r="AK631" i="1"/>
  <c r="AK632" i="1" a="1"/>
  <c r="AK632" i="1" s="1"/>
  <c r="AK633" i="1" a="1"/>
  <c r="AK633" i="1" s="1"/>
  <c r="AK634" i="1" a="1"/>
  <c r="AK634" i="1"/>
  <c r="AK635" i="1" a="1"/>
  <c r="AK635" i="1" s="1"/>
  <c r="AK636" i="1" a="1"/>
  <c r="AK636" i="1" s="1"/>
  <c r="AK637" i="1" a="1"/>
  <c r="AK637" i="1" s="1"/>
  <c r="AK638" i="1" a="1"/>
  <c r="AK638" i="1" s="1"/>
  <c r="AK639" i="1" a="1"/>
  <c r="AK639" i="1" s="1"/>
  <c r="AK640" i="1" a="1"/>
  <c r="AK640" i="1" s="1"/>
  <c r="AK641" i="1" a="1"/>
  <c r="AK641" i="1" s="1"/>
  <c r="AK642" i="1" a="1"/>
  <c r="AK642" i="1"/>
  <c r="AK643" i="1" a="1"/>
  <c r="AK643" i="1"/>
  <c r="AK644" i="1" a="1"/>
  <c r="AK644" i="1" s="1"/>
  <c r="AK645" i="1" a="1"/>
  <c r="AK645" i="1" s="1"/>
  <c r="AK646" i="1" a="1"/>
  <c r="AK646" i="1" s="1"/>
  <c r="AK647" i="1" a="1"/>
  <c r="AK647" i="1" s="1"/>
  <c r="AK648" i="1" a="1"/>
  <c r="AK648" i="1" s="1"/>
  <c r="AK649" i="1" a="1"/>
  <c r="AK649" i="1"/>
  <c r="AK650" i="1" a="1"/>
  <c r="AK650" i="1" s="1"/>
  <c r="AK651" i="1" a="1"/>
  <c r="AK651" i="1" s="1"/>
  <c r="AK652" i="1" a="1"/>
  <c r="AK652" i="1" s="1"/>
  <c r="AK653" i="1" a="1"/>
  <c r="AK653" i="1" s="1"/>
  <c r="AK654" i="1" a="1"/>
  <c r="AK654" i="1" s="1"/>
  <c r="AK655" i="1" a="1"/>
  <c r="AK655" i="1" s="1"/>
  <c r="AK656" i="1" a="1"/>
  <c r="AK656" i="1"/>
  <c r="AK657" i="1" a="1"/>
  <c r="AK657" i="1" s="1"/>
  <c r="AK658" i="1" a="1"/>
  <c r="AK658" i="1" s="1"/>
  <c r="AK659" i="1" a="1"/>
  <c r="AK659" i="1" s="1"/>
  <c r="AK660" i="1" a="1"/>
  <c r="AK660" i="1" s="1"/>
  <c r="AK661" i="1" a="1"/>
  <c r="AK661" i="1" s="1"/>
  <c r="AK662" i="1" a="1"/>
  <c r="AK662" i="1" s="1"/>
  <c r="AK663" i="1" a="1"/>
  <c r="AK663" i="1" s="1"/>
  <c r="AK664" i="1" a="1"/>
  <c r="AK664" i="1"/>
  <c r="AK665" i="1" a="1"/>
  <c r="AK665" i="1" s="1"/>
  <c r="AK666" i="1" a="1"/>
  <c r="AK666" i="1" s="1"/>
  <c r="AK667" i="1" a="1"/>
  <c r="AK667" i="1" s="1"/>
  <c r="AK668" i="1" a="1"/>
  <c r="AK668" i="1" s="1"/>
  <c r="AK669" i="1" a="1"/>
  <c r="AK669" i="1" s="1"/>
  <c r="AK670" i="1" a="1"/>
  <c r="AK670" i="1" s="1"/>
  <c r="AK671" i="1" a="1"/>
  <c r="AK671" i="1" s="1"/>
  <c r="AK672" i="1" a="1"/>
  <c r="AK672" i="1" s="1"/>
  <c r="AK673" i="1" a="1"/>
  <c r="AK673" i="1" s="1"/>
  <c r="AK674" i="1" a="1"/>
  <c r="AK674" i="1"/>
  <c r="AK675" i="1" a="1"/>
  <c r="AK675" i="1" s="1"/>
  <c r="AK676" i="1" a="1"/>
  <c r="AK676" i="1" s="1"/>
  <c r="AK677" i="1" a="1"/>
  <c r="AK677" i="1" s="1"/>
  <c r="AK678" i="1" a="1"/>
  <c r="AK678" i="1" s="1"/>
  <c r="AK679" i="1" a="1"/>
  <c r="AK679" i="1"/>
  <c r="AK680" i="1" a="1"/>
  <c r="AK680" i="1" s="1"/>
  <c r="AK681" i="1" a="1"/>
  <c r="AK681" i="1" s="1"/>
  <c r="AK682" i="1" a="1"/>
  <c r="AK682" i="1"/>
  <c r="AK683" i="1" a="1"/>
  <c r="AK683" i="1" s="1"/>
  <c r="AK684" i="1" a="1"/>
  <c r="AK684" i="1" s="1"/>
  <c r="AK685" i="1" a="1"/>
  <c r="AK685" i="1" s="1"/>
  <c r="AK686" i="1" a="1"/>
  <c r="AK686" i="1"/>
  <c r="AK687" i="1" a="1"/>
  <c r="AK687" i="1" s="1"/>
  <c r="AK688" i="1" a="1"/>
  <c r="AK688" i="1"/>
  <c r="AK689" i="1" a="1"/>
  <c r="AK689" i="1" s="1"/>
  <c r="AK690" i="1" a="1"/>
  <c r="AK690" i="1" s="1"/>
  <c r="AK691" i="1" a="1"/>
  <c r="AK691" i="1" s="1"/>
  <c r="AK692" i="1" a="1"/>
  <c r="AK692" i="1" s="1"/>
  <c r="AK693" i="1" a="1"/>
  <c r="AK693" i="1" s="1"/>
  <c r="AK694" i="1" a="1"/>
  <c r="AK694" i="1"/>
  <c r="AK695" i="1" a="1"/>
  <c r="AK695" i="1"/>
  <c r="AK696" i="1" a="1"/>
  <c r="AK696" i="1" s="1"/>
  <c r="AK697" i="1" a="1"/>
  <c r="AK697" i="1" s="1"/>
  <c r="AK698" i="1" a="1"/>
  <c r="AK698" i="1" s="1"/>
  <c r="AK699" i="1" a="1"/>
  <c r="AK699" i="1" s="1"/>
  <c r="AK700" i="1" a="1"/>
  <c r="AK700" i="1" s="1"/>
  <c r="AK701" i="1" a="1"/>
  <c r="AK701" i="1"/>
  <c r="AK702" i="1" a="1"/>
  <c r="AK702" i="1"/>
  <c r="AK703" i="1" a="1"/>
  <c r="AK703" i="1" s="1"/>
  <c r="AK704" i="1" a="1"/>
  <c r="AK704" i="1" s="1"/>
  <c r="AK705" i="1" a="1"/>
  <c r="AK705" i="1" s="1"/>
  <c r="AK706" i="1" a="1"/>
  <c r="AK706" i="1" s="1"/>
  <c r="AK707" i="1" a="1"/>
  <c r="AK707" i="1" s="1"/>
  <c r="AK708" i="1" a="1"/>
  <c r="AK708" i="1"/>
  <c r="AK709" i="1" a="1"/>
  <c r="AK709" i="1"/>
  <c r="AK710" i="1" a="1"/>
  <c r="AK710" i="1" s="1"/>
  <c r="AK711" i="1" a="1"/>
  <c r="AK711" i="1" s="1"/>
  <c r="AK712" i="1" a="1"/>
  <c r="AK712" i="1" s="1"/>
  <c r="AK713" i="1" a="1"/>
  <c r="AK713" i="1" s="1"/>
  <c r="AK714" i="1" a="1"/>
  <c r="AK714" i="1" s="1"/>
  <c r="AK715" i="1" a="1"/>
  <c r="AK715" i="1"/>
  <c r="AK716" i="1" a="1"/>
  <c r="AK716" i="1" s="1"/>
  <c r="AK717" i="1" a="1"/>
  <c r="AK717" i="1" s="1"/>
  <c r="AK718" i="1" a="1"/>
  <c r="AK718" i="1" s="1"/>
  <c r="AK719" i="1" a="1"/>
  <c r="AK719" i="1" s="1"/>
  <c r="AK720" i="1" a="1"/>
  <c r="AK720" i="1" s="1"/>
  <c r="AK721" i="1" a="1"/>
  <c r="AK721" i="1" s="1"/>
  <c r="AK722" i="1" a="1"/>
  <c r="AK722" i="1"/>
  <c r="AK723" i="1" a="1"/>
  <c r="AK723" i="1" s="1"/>
  <c r="AK724" i="1" a="1"/>
  <c r="AK724" i="1" s="1"/>
  <c r="AK725" i="1" a="1"/>
  <c r="AK725" i="1"/>
  <c r="AK726" i="1" a="1"/>
  <c r="AK726" i="1" s="1"/>
  <c r="AK727" i="1" a="1"/>
  <c r="AK727" i="1" s="1"/>
  <c r="AK728" i="1" a="1"/>
  <c r="AK728" i="1" s="1"/>
  <c r="AK729" i="1" a="1"/>
  <c r="AK729" i="1" s="1"/>
  <c r="AK730" i="1" a="1"/>
  <c r="AK730" i="1" s="1"/>
  <c r="AK731" i="1" a="1"/>
  <c r="AK731" i="1" s="1"/>
  <c r="AK732" i="1" a="1"/>
  <c r="AK732" i="1"/>
  <c r="AK733" i="1" a="1"/>
  <c r="AK733" i="1" s="1"/>
  <c r="AK734" i="1" a="1"/>
  <c r="AK734" i="1" s="1"/>
  <c r="AK735" i="1" a="1"/>
  <c r="AK735" i="1" s="1"/>
  <c r="AK736" i="1" a="1"/>
  <c r="AK736" i="1" s="1"/>
  <c r="AK737" i="1" a="1"/>
  <c r="AK737" i="1" s="1"/>
  <c r="AK738" i="1" a="1"/>
  <c r="AK738" i="1" s="1"/>
  <c r="AK739" i="1" a="1"/>
  <c r="AK739" i="1" s="1"/>
  <c r="AK740" i="1" a="1"/>
  <c r="AK740" i="1"/>
  <c r="AK741" i="1" a="1"/>
  <c r="AK741" i="1" s="1"/>
  <c r="AK742" i="1" a="1"/>
  <c r="AK742" i="1" s="1"/>
  <c r="AK743" i="1" a="1"/>
  <c r="AK743" i="1" s="1"/>
  <c r="AK744" i="1" a="1"/>
  <c r="AK744" i="1" s="1"/>
  <c r="AK745" i="1" a="1"/>
  <c r="AK745" i="1" s="1"/>
  <c r="AK746" i="1" a="1"/>
  <c r="AK746" i="1"/>
  <c r="AK747" i="1" a="1"/>
  <c r="AK747" i="1" s="1"/>
  <c r="AK748" i="1" a="1"/>
  <c r="AK748" i="1" s="1"/>
  <c r="AK749" i="1" a="1"/>
  <c r="AK749" i="1"/>
  <c r="AK750" i="1" a="1"/>
  <c r="AK750" i="1" s="1"/>
  <c r="AK751" i="1" a="1"/>
  <c r="AK751" i="1" s="1"/>
  <c r="AK752" i="1" a="1"/>
  <c r="AK752" i="1" s="1"/>
  <c r="AK753" i="1" a="1"/>
  <c r="AK753" i="1" s="1"/>
  <c r="AK754" i="1" a="1"/>
  <c r="AK754" i="1" s="1"/>
  <c r="AK755" i="1" a="1"/>
  <c r="AK755" i="1" s="1"/>
  <c r="AK756" i="1" a="1"/>
  <c r="AK756" i="1" s="1"/>
  <c r="AK757" i="1" a="1"/>
  <c r="AK757" i="1" s="1"/>
  <c r="AK758" i="1" a="1"/>
  <c r="AK758" i="1" s="1"/>
  <c r="AK759" i="1" a="1"/>
  <c r="AK759" i="1" s="1"/>
  <c r="AK760" i="1" a="1"/>
  <c r="AK760" i="1" s="1"/>
  <c r="AK761" i="1" a="1"/>
  <c r="AK761" i="1"/>
  <c r="AK762" i="1" a="1"/>
  <c r="AK762" i="1" s="1"/>
  <c r="AK763" i="1" a="1"/>
  <c r="AK763" i="1" s="1"/>
  <c r="AK764" i="1" a="1"/>
  <c r="AK764" i="1" s="1"/>
  <c r="AK765" i="1" a="1"/>
  <c r="AK765" i="1" s="1"/>
  <c r="AK766" i="1" a="1"/>
  <c r="AK766" i="1" s="1"/>
  <c r="AK767" i="1" a="1"/>
  <c r="AK767" i="1" s="1"/>
  <c r="AK768" i="1" a="1"/>
  <c r="AK768" i="1" s="1"/>
  <c r="AK769" i="1" a="1"/>
  <c r="AK769" i="1"/>
  <c r="AK770" i="1" a="1"/>
  <c r="AK770" i="1"/>
  <c r="AK771" i="1" a="1"/>
  <c r="AK771" i="1" s="1"/>
  <c r="AK772" i="1" a="1"/>
  <c r="AK772" i="1" s="1"/>
  <c r="AK773" i="1" a="1"/>
  <c r="AK773" i="1" s="1"/>
  <c r="AK774" i="1" a="1"/>
  <c r="AK774" i="1" s="1"/>
  <c r="AK775" i="1" a="1"/>
  <c r="AK775" i="1" s="1"/>
  <c r="AK776" i="1" a="1"/>
  <c r="AK776" i="1"/>
  <c r="AK777" i="1" a="1"/>
  <c r="AK777" i="1" s="1"/>
  <c r="AK778" i="1" a="1"/>
  <c r="AK778" i="1" s="1"/>
  <c r="AK779" i="1" a="1"/>
  <c r="AK779" i="1"/>
  <c r="AK780" i="1" a="1"/>
  <c r="AK780" i="1" s="1"/>
  <c r="AK781" i="1" a="1"/>
  <c r="AK781" i="1" s="1"/>
  <c r="AK782" i="1" a="1"/>
  <c r="AK782" i="1" s="1"/>
  <c r="AK783" i="1" a="1"/>
  <c r="AK783" i="1" s="1"/>
  <c r="AK784" i="1" a="1"/>
  <c r="AK784" i="1" s="1"/>
  <c r="AK785" i="1" a="1"/>
  <c r="AK785" i="1"/>
  <c r="AK786" i="1" a="1"/>
  <c r="AK786" i="1"/>
  <c r="AK787" i="1" a="1"/>
  <c r="AK787" i="1"/>
  <c r="AK788" i="1" a="1"/>
  <c r="AK788" i="1" s="1"/>
  <c r="AK789" i="1" a="1"/>
  <c r="AK789" i="1" s="1"/>
  <c r="AK790" i="1" a="1"/>
  <c r="AK790" i="1" s="1"/>
  <c r="AK791" i="1" a="1"/>
  <c r="AK791" i="1" s="1"/>
  <c r="AK792" i="1" a="1"/>
  <c r="AK792" i="1"/>
  <c r="AK793" i="1" a="1"/>
  <c r="AK793" i="1" s="1"/>
  <c r="AK794" i="1" a="1"/>
  <c r="AK794" i="1"/>
  <c r="AK795" i="1" a="1"/>
  <c r="AK795" i="1" s="1"/>
  <c r="AK796" i="1" a="1"/>
  <c r="AK796" i="1" s="1"/>
  <c r="AK797" i="1" a="1"/>
  <c r="AK797" i="1" s="1"/>
  <c r="AK798" i="1" a="1"/>
  <c r="AK798" i="1" s="1"/>
  <c r="AK799" i="1" a="1"/>
  <c r="AK799" i="1"/>
  <c r="AK800" i="1" a="1"/>
  <c r="AK800" i="1" s="1"/>
  <c r="AK801" i="1" a="1"/>
  <c r="AK801" i="1" s="1"/>
  <c r="AK802" i="1" a="1"/>
  <c r="AK802" i="1" s="1"/>
  <c r="AK803" i="1" a="1"/>
  <c r="AK803" i="1" s="1"/>
  <c r="AK804" i="1" a="1"/>
  <c r="AK804" i="1" s="1"/>
  <c r="AK805" i="1" a="1"/>
  <c r="AK805" i="1" s="1"/>
  <c r="AK806" i="1" a="1"/>
  <c r="AK806" i="1" s="1"/>
  <c r="AK807" i="1" a="1"/>
  <c r="AK807" i="1" s="1"/>
  <c r="AK808" i="1" a="1"/>
  <c r="AK808" i="1" s="1"/>
  <c r="AK809" i="1" a="1"/>
  <c r="AK809" i="1"/>
  <c r="AK810" i="1" a="1"/>
  <c r="AK810" i="1" s="1"/>
  <c r="AK811" i="1" a="1"/>
  <c r="AK811" i="1" s="1"/>
  <c r="AK812" i="1" a="1"/>
  <c r="AK812" i="1" s="1"/>
  <c r="AK813" i="1" a="1"/>
  <c r="AK813" i="1" s="1"/>
  <c r="AK814" i="1" a="1"/>
  <c r="AK814" i="1" s="1"/>
  <c r="AK815" i="1" a="1"/>
  <c r="AK815" i="1"/>
  <c r="AK816" i="1" a="1"/>
  <c r="AK816" i="1" s="1"/>
  <c r="AK817" i="1" a="1"/>
  <c r="AK817" i="1" s="1"/>
  <c r="AK818" i="1" a="1"/>
  <c r="AK818" i="1"/>
  <c r="AK819" i="1" a="1"/>
  <c r="AK819" i="1" s="1"/>
  <c r="AK820" i="1" a="1"/>
  <c r="AK820" i="1" s="1"/>
  <c r="AK821" i="1" a="1"/>
  <c r="AK821" i="1" s="1"/>
  <c r="AK822" i="1" a="1"/>
  <c r="AK822" i="1" s="1"/>
  <c r="AK823" i="1" a="1"/>
  <c r="AK823" i="1"/>
  <c r="AK824" i="1" a="1"/>
  <c r="AK824" i="1" s="1"/>
  <c r="AK825" i="1" a="1"/>
  <c r="AK825" i="1" s="1"/>
  <c r="AK826" i="1" a="1"/>
  <c r="AK826" i="1" s="1"/>
  <c r="AK827" i="1" a="1"/>
  <c r="AK827" i="1" s="1"/>
  <c r="AK828" i="1" a="1"/>
  <c r="AK828" i="1" s="1"/>
  <c r="AK829" i="1" a="1"/>
  <c r="AK829" i="1" s="1"/>
  <c r="AK830" i="1" a="1"/>
  <c r="AK830" i="1"/>
  <c r="AK831" i="1" a="1"/>
  <c r="AK831" i="1" s="1"/>
  <c r="AK832" i="1" a="1"/>
  <c r="AK832" i="1" s="1"/>
  <c r="AK833" i="1" a="1"/>
  <c r="AK833" i="1"/>
  <c r="AK834" i="1" a="1"/>
  <c r="AK834" i="1" s="1"/>
  <c r="AK835" i="1" a="1"/>
  <c r="AK835" i="1" s="1"/>
  <c r="AK836" i="1" a="1"/>
  <c r="AK836" i="1" s="1"/>
  <c r="AK837" i="1" a="1"/>
  <c r="AK837" i="1" s="1"/>
  <c r="AK838" i="1" a="1"/>
  <c r="AK838" i="1" s="1"/>
  <c r="AK839" i="1" a="1"/>
  <c r="AK839" i="1" s="1"/>
  <c r="AK840" i="1" a="1"/>
  <c r="AK840" i="1"/>
  <c r="AK841" i="1" a="1"/>
  <c r="AK841" i="1" s="1"/>
  <c r="AK842" i="1" a="1"/>
  <c r="AK842" i="1" s="1"/>
  <c r="AK843" i="1" a="1"/>
  <c r="AK843" i="1" s="1"/>
  <c r="AK844" i="1" a="1"/>
  <c r="AK844" i="1" s="1"/>
  <c r="AK845" i="1" a="1"/>
  <c r="AK845" i="1" s="1"/>
  <c r="AK846" i="1" a="1"/>
  <c r="AK846" i="1" s="1"/>
  <c r="AK847" i="1" a="1"/>
  <c r="AK847" i="1" s="1"/>
  <c r="AK848" i="1" a="1"/>
  <c r="AK848" i="1"/>
  <c r="AK849" i="1" a="1"/>
  <c r="AK849" i="1" s="1"/>
  <c r="AK850" i="1" a="1"/>
  <c r="AK850" i="1" s="1"/>
  <c r="AK851" i="1" a="1"/>
  <c r="AK851" i="1" s="1"/>
  <c r="AK852" i="1" a="1"/>
  <c r="AK852" i="1" s="1"/>
  <c r="AK853" i="1" a="1"/>
  <c r="AK853" i="1" s="1"/>
  <c r="AK854" i="1" a="1"/>
  <c r="AK854" i="1"/>
  <c r="AK855" i="1" a="1"/>
  <c r="AK855" i="1" s="1"/>
  <c r="AK856" i="1" a="1"/>
  <c r="AK856" i="1" s="1"/>
  <c r="AK857" i="1" a="1"/>
  <c r="AK857" i="1"/>
  <c r="AK858" i="1" a="1"/>
  <c r="AK858" i="1" s="1"/>
  <c r="AK859" i="1" a="1"/>
  <c r="AK859" i="1" s="1"/>
  <c r="AK860" i="1" a="1"/>
  <c r="AK860" i="1" s="1"/>
  <c r="AK861" i="1" a="1"/>
  <c r="AK861" i="1" s="1"/>
  <c r="AK862" i="1" a="1"/>
  <c r="AK862" i="1" s="1"/>
  <c r="AK863" i="1" a="1"/>
  <c r="AK863" i="1" s="1"/>
  <c r="AK864" i="1" a="1"/>
  <c r="AK864" i="1" s="1"/>
  <c r="AK865" i="1" a="1"/>
  <c r="AK865" i="1" s="1"/>
  <c r="AK866" i="1" a="1"/>
  <c r="AK866" i="1" s="1"/>
  <c r="AK867" i="1" a="1"/>
  <c r="AK867" i="1" s="1"/>
  <c r="AK868" i="1" a="1"/>
  <c r="AK868" i="1" s="1"/>
  <c r="AK869" i="1" a="1"/>
  <c r="AK869" i="1" s="1"/>
  <c r="AK870" i="1" a="1"/>
  <c r="AK870" i="1" s="1"/>
  <c r="AK871" i="1" a="1"/>
  <c r="AK871" i="1"/>
  <c r="AK872" i="1" a="1"/>
  <c r="AK872" i="1" s="1"/>
  <c r="AK873" i="1" a="1"/>
  <c r="AK873" i="1" s="1"/>
  <c r="AK874" i="1" a="1"/>
  <c r="AK874" i="1" s="1"/>
  <c r="AK875" i="1" a="1"/>
  <c r="AK875" i="1" s="1"/>
  <c r="AK876" i="1" a="1"/>
  <c r="AK876" i="1" s="1"/>
  <c r="AK877" i="1" a="1"/>
  <c r="AK877" i="1"/>
  <c r="AK878" i="1" a="1"/>
  <c r="AK878" i="1"/>
  <c r="AK879" i="1" a="1"/>
  <c r="AK879" i="1" s="1"/>
  <c r="AK880" i="1" a="1"/>
  <c r="AK880" i="1" s="1"/>
  <c r="AK881" i="1" a="1"/>
  <c r="AK881" i="1" s="1"/>
  <c r="AK882" i="1" a="1"/>
  <c r="AK882" i="1" s="1"/>
  <c r="AK883" i="1" a="1"/>
  <c r="AK883" i="1" s="1"/>
  <c r="AK884" i="1" a="1"/>
  <c r="AK884" i="1" s="1"/>
  <c r="AK885" i="1" a="1"/>
  <c r="AK885" i="1" s="1"/>
  <c r="AK886" i="1" a="1"/>
  <c r="AK886" i="1" s="1"/>
  <c r="AK887" i="1" a="1"/>
  <c r="AK887" i="1"/>
  <c r="AK888" i="1" a="1"/>
  <c r="AK888" i="1" s="1"/>
  <c r="AK889" i="1" a="1"/>
  <c r="AK889" i="1" s="1"/>
  <c r="AK890" i="1" a="1"/>
  <c r="AK890" i="1" s="1"/>
  <c r="AK891" i="1" a="1"/>
  <c r="AK891" i="1" s="1"/>
  <c r="AK892" i="1" a="1"/>
  <c r="AK892" i="1" s="1"/>
  <c r="AK893" i="1" a="1"/>
  <c r="AK893" i="1"/>
  <c r="AK894" i="1" a="1"/>
  <c r="AK894" i="1"/>
  <c r="AK895" i="1" a="1"/>
  <c r="AK895" i="1"/>
  <c r="AK896" i="1" a="1"/>
  <c r="AK896" i="1" s="1"/>
  <c r="AK897" i="1" a="1"/>
  <c r="AK897" i="1" s="1"/>
  <c r="AK898" i="1" a="1"/>
  <c r="AK898" i="1" s="1"/>
  <c r="AK899" i="1" a="1"/>
  <c r="AK899" i="1" s="1"/>
  <c r="AK900" i="1" a="1"/>
  <c r="AK900" i="1" s="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s="1"/>
  <c r="AK914" i="1" a="1"/>
  <c r="AK914" i="1"/>
  <c r="AK915" i="1" a="1"/>
  <c r="AK915" i="1" s="1"/>
  <c r="AK916" i="1" a="1"/>
  <c r="AK916" i="1" s="1"/>
  <c r="AK917" i="1" a="1"/>
  <c r="AK917" i="1"/>
  <c r="AK918" i="1" a="1"/>
  <c r="AK918" i="1" s="1"/>
  <c r="AK919" i="1" a="1"/>
  <c r="AK919" i="1" s="1"/>
  <c r="AK920" i="1" a="1"/>
  <c r="AK920" i="1" s="1"/>
  <c r="AK921" i="1" a="1"/>
  <c r="AK921" i="1" s="1"/>
  <c r="AK922" i="1" a="1"/>
  <c r="AK922" i="1" s="1"/>
  <c r="AK923" i="1" a="1"/>
  <c r="AK923" i="1" s="1"/>
  <c r="AK924" i="1" a="1"/>
  <c r="AK924" i="1" s="1"/>
  <c r="AK925" i="1" a="1"/>
  <c r="AK925" i="1" s="1"/>
  <c r="AK926" i="1" a="1"/>
  <c r="AK926" i="1"/>
  <c r="AK927" i="1" a="1"/>
  <c r="AK927" i="1" s="1"/>
  <c r="AK928" i="1" a="1"/>
  <c r="AK928" i="1" s="1"/>
  <c r="AK929" i="1" a="1"/>
  <c r="AK929" i="1" s="1"/>
  <c r="AK930" i="1" a="1"/>
  <c r="AK930" i="1"/>
  <c r="AK931" i="1" a="1"/>
  <c r="AK931" i="1"/>
  <c r="AK932" i="1" a="1"/>
  <c r="AK932" i="1" s="1"/>
  <c r="AK933" i="1" a="1"/>
  <c r="AK933" i="1" s="1"/>
  <c r="AK934" i="1" a="1"/>
  <c r="AK934" i="1" s="1"/>
  <c r="AK935" i="1" a="1"/>
  <c r="AK935" i="1" s="1"/>
  <c r="AK936" i="1" a="1"/>
  <c r="AK936" i="1" s="1"/>
  <c r="AK937" i="1" a="1"/>
  <c r="AK937" i="1" s="1"/>
  <c r="AK938" i="1" a="1"/>
  <c r="AK938" i="1" s="1"/>
  <c r="AK939" i="1" a="1"/>
  <c r="AK939" i="1" s="1"/>
  <c r="AK940" i="1" a="1"/>
  <c r="AK940" i="1" s="1"/>
  <c r="AK941" i="1" a="1"/>
  <c r="AK941" i="1" s="1"/>
  <c r="AK942" i="1" a="1"/>
  <c r="AK942" i="1" s="1"/>
  <c r="AK943" i="1" a="1"/>
  <c r="AK943" i="1" s="1"/>
  <c r="AK944" i="1" a="1"/>
  <c r="AK944" i="1" s="1"/>
  <c r="AK945" i="1" a="1"/>
  <c r="AK945" i="1" s="1"/>
  <c r="AK946" i="1" a="1"/>
  <c r="AK946" i="1" s="1"/>
  <c r="AK947" i="1" a="1"/>
  <c r="AK947" i="1" s="1"/>
  <c r="AK948" i="1" a="1"/>
  <c r="AK948" i="1"/>
  <c r="AK949" i="1" a="1"/>
  <c r="AK949" i="1"/>
  <c r="AK950" i="1" a="1"/>
  <c r="AK950" i="1" s="1"/>
  <c r="AK951" i="1" a="1"/>
  <c r="AK951" i="1" s="1"/>
  <c r="AK952" i="1" a="1"/>
  <c r="AK952" i="1" s="1"/>
  <c r="AK953" i="1" a="1"/>
  <c r="AK953" i="1"/>
  <c r="AK954" i="1" a="1"/>
  <c r="AK954" i="1" s="1"/>
  <c r="AK955" i="1" a="1"/>
  <c r="AK955" i="1" s="1"/>
  <c r="AK956" i="1" a="1"/>
  <c r="AK956" i="1"/>
  <c r="AK957" i="1" a="1"/>
  <c r="AK957" i="1" s="1"/>
  <c r="AK958" i="1" a="1"/>
  <c r="AK958" i="1" s="1"/>
  <c r="AK959" i="1" a="1"/>
  <c r="AK959" i="1" s="1"/>
  <c r="AK960" i="1" a="1"/>
  <c r="AK960" i="1" s="1"/>
  <c r="AK961" i="1" a="1"/>
  <c r="AK961" i="1" s="1"/>
  <c r="AK962" i="1" a="1"/>
  <c r="AK962" i="1"/>
  <c r="AK963" i="1" a="1"/>
  <c r="AK963" i="1" s="1"/>
  <c r="AK964" i="1" a="1"/>
  <c r="AK964" i="1" s="1"/>
  <c r="AK965" i="1" a="1"/>
  <c r="AK965" i="1"/>
  <c r="AK966" i="1" a="1"/>
  <c r="AK966" i="1" s="1"/>
  <c r="AK967" i="1" a="1"/>
  <c r="AK967" i="1"/>
  <c r="AK968" i="1" a="1"/>
  <c r="AK968" i="1" s="1"/>
  <c r="AK969" i="1" a="1"/>
  <c r="AK969" i="1" s="1"/>
  <c r="AK970" i="1" a="1"/>
  <c r="AK970" i="1" s="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s="1"/>
  <c r="AK983" i="1" a="1"/>
  <c r="AK983" i="1" s="1"/>
  <c r="AK984" i="1" a="1"/>
  <c r="AK984" i="1"/>
  <c r="AK985" i="1" a="1"/>
  <c r="AK985" i="1"/>
  <c r="AK986" i="1" a="1"/>
  <c r="AK986" i="1"/>
  <c r="AK987" i="1" a="1"/>
  <c r="AK987" i="1" s="1"/>
  <c r="AK988" i="1" a="1"/>
  <c r="AK988" i="1" s="1"/>
  <c r="AK989" i="1" a="1"/>
  <c r="AK989" i="1" s="1"/>
  <c r="AK990" i="1" a="1"/>
  <c r="AK990" i="1" s="1"/>
  <c r="AK991" i="1" a="1"/>
  <c r="AK991" i="1" s="1"/>
  <c r="AK992" i="1" a="1"/>
  <c r="AK992" i="1" s="1"/>
  <c r="AK993" i="1" a="1"/>
  <c r="AK993" i="1" s="1"/>
  <c r="AK994" i="1" a="1"/>
  <c r="AK994" i="1" s="1"/>
  <c r="AK995" i="1" a="1"/>
  <c r="AK995" i="1"/>
  <c r="AK996" i="1" a="1"/>
  <c r="AK996" i="1" s="1"/>
  <c r="AK997" i="1" a="1"/>
  <c r="AK997" i="1" s="1"/>
  <c r="AK998" i="1" a="1"/>
  <c r="AK998" i="1"/>
  <c r="AK999" i="1" a="1"/>
  <c r="AK999" i="1" s="1"/>
  <c r="AK1000" i="1" a="1"/>
  <c r="AK1000" i="1" s="1"/>
  <c r="AK1001" i="1" a="1"/>
  <c r="AK1001" i="1"/>
  <c r="AK1002" i="1" a="1"/>
  <c r="AK1002" i="1"/>
  <c r="AK1003" i="1" a="1"/>
  <c r="AK1003" i="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s="1"/>
  <c r="AK1015" i="1" a="1"/>
  <c r="AK1015" i="1" s="1"/>
  <c r="AK1016" i="1" a="1"/>
  <c r="AK1016" i="1" s="1"/>
  <c r="AK1017" i="1" a="1"/>
  <c r="AK1017" i="1" s="1"/>
  <c r="AK1018" i="1" a="1"/>
  <c r="AK1018" i="1" s="1"/>
  <c r="AK1019" i="1" a="1"/>
  <c r="AK1019" i="1" s="1"/>
  <c r="AK1020" i="1" a="1"/>
  <c r="AK1020" i="1" s="1"/>
  <c r="AK1021" i="1" a="1"/>
  <c r="AK1021" i="1"/>
  <c r="AK1022" i="1" a="1"/>
  <c r="AK1022" i="1"/>
  <c r="AK1023" i="1" a="1"/>
  <c r="AK1023" i="1" s="1"/>
  <c r="AK1024" i="1" a="1"/>
  <c r="AK1024" i="1" s="1"/>
  <c r="AK1025" i="1" a="1"/>
  <c r="AK1025" i="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c r="AK1035" i="1" a="1"/>
  <c r="AK1035" i="1" s="1"/>
  <c r="AK1036" i="1" a="1"/>
  <c r="AK1036" i="1"/>
  <c r="AK1037" i="1" a="1"/>
  <c r="AK1037" i="1"/>
  <c r="AK1038" i="1" a="1"/>
  <c r="AK1038" i="1"/>
  <c r="AK1039" i="1" a="1"/>
  <c r="AK1039" i="1" s="1"/>
  <c r="AK1040" i="1" a="1"/>
  <c r="AK1040" i="1" s="1"/>
  <c r="AK1041" i="1" a="1"/>
  <c r="AK1041" i="1" s="1"/>
  <c r="AK1042" i="1" a="1"/>
  <c r="AK1042" i="1" s="1"/>
  <c r="AK1043" i="1" a="1"/>
  <c r="AK1043" i="1" s="1"/>
  <c r="AK1044" i="1" a="1"/>
  <c r="AK1044" i="1" s="1"/>
  <c r="AK1045" i="1" a="1"/>
  <c r="AK1045" i="1" s="1"/>
  <c r="AK1046" i="1" a="1"/>
  <c r="AK1046" i="1"/>
  <c r="AK1047" i="1" a="1"/>
  <c r="AK1047" i="1" s="1"/>
  <c r="AK1048" i="1" a="1"/>
  <c r="AK1048" i="1" s="1"/>
  <c r="AK1049" i="1" a="1"/>
  <c r="AK1049" i="1"/>
  <c r="AK1050" i="1" a="1"/>
  <c r="AK1050" i="1"/>
  <c r="AK1051" i="1" a="1"/>
  <c r="AK1051" i="1" s="1"/>
  <c r="AK1052" i="1" a="1"/>
  <c r="AK1052" i="1" s="1"/>
  <c r="AK1053" i="1" a="1"/>
  <c r="AK1053" i="1" s="1"/>
  <c r="AK1054" i="1" a="1"/>
  <c r="AK1054" i="1" s="1"/>
  <c r="AK1055" i="1" a="1"/>
  <c r="AK1055" i="1" s="1"/>
  <c r="AK1056" i="1" a="1"/>
  <c r="AK1056" i="1" s="1"/>
  <c r="AK1057" i="1" a="1"/>
  <c r="AK1057" i="1" s="1"/>
  <c r="AK1058" i="1" a="1"/>
  <c r="AK1058" i="1"/>
  <c r="AK1059" i="1" a="1"/>
  <c r="AK1059" i="1"/>
  <c r="AK1060" i="1" a="1"/>
  <c r="AK1060" i="1"/>
  <c r="AK1061" i="1" a="1"/>
  <c r="AK1061" i="1" s="1"/>
  <c r="AK1062" i="1" a="1"/>
  <c r="AK1062" i="1"/>
  <c r="AK1063" i="1" a="1"/>
  <c r="AK1063" i="1" s="1"/>
  <c r="AK1064" i="1" a="1"/>
  <c r="AK1064" i="1" s="1"/>
  <c r="AK1065" i="1" a="1"/>
  <c r="AK1065" i="1" s="1"/>
  <c r="AK1066" i="1" a="1"/>
  <c r="AK1066" i="1" s="1"/>
  <c r="AK1067" i="1" a="1"/>
  <c r="AK1067" i="1" s="1"/>
  <c r="AK1068" i="1" a="1"/>
  <c r="AK1068" i="1" s="1"/>
  <c r="AK1069" i="1" a="1"/>
  <c r="AK1069" i="1" s="1"/>
  <c r="AK1070" i="1" a="1"/>
  <c r="AK1070" i="1"/>
  <c r="AK1071" i="1" a="1"/>
  <c r="AK1071" i="1"/>
  <c r="AK1072" i="1" a="1"/>
  <c r="AK1072" i="1"/>
  <c r="AK1073" i="1" a="1"/>
  <c r="AK1073" i="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c r="AK1083" i="1" a="1"/>
  <c r="AK1083" i="1"/>
  <c r="AK1084" i="1" a="1"/>
  <c r="AK1084" i="1"/>
  <c r="AK1085" i="1" a="1"/>
  <c r="AK1085" i="1"/>
  <c r="AK1086" i="1" a="1"/>
  <c r="AK1086" i="1" s="1"/>
  <c r="AK1087" i="1" a="1"/>
  <c r="AK1087" i="1" s="1"/>
  <c r="AK1088" i="1" a="1"/>
  <c r="AK1088" i="1" s="1"/>
  <c r="AK1089" i="1" a="1"/>
  <c r="AK1089" i="1" s="1"/>
  <c r="AK1090" i="1" a="1"/>
  <c r="AK1090" i="1" s="1"/>
  <c r="AK1091" i="1" a="1"/>
  <c r="AK1091" i="1" s="1"/>
  <c r="AK1092" i="1" a="1"/>
  <c r="AK1092" i="1"/>
  <c r="AK1093" i="1" a="1"/>
  <c r="AK1093" i="1" s="1"/>
  <c r="AK1094" i="1" a="1"/>
  <c r="AK1094" i="1" s="1"/>
  <c r="AK1095" i="1" a="1"/>
  <c r="AK1095" i="1"/>
  <c r="AK1096" i="1" a="1"/>
  <c r="AK1096" i="1"/>
  <c r="AK1097" i="1" a="1"/>
  <c r="AK1097" i="1"/>
  <c r="AK1098" i="1" a="1"/>
  <c r="AK1098" i="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c r="AK1109" i="1" a="1"/>
  <c r="AK1109" i="1"/>
  <c r="AK1110" i="1" a="1"/>
  <c r="AK1110" i="1"/>
  <c r="AK1111" i="1" a="1"/>
  <c r="AK1111" i="1" s="1"/>
  <c r="AK1112" i="1" a="1"/>
  <c r="AK1112" i="1" s="1"/>
  <c r="AK1113" i="1" a="1"/>
  <c r="AK1113" i="1" s="1"/>
  <c r="AK1114" i="1" a="1"/>
  <c r="AK1114" i="1" s="1"/>
  <c r="AK1115" i="1" a="1"/>
  <c r="AK1115" i="1" s="1"/>
  <c r="AK1116" i="1" a="1"/>
  <c r="AK1116" i="1" s="1"/>
  <c r="AK1117" i="1" a="1"/>
  <c r="AK1117" i="1" s="1"/>
  <c r="AK1118" i="1" a="1"/>
  <c r="AK1118" i="1"/>
  <c r="AK1119" i="1" a="1"/>
  <c r="AK1119" i="1"/>
  <c r="AK1120" i="1" a="1"/>
  <c r="AK1120" i="1" s="1"/>
  <c r="AK1121" i="1" a="1"/>
  <c r="AK1121" i="1"/>
  <c r="AK1122" i="1" a="1"/>
  <c r="AK1122" i="1"/>
  <c r="AK1123" i="1" a="1"/>
  <c r="AK1123" i="1" s="1"/>
  <c r="AK1124" i="1" a="1"/>
  <c r="AK1124" i="1" s="1"/>
  <c r="AK1125" i="1" a="1"/>
  <c r="AK1125" i="1" s="1"/>
  <c r="AK1126" i="1" a="1"/>
  <c r="AK1126" i="1" s="1"/>
  <c r="AK1127" i="1" a="1"/>
  <c r="AK1127" i="1" s="1"/>
  <c r="AK1128" i="1" a="1"/>
  <c r="AK1128" i="1" s="1"/>
  <c r="AK1129" i="1" a="1"/>
  <c r="AK1129" i="1" s="1"/>
  <c r="AK1130" i="1" a="1"/>
  <c r="AK1130" i="1"/>
  <c r="AK1131" i="1" a="1"/>
  <c r="AK1131" i="1"/>
  <c r="AK1132" i="1" a="1"/>
  <c r="AK1132" i="1"/>
  <c r="AK1133" i="1" a="1"/>
  <c r="AK1133" i="1" s="1"/>
  <c r="AK1134" i="1" a="1"/>
  <c r="AK1134" i="1"/>
  <c r="AK1135" i="1" a="1"/>
  <c r="AK1135" i="1" s="1"/>
  <c r="AK1136" i="1" a="1"/>
  <c r="AK1136" i="1" s="1"/>
  <c r="AK1137" i="1" a="1"/>
  <c r="AK1137" i="1" s="1"/>
  <c r="AK1138" i="1" a="1"/>
  <c r="AK1138" i="1" s="1"/>
  <c r="AK1139" i="1" a="1"/>
  <c r="AK1139" i="1" s="1"/>
  <c r="AK1140" i="1" a="1"/>
  <c r="AK1140" i="1" s="1"/>
  <c r="AK1141" i="1" a="1"/>
  <c r="AK1141" i="1" s="1"/>
  <c r="AK1142" i="1" a="1"/>
  <c r="AK1142" i="1"/>
  <c r="AK1143" i="1" a="1"/>
  <c r="AK1143" i="1"/>
  <c r="AK1144" i="1" a="1"/>
  <c r="AK1144" i="1"/>
  <c r="AK1145" i="1" a="1"/>
  <c r="AK1145" i="1"/>
  <c r="AK1146" i="1" a="1"/>
  <c r="AK1146" i="1" s="1"/>
  <c r="AK1147" i="1" a="1"/>
  <c r="AK1147" i="1" s="1"/>
  <c r="AK1148" i="1" a="1"/>
  <c r="AK1148" i="1" s="1"/>
  <c r="AK1149" i="1" a="1"/>
  <c r="AK1149" i="1" s="1"/>
  <c r="AK1150" i="1" a="1"/>
  <c r="AK1150" i="1" s="1"/>
  <c r="AK1151" i="1" a="1"/>
  <c r="AK1151" i="1" s="1"/>
  <c r="AK1152" i="1" a="1"/>
  <c r="AK1152" i="1" s="1"/>
  <c r="AK1153" i="1" a="1"/>
  <c r="AK1153" i="1" s="1"/>
  <c r="AK1154" i="1" a="1"/>
  <c r="AK1154" i="1"/>
  <c r="AK1155" i="1" a="1"/>
  <c r="AK1155" i="1"/>
  <c r="AK1156" i="1" a="1"/>
  <c r="AK1156" i="1"/>
  <c r="AK1157" i="1" a="1"/>
  <c r="AK1157" i="1"/>
  <c r="AK1158" i="1" a="1"/>
  <c r="AK1158" i="1" s="1"/>
  <c r="AK1159" i="1" a="1"/>
  <c r="AK1159" i="1" s="1"/>
  <c r="AK1160" i="1" a="1"/>
  <c r="AK1160" i="1" s="1"/>
  <c r="AK1161" i="1" a="1"/>
  <c r="AK1161" i="1" s="1"/>
  <c r="AK1162" i="1" a="1"/>
  <c r="AK1162" i="1" s="1"/>
  <c r="AK1163" i="1" a="1"/>
  <c r="AK1163" i="1" s="1"/>
  <c r="AK1164" i="1" a="1"/>
  <c r="AK1164" i="1" s="1"/>
  <c r="AK1165" i="1" a="1"/>
  <c r="AK1165" i="1" s="1"/>
  <c r="AK1166" i="1" a="1"/>
  <c r="AK1166" i="1" s="1"/>
  <c r="AK1167" i="1" a="1"/>
  <c r="AK1167" i="1"/>
  <c r="AK1168" i="1" a="1"/>
  <c r="AK1168" i="1"/>
  <c r="AK1169" i="1" a="1"/>
  <c r="AK1169" i="1"/>
  <c r="AK1170" i="1" a="1"/>
  <c r="AK1170" i="1"/>
  <c r="AK1171" i="1" a="1"/>
  <c r="AK1171" i="1" s="1"/>
  <c r="AK1172" i="1" a="1"/>
  <c r="AK1172" i="1" s="1"/>
  <c r="AK1173" i="1" a="1"/>
  <c r="AK1173" i="1" s="1"/>
  <c r="AK1174" i="1" a="1"/>
  <c r="AK1174" i="1" s="1"/>
  <c r="AK1175" i="1" a="1"/>
  <c r="AK1175" i="1" s="1"/>
  <c r="AK1176" i="1" a="1"/>
  <c r="AK1176" i="1" s="1"/>
  <c r="AK1177" i="1" a="1"/>
  <c r="AK1177" i="1" s="1"/>
  <c r="AK1178" i="1" a="1"/>
  <c r="AK1178" i="1"/>
  <c r="AK1179" i="1" a="1"/>
  <c r="AK1179" i="1" s="1"/>
  <c r="AK1180" i="1" a="1"/>
  <c r="AK1180" i="1"/>
  <c r="AK1181" i="1" a="1"/>
  <c r="AK1181" i="1"/>
  <c r="AK1182" i="1" a="1"/>
  <c r="AK1182" i="1"/>
  <c r="AK1183" i="1" a="1"/>
  <c r="AK1183" i="1" s="1"/>
  <c r="AK1184" i="1" a="1"/>
  <c r="AK1184" i="1" s="1"/>
  <c r="AK1185" i="1" a="1"/>
  <c r="AK1185" i="1" s="1"/>
  <c r="AK1186" i="1" a="1"/>
  <c r="AK1186" i="1" s="1"/>
  <c r="AK1187" i="1" a="1"/>
  <c r="AK1187" i="1" s="1"/>
  <c r="AK1188" i="1" a="1"/>
  <c r="AK1188" i="1" s="1"/>
  <c r="AK1189" i="1" a="1"/>
  <c r="AK1189" i="1" s="1"/>
  <c r="AK1190" i="1" a="1"/>
  <c r="AK1190" i="1"/>
  <c r="AK1191" i="1" a="1"/>
  <c r="AK1191" i="1" s="1"/>
  <c r="AK1192" i="1" a="1"/>
  <c r="AK1192" i="1" s="1"/>
  <c r="AK1193" i="1" a="1"/>
  <c r="AK1193" i="1"/>
  <c r="AK1194" i="1" a="1"/>
  <c r="AK1194" i="1"/>
  <c r="AK1195" i="1" a="1"/>
  <c r="AK1195" i="1" s="1"/>
  <c r="AK1196" i="1" a="1"/>
  <c r="AK1196" i="1" s="1"/>
  <c r="AK1197" i="1" a="1"/>
  <c r="AK1197" i="1" s="1"/>
  <c r="AK1198" i="1" a="1"/>
  <c r="AK1198" i="1" s="1"/>
  <c r="AK1199" i="1" a="1"/>
  <c r="AK1199" i="1" s="1"/>
  <c r="AK1200" i="1" a="1"/>
  <c r="AK1200" i="1" s="1"/>
  <c r="AK1201" i="1" a="1"/>
  <c r="AK1201" i="1" s="1"/>
  <c r="AK1202" i="1" a="1"/>
  <c r="AK1202" i="1"/>
  <c r="AK1203" i="1" a="1"/>
  <c r="AK1203" i="1"/>
  <c r="AK1204" i="1" a="1"/>
  <c r="AK1204" i="1"/>
  <c r="AK1205" i="1" a="1"/>
  <c r="AK1205" i="1" s="1"/>
  <c r="AK1206" i="1" a="1"/>
  <c r="AK1206" i="1"/>
  <c r="AK1207" i="1" a="1"/>
  <c r="AK1207" i="1" s="1"/>
  <c r="AK1208" i="1" a="1"/>
  <c r="AK1208" i="1" s="1"/>
  <c r="AK1209" i="1" a="1"/>
  <c r="AK1209" i="1" s="1"/>
  <c r="AK1210" i="1" a="1"/>
  <c r="AK1210" i="1" s="1"/>
  <c r="AK1211" i="1" a="1"/>
  <c r="AK1211" i="1" s="1"/>
  <c r="AK1212" i="1" a="1"/>
  <c r="AK1212" i="1" s="1"/>
  <c r="AK1213" i="1" a="1"/>
  <c r="AK1213" i="1" s="1"/>
  <c r="AK1214" i="1" a="1"/>
  <c r="AK1214" i="1"/>
  <c r="AK1215" i="1" a="1"/>
  <c r="AK1215" i="1"/>
  <c r="AK1216" i="1" a="1"/>
  <c r="AK1216" i="1"/>
  <c r="AK1217" i="1" a="1"/>
  <c r="AK1217" i="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c r="AK1227" i="1" a="1"/>
  <c r="AK1227" i="1"/>
  <c r="AK1228" i="1" a="1"/>
  <c r="AK1228" i="1"/>
  <c r="AK1229" i="1" a="1"/>
  <c r="AK1229" i="1"/>
  <c r="AK1230" i="1" a="1"/>
  <c r="AK1230" i="1" s="1"/>
  <c r="AK1231" i="1" a="1"/>
  <c r="AK1231" i="1" s="1"/>
  <c r="AK1232" i="1" a="1"/>
  <c r="AK1232" i="1" s="1"/>
  <c r="AK1233" i="1" a="1"/>
  <c r="AK1233" i="1" s="1"/>
  <c r="AK1234" i="1" a="1"/>
  <c r="AK1234" i="1" s="1"/>
  <c r="AK1235" i="1" a="1"/>
  <c r="AK1235" i="1" s="1"/>
  <c r="AK1236" i="1" a="1"/>
  <c r="AK1236" i="1"/>
  <c r="AK1237" i="1" a="1"/>
  <c r="AK1237" i="1" s="1"/>
  <c r="AK1238" i="1" a="1"/>
  <c r="AK1238" i="1" s="1"/>
  <c r="AK1239" i="1" a="1"/>
  <c r="AK1239" i="1"/>
  <c r="AK1240" i="1" a="1"/>
  <c r="AK1240" i="1" s="1"/>
  <c r="AK1241" i="1" a="1"/>
  <c r="AK1241" i="1"/>
  <c r="AK1242" i="1" a="1"/>
  <c r="AK1242" i="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c r="AK1253" i="1" a="1"/>
  <c r="AK1253" i="1" s="1"/>
  <c r="AK1254" i="1" a="1"/>
  <c r="AK1254" i="1"/>
  <c r="AK1255" i="1" a="1"/>
  <c r="AK1255" i="1" s="1"/>
  <c r="AK1256" i="1" a="1"/>
  <c r="AK1256" i="1"/>
  <c r="AK1257" i="1" a="1"/>
  <c r="AK1257" i="1" s="1"/>
  <c r="AK1258" i="1" a="1"/>
  <c r="AK1258" i="1" s="1"/>
  <c r="AK1259" i="1" a="1"/>
  <c r="AK1259" i="1" s="1"/>
  <c r="AK1260" i="1" a="1"/>
  <c r="AK1260" i="1" s="1"/>
  <c r="AK1261" i="1" a="1"/>
  <c r="AK1261" i="1" s="1"/>
  <c r="AK1262" i="1" a="1"/>
  <c r="AK1262" i="1"/>
  <c r="AK1263" i="1" a="1"/>
  <c r="AK1263" i="1"/>
  <c r="AK1264" i="1" a="1"/>
  <c r="AK1264" i="1" s="1"/>
  <c r="AK1265" i="1" a="1"/>
  <c r="AK1265" i="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c r="AK1275" i="1" a="1"/>
  <c r="AK1275" i="1"/>
  <c r="AK1276" i="1" a="1"/>
  <c r="AK1276" i="1" s="1"/>
  <c r="AK1277" i="1" a="1"/>
  <c r="AK1277" i="1" s="1"/>
  <c r="AK1278" i="1" a="1"/>
  <c r="AK1278" i="1"/>
  <c r="AK1279" i="1" a="1"/>
  <c r="AK1279" i="1" s="1"/>
  <c r="AK1280" i="1" a="1"/>
  <c r="AK1280" i="1" s="1"/>
  <c r="AK1281" i="1" a="1"/>
  <c r="AK1281" i="1" s="1"/>
  <c r="AK1282" i="1" a="1"/>
  <c r="AK1282" i="1"/>
  <c r="AK1283" i="1" a="1"/>
  <c r="AK1283" i="1" s="1"/>
  <c r="AK1284" i="1" a="1"/>
  <c r="AK1284" i="1" s="1"/>
  <c r="AK1285" i="1" a="1"/>
  <c r="AK1285" i="1" s="1"/>
  <c r="AK1286" i="1" a="1"/>
  <c r="AK1286" i="1" s="1"/>
  <c r="AK1287" i="1" a="1"/>
  <c r="AK1287" i="1"/>
  <c r="AK1288" i="1" a="1"/>
  <c r="AK1288" i="1"/>
  <c r="AK1289" i="1" a="1"/>
  <c r="AK1289" i="1"/>
  <c r="AK1290" i="1" a="1"/>
  <c r="AK1290" i="1" s="1"/>
  <c r="AK1291" i="1" a="1"/>
  <c r="AK1291" i="1" s="1"/>
  <c r="AK1292" i="1" a="1"/>
  <c r="AK1292" i="1" s="1"/>
  <c r="AK1293" i="1" a="1"/>
  <c r="AK1293" i="1" s="1"/>
  <c r="AK1294" i="1" a="1"/>
  <c r="AK1294" i="1" s="1"/>
  <c r="AK1295" i="1" a="1"/>
  <c r="AK1295" i="1" s="1"/>
  <c r="AK1296" i="1" a="1"/>
  <c r="AK1296" i="1" s="1"/>
  <c r="AK1297" i="1" a="1"/>
  <c r="AK1297" i="1" s="1"/>
  <c r="AK1298" i="1" a="1"/>
  <c r="AK1298" i="1"/>
  <c r="AK1299" i="1" a="1"/>
  <c r="AK1299" i="1" s="1"/>
  <c r="AK1300" i="1" a="1"/>
  <c r="AK1300" i="1"/>
  <c r="AK1301" i="1" a="1"/>
  <c r="AK1301" i="1"/>
  <c r="AK1302" i="1" a="1"/>
  <c r="AK1302" i="1" s="1"/>
  <c r="AK1303" i="1" a="1"/>
  <c r="AK1303" i="1" s="1"/>
  <c r="AK1304" i="1" a="1"/>
  <c r="AK1304" i="1" s="1"/>
  <c r="AK1305" i="1" a="1"/>
  <c r="AK1305" i="1" s="1"/>
  <c r="AK1306" i="1" a="1"/>
  <c r="AK1306" i="1" s="1"/>
  <c r="AK1307" i="1" a="1"/>
  <c r="AK1307" i="1" s="1"/>
  <c r="AK1308" i="1" a="1"/>
  <c r="AK1308" i="1"/>
  <c r="AK1309" i="1" a="1"/>
  <c r="AK1309" i="1" s="1"/>
  <c r="AK1310" i="1" a="1"/>
  <c r="AK1310" i="1" s="1"/>
  <c r="AK1311" i="1" a="1"/>
  <c r="AK1311" i="1"/>
  <c r="AK1312" i="1" a="1"/>
  <c r="AK1312" i="1"/>
  <c r="AK1313" i="1" a="1"/>
  <c r="AK1313" i="1"/>
  <c r="AK1314" i="1" a="1"/>
  <c r="AK1314" i="1"/>
  <c r="AK1315" i="1" a="1"/>
  <c r="AK1315" i="1" s="1"/>
  <c r="AK1316" i="1" a="1"/>
  <c r="AK1316" i="1" s="1"/>
  <c r="AK1317" i="1" a="1"/>
  <c r="AK1317" i="1" s="1"/>
  <c r="AK1318" i="1" a="1"/>
  <c r="AK1318" i="1" s="1"/>
  <c r="AK1319" i="1" a="1"/>
  <c r="AK1319" i="1" s="1"/>
  <c r="AK1320" i="1" a="1"/>
  <c r="AK1320" i="1" s="1"/>
  <c r="AK1321" i="1" a="1"/>
  <c r="AK1321" i="1" s="1"/>
  <c r="AK1322" i="1" a="1"/>
  <c r="AK1322" i="1" s="1"/>
  <c r="AK1323" i="1" a="1"/>
  <c r="AK1323" i="1" s="1"/>
  <c r="AK1324" i="1" a="1"/>
  <c r="AK1324" i="1"/>
  <c r="AK1325" i="1" a="1"/>
  <c r="AK1325" i="1"/>
  <c r="AK1326" i="1" a="1"/>
  <c r="AK1326" i="1"/>
  <c r="AK1327" i="1" a="1"/>
  <c r="AK1327" i="1" s="1"/>
  <c r="AK1328" i="1" a="1"/>
  <c r="AK1328" i="1" s="1"/>
  <c r="AK1329" i="1" a="1"/>
  <c r="AK1329" i="1" s="1"/>
  <c r="AK1330" i="1" a="1"/>
  <c r="AK1330" i="1" s="1"/>
  <c r="AK1331" i="1" a="1"/>
  <c r="AK1331" i="1" s="1"/>
  <c r="AK1332" i="1" a="1"/>
  <c r="AK1332" i="1" s="1"/>
  <c r="AK1333" i="1" a="1"/>
  <c r="AK1333" i="1" s="1"/>
  <c r="AK1334" i="1" a="1"/>
  <c r="AK1334" i="1"/>
  <c r="AK1335" i="1" a="1"/>
  <c r="AK1335" i="1"/>
  <c r="AK1336" i="1" a="1"/>
  <c r="AK1336" i="1" s="1"/>
  <c r="AK1337" i="1" a="1"/>
  <c r="AK1337" i="1"/>
  <c r="AK1338" i="1" a="1"/>
  <c r="AK1338" i="1" s="1"/>
  <c r="AK1339" i="1" a="1"/>
  <c r="AK1339" i="1" s="1"/>
  <c r="AK1340" i="1" a="1"/>
  <c r="AK1340" i="1" s="1"/>
  <c r="AK1341" i="1" a="1"/>
  <c r="AK1341" i="1" s="1"/>
  <c r="AK1342" i="1" a="1"/>
  <c r="AK1342" i="1" s="1"/>
  <c r="AK1343" i="1" a="1"/>
  <c r="AK1343" i="1" s="1"/>
  <c r="AK1344" i="1" a="1"/>
  <c r="AK1344" i="1" s="1"/>
  <c r="AK1345" i="1" a="1"/>
  <c r="AK1345" i="1" s="1"/>
  <c r="AK1346" i="1" a="1"/>
  <c r="AK1346" i="1"/>
  <c r="AK1347" i="1" a="1"/>
  <c r="AK1347" i="1"/>
  <c r="AK1348" i="1" a="1"/>
  <c r="AK1348" i="1" s="1"/>
  <c r="AK1349" i="1" a="1"/>
  <c r="AK1349" i="1" s="1"/>
  <c r="AK1350" i="1" a="1"/>
  <c r="AK1350" i="1"/>
  <c r="AK1351" i="1" a="1"/>
  <c r="AK1351" i="1" s="1"/>
  <c r="AK1352" i="1" a="1"/>
  <c r="AK1352" i="1" s="1"/>
  <c r="AK1353" i="1" a="1"/>
  <c r="AK1353" i="1" s="1"/>
  <c r="AK1354" i="1" a="1"/>
  <c r="AK1354" i="1" s="1"/>
  <c r="AK1355" i="1" a="1"/>
  <c r="AK1355" i="1" s="1"/>
  <c r="AK1356" i="1" a="1"/>
  <c r="AK1356" i="1" s="1"/>
  <c r="AK1357" i="1" a="1"/>
  <c r="AK1357" i="1" s="1"/>
  <c r="AK1358" i="1" a="1"/>
  <c r="AK1358" i="1"/>
  <c r="AK1359" i="1" a="1"/>
  <c r="AK1359" i="1"/>
  <c r="AK1360" i="1" a="1"/>
  <c r="AK1360" i="1"/>
  <c r="AK1361" i="1" a="1"/>
  <c r="AK1361" i="1"/>
  <c r="AK1362" i="1" a="1"/>
  <c r="AK1362" i="1" s="1"/>
  <c r="AK1363" i="1" a="1"/>
  <c r="AK1363" i="1" s="1"/>
  <c r="AK1364" i="1" a="1"/>
  <c r="AK1364" i="1" s="1"/>
  <c r="AK1365" i="1" a="1"/>
  <c r="AK1365" i="1" s="1"/>
  <c r="AK1366" i="1" a="1"/>
  <c r="AK1366" i="1" s="1"/>
  <c r="AK1367" i="1" a="1"/>
  <c r="AK1367" i="1" s="1"/>
  <c r="AK1368" i="1" a="1"/>
  <c r="AK1368" i="1" s="1"/>
  <c r="AK1369" i="1" a="1"/>
  <c r="AK1369" i="1" s="1"/>
  <c r="AK1370" i="1" a="1"/>
  <c r="AK1370" i="1"/>
  <c r="AK1371" i="1" a="1"/>
  <c r="AK1371" i="1"/>
  <c r="AK1372" i="1" a="1"/>
  <c r="AK1372" i="1"/>
  <c r="AK1373" i="1" a="1"/>
  <c r="AK1373" i="1"/>
  <c r="AK1374" i="1" a="1"/>
  <c r="AK1374" i="1" s="1"/>
  <c r="AK1375" i="1" a="1"/>
  <c r="AK1375" i="1" s="1"/>
  <c r="AK1376" i="1" a="1"/>
  <c r="AK1376" i="1" s="1"/>
  <c r="AK1377" i="1" a="1"/>
  <c r="AK1377" i="1" s="1"/>
  <c r="AK1378" i="1" a="1"/>
  <c r="AK1378" i="1" s="1"/>
  <c r="AK1379" i="1" a="1"/>
  <c r="AK1379" i="1" s="1"/>
  <c r="AK1380" i="1" a="1"/>
  <c r="AK1380" i="1" s="1"/>
  <c r="AK1381" i="1" a="1"/>
  <c r="AK1381" i="1" s="1"/>
  <c r="AK1382" i="1" a="1"/>
  <c r="AK1382" i="1" s="1"/>
  <c r="AK1383" i="1" a="1"/>
  <c r="AK1383" i="1"/>
  <c r="AK1384" i="1" a="1"/>
  <c r="AK1384" i="1" s="1"/>
  <c r="AK1385" i="1" a="1"/>
  <c r="AK1385" i="1"/>
  <c r="AK1386" i="1" a="1"/>
  <c r="AK1386" i="1"/>
  <c r="AK1387" i="1" a="1"/>
  <c r="AK1387" i="1" s="1"/>
  <c r="AK1388" i="1" a="1"/>
  <c r="AK1388" i="1" s="1"/>
  <c r="AK1389" i="1" a="1"/>
  <c r="AK1389" i="1" s="1"/>
  <c r="AK1390" i="1" a="1"/>
  <c r="AK1390" i="1" s="1"/>
  <c r="AK1391" i="1" a="1"/>
  <c r="AK1391" i="1" s="1"/>
  <c r="AK1392" i="1" a="1"/>
  <c r="AK1392" i="1" s="1"/>
  <c r="AK1393" i="1" a="1"/>
  <c r="AK1393" i="1" s="1"/>
  <c r="AK1394" i="1" a="1"/>
  <c r="AK1394" i="1"/>
  <c r="AK1395" i="1" a="1"/>
  <c r="AK1395" i="1" s="1"/>
  <c r="AK1396" i="1" a="1"/>
  <c r="AK1396" i="1"/>
  <c r="AK1397" i="1" a="1"/>
  <c r="AK1397" i="1" s="1"/>
  <c r="AK1398" i="1" a="1"/>
  <c r="AK1398" i="1"/>
  <c r="AK1399" i="1" a="1"/>
  <c r="AK1399" i="1" s="1"/>
  <c r="AK1400" i="1" a="1"/>
  <c r="AK1400" i="1"/>
  <c r="AK1401" i="1" a="1"/>
  <c r="AK1401" i="1" s="1"/>
  <c r="AK1402" i="1" a="1"/>
  <c r="AK1402" i="1" s="1"/>
  <c r="AK1403" i="1" a="1"/>
  <c r="AK1403" i="1" s="1"/>
  <c r="AK1404" i="1" a="1"/>
  <c r="AK1404" i="1" s="1"/>
  <c r="AK1405" i="1" a="1"/>
  <c r="AK1405" i="1" s="1"/>
  <c r="AK1406" i="1" a="1"/>
  <c r="AK1406" i="1"/>
  <c r="AK1407" i="1" a="1"/>
  <c r="AK1407" i="1" s="1"/>
  <c r="AK1408" i="1" a="1"/>
  <c r="AK1408" i="1" s="1"/>
  <c r="AK1409" i="1" a="1"/>
  <c r="AK1409" i="1"/>
  <c r="AK1410" i="1" a="1"/>
  <c r="AK1410" i="1" s="1"/>
  <c r="AK1411" i="1" a="1"/>
  <c r="AK1411" i="1" s="1"/>
  <c r="AK1412" i="1" a="1"/>
  <c r="AK1412" i="1" s="1"/>
  <c r="AK1413" i="1" a="1"/>
  <c r="AK1413" i="1"/>
  <c r="AK1414" i="1" a="1"/>
  <c r="AK1414" i="1" s="1"/>
  <c r="AK1415" i="1" a="1"/>
  <c r="AK1415" i="1" s="1"/>
  <c r="AK1416" i="1" a="1"/>
  <c r="AK1416" i="1" s="1"/>
  <c r="AK1417" i="1" a="1"/>
  <c r="AK1417" i="1" s="1"/>
  <c r="AK1418" i="1" a="1"/>
  <c r="AK1418" i="1"/>
  <c r="AK1419" i="1" a="1"/>
  <c r="AK1419" i="1"/>
  <c r="AK1420" i="1" a="1"/>
  <c r="AK1420" i="1"/>
  <c r="AK1421" i="1" a="1"/>
  <c r="AK1421" i="1" s="1"/>
  <c r="AK1422" i="1" a="1"/>
  <c r="AK1422" i="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c r="AK1432" i="1" a="1"/>
  <c r="AK1432" i="1"/>
  <c r="AK1433" i="1" a="1"/>
  <c r="AK1433" i="1" s="1"/>
  <c r="AK1434" i="1" a="1"/>
  <c r="AK1434" i="1" s="1"/>
  <c r="AK1435" i="1" a="1"/>
  <c r="AK1435" i="1" s="1"/>
  <c r="AK1436" i="1" a="1"/>
  <c r="AK1436" i="1" s="1"/>
  <c r="AK1437" i="1" a="1"/>
  <c r="AK1437" i="1" s="1"/>
  <c r="AK1438" i="1" a="1"/>
  <c r="AK1438" i="1" s="1"/>
  <c r="AK1439" i="1" a="1"/>
  <c r="AK1439" i="1"/>
  <c r="AK1440" i="1" a="1"/>
  <c r="AK1440" i="1" s="1"/>
  <c r="AK1441" i="1" a="1"/>
  <c r="AK1441" i="1" s="1"/>
  <c r="AK1442" i="1" a="1"/>
  <c r="AK1442" i="1"/>
  <c r="AK1443" i="1" a="1"/>
  <c r="AK1443" i="1" s="1"/>
  <c r="AK1444" i="1" a="1"/>
  <c r="AK1444" i="1"/>
  <c r="AK1445" i="1" a="1"/>
  <c r="AK1445" i="1"/>
  <c r="AK1446" i="1" a="1"/>
  <c r="AK1446" i="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c r="AK1456" i="1" a="1"/>
  <c r="AK1456" i="1" s="1"/>
  <c r="AK1457" i="1" a="1"/>
  <c r="AK1457" i="1"/>
  <c r="AK1458" i="1" a="1"/>
  <c r="AK1458" i="1"/>
  <c r="AK1459" i="1" a="1"/>
  <c r="AK1459" i="1" s="1"/>
  <c r="AK1460" i="1" a="1"/>
  <c r="AK1460" i="1" s="1"/>
  <c r="AK1461" i="1" a="1"/>
  <c r="AK1461" i="1" s="1"/>
  <c r="AK1462" i="1" a="1"/>
  <c r="AK1462" i="1" s="1"/>
  <c r="AK1463" i="1" a="1"/>
  <c r="AK1463" i="1" s="1"/>
  <c r="AK1464" i="1" a="1"/>
  <c r="AK1464" i="1" s="1"/>
  <c r="AK1465" i="1" a="1"/>
  <c r="AK1465" i="1" s="1"/>
  <c r="AK1466" i="1" a="1"/>
  <c r="AK1466" i="1"/>
  <c r="AK1467" i="1" a="1"/>
  <c r="AK1467" i="1" s="1"/>
  <c r="AK1468" i="1" a="1"/>
  <c r="AK1468" i="1"/>
  <c r="AK1469" i="1" a="1"/>
  <c r="AK1469" i="1" s="1"/>
  <c r="AK1470" i="1" a="1"/>
  <c r="AK1470" i="1"/>
  <c r="AK1471" i="1" a="1"/>
  <c r="AK1471" i="1" s="1"/>
  <c r="AK2" i="1" a="1"/>
  <c r="AK2" i="1"/>
  <c r="AJ3" i="1" a="1"/>
  <c r="AJ3" i="1" s="1"/>
  <c r="AJ4" i="1" a="1"/>
  <c r="AJ4" i="1" s="1"/>
  <c r="AJ5" i="1" a="1"/>
  <c r="AJ5" i="1" s="1"/>
  <c r="AJ6" i="1" a="1"/>
  <c r="AJ6" i="1" s="1"/>
  <c r="AJ7" i="1" a="1"/>
  <c r="AJ7" i="1" s="1"/>
  <c r="AJ8" i="1" a="1"/>
  <c r="AJ8" i="1"/>
  <c r="AJ9" i="1" a="1"/>
  <c r="AJ9" i="1" s="1"/>
  <c r="AJ10" i="1" a="1"/>
  <c r="AJ10" i="1" s="1"/>
  <c r="AJ11" i="1" a="1"/>
  <c r="AJ11" i="1" s="1"/>
  <c r="AJ12" i="1" a="1"/>
  <c r="AJ12" i="1" s="1"/>
  <c r="AJ13" i="1" a="1"/>
  <c r="AJ13" i="1" s="1"/>
  <c r="AJ14" i="1" a="1"/>
  <c r="AJ14" i="1" s="1"/>
  <c r="AJ15" i="1" a="1"/>
  <c r="AJ15" i="1" s="1"/>
  <c r="AJ16" i="1" a="1"/>
  <c r="AJ16" i="1" s="1"/>
  <c r="AJ17" i="1" a="1"/>
  <c r="AJ17" i="1"/>
  <c r="AJ18" i="1" a="1"/>
  <c r="AJ18" i="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c r="AJ36" i="1" a="1"/>
  <c r="AJ36" i="1" s="1"/>
  <c r="AJ37" i="1" a="1"/>
  <c r="AJ37" i="1" s="1"/>
  <c r="AJ38" i="1" a="1"/>
  <c r="AJ38" i="1" s="1"/>
  <c r="AJ39" i="1" a="1"/>
  <c r="AJ39" i="1" s="1"/>
  <c r="AJ40" i="1" a="1"/>
  <c r="AJ40" i="1" s="1"/>
  <c r="AJ41" i="1" a="1"/>
  <c r="AJ41" i="1" s="1"/>
  <c r="AJ42" i="1" a="1"/>
  <c r="AJ42" i="1" s="1"/>
  <c r="AJ43" i="1" a="1"/>
  <c r="AJ43" i="1" s="1"/>
  <c r="AJ44" i="1" a="1"/>
  <c r="AJ44" i="1"/>
  <c r="AJ45" i="1" a="1"/>
  <c r="AJ45" i="1" s="1"/>
  <c r="AJ46" i="1" a="1"/>
  <c r="AJ46" i="1" s="1"/>
  <c r="AJ47" i="1" a="1"/>
  <c r="AJ47" i="1"/>
  <c r="AJ48" i="1" a="1"/>
  <c r="AJ48" i="1"/>
  <c r="AJ49" i="1" a="1"/>
  <c r="AJ49" i="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c r="AJ67" i="1" a="1"/>
  <c r="AJ67" i="1" s="1"/>
  <c r="AJ68" i="1" a="1"/>
  <c r="AJ68" i="1" s="1"/>
  <c r="AJ69" i="1" a="1"/>
  <c r="AJ69" i="1" s="1"/>
  <c r="AJ70" i="1" a="1"/>
  <c r="AJ70" i="1" s="1"/>
  <c r="AJ71" i="1" a="1"/>
  <c r="AJ71" i="1" s="1"/>
  <c r="AJ72" i="1" a="1"/>
  <c r="AJ72" i="1" s="1"/>
  <c r="AJ73" i="1" a="1"/>
  <c r="AJ73" i="1"/>
  <c r="AJ74" i="1" a="1"/>
  <c r="AJ74" i="1" s="1"/>
  <c r="AJ75" i="1" a="1"/>
  <c r="AJ75" i="1" s="1"/>
  <c r="AJ76" i="1" a="1"/>
  <c r="AJ76" i="1" s="1"/>
  <c r="AJ77" i="1" a="1"/>
  <c r="AJ77" i="1"/>
  <c r="AJ78" i="1" a="1"/>
  <c r="AJ78" i="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c r="AJ90" i="1" a="1"/>
  <c r="AJ90" i="1" s="1"/>
  <c r="AJ91" i="1" a="1"/>
  <c r="AJ91" i="1" s="1"/>
  <c r="AJ92" i="1" a="1"/>
  <c r="AJ92" i="1"/>
  <c r="AJ93" i="1" a="1"/>
  <c r="AJ93" i="1" s="1"/>
  <c r="AJ94" i="1" a="1"/>
  <c r="AJ94" i="1" s="1"/>
  <c r="AJ95" i="1" a="1"/>
  <c r="AJ95" i="1"/>
  <c r="AJ96" i="1" a="1"/>
  <c r="AJ96" i="1"/>
  <c r="AJ97" i="1" a="1"/>
  <c r="AJ97" i="1" s="1"/>
  <c r="AJ98" i="1" a="1"/>
  <c r="AJ98" i="1" s="1"/>
  <c r="AJ99" i="1" a="1"/>
  <c r="AJ99" i="1" s="1"/>
  <c r="AJ100" i="1" a="1"/>
  <c r="AJ100" i="1" s="1"/>
  <c r="AJ101" i="1" a="1"/>
  <c r="AJ101" i="1" s="1"/>
  <c r="AJ102" i="1" a="1"/>
  <c r="AJ102" i="1"/>
  <c r="AJ103" i="1" a="1"/>
  <c r="AJ103" i="1"/>
  <c r="AJ104" i="1" a="1"/>
  <c r="AJ104" i="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c r="AJ115" i="1" a="1"/>
  <c r="AJ115" i="1" s="1"/>
  <c r="AJ116" i="1" a="1"/>
  <c r="AJ116" i="1" s="1"/>
  <c r="AJ117" i="1" a="1"/>
  <c r="AJ117" i="1" s="1"/>
  <c r="AJ118" i="1" a="1"/>
  <c r="AJ118" i="1" s="1"/>
  <c r="AJ119" i="1" a="1"/>
  <c r="AJ119" i="1"/>
  <c r="AJ120" i="1" a="1"/>
  <c r="AJ120" i="1" s="1"/>
  <c r="AJ121" i="1" a="1"/>
  <c r="AJ121" i="1" s="1"/>
  <c r="AJ122" i="1" a="1"/>
  <c r="AJ122" i="1"/>
  <c r="AJ123" i="1" a="1"/>
  <c r="AJ123" i="1" s="1"/>
  <c r="AJ124" i="1" a="1"/>
  <c r="AJ124" i="1" s="1"/>
  <c r="AJ125" i="1" a="1"/>
  <c r="AJ125" i="1" s="1"/>
  <c r="AJ126" i="1" a="1"/>
  <c r="AJ126" i="1" s="1"/>
  <c r="AJ127" i="1" a="1"/>
  <c r="AJ127" i="1" s="1"/>
  <c r="AJ128" i="1" a="1"/>
  <c r="AJ128" i="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c r="AJ144" i="1" a="1"/>
  <c r="AJ144" i="1"/>
  <c r="AJ145" i="1" a="1"/>
  <c r="AJ145" i="1"/>
  <c r="AJ146" i="1" a="1"/>
  <c r="AJ146" i="1" s="1"/>
  <c r="AJ147" i="1" a="1"/>
  <c r="AJ147" i="1" s="1"/>
  <c r="AJ148" i="1" a="1"/>
  <c r="AJ148" i="1" s="1"/>
  <c r="AJ149" i="1" a="1"/>
  <c r="AJ149" i="1" s="1"/>
  <c r="AJ150" i="1" a="1"/>
  <c r="AJ150" i="1" s="1"/>
  <c r="AJ151" i="1" a="1"/>
  <c r="AJ151" i="1"/>
  <c r="AJ152" i="1" a="1"/>
  <c r="AJ152" i="1"/>
  <c r="AJ153" i="1" a="1"/>
  <c r="AJ153" i="1" s="1"/>
  <c r="AJ154" i="1" a="1"/>
  <c r="AJ154" i="1" s="1"/>
  <c r="AJ155" i="1" a="1"/>
  <c r="AJ155" i="1"/>
  <c r="AJ156" i="1" a="1"/>
  <c r="AJ156" i="1" s="1"/>
  <c r="AJ157" i="1" a="1"/>
  <c r="AJ157" i="1" s="1"/>
  <c r="AJ158" i="1" a="1"/>
  <c r="AJ158" i="1" s="1"/>
  <c r="AJ159" i="1" a="1"/>
  <c r="AJ159" i="1" s="1"/>
  <c r="AJ160" i="1" a="1"/>
  <c r="AJ160" i="1" s="1"/>
  <c r="AJ161" i="1" a="1"/>
  <c r="AJ161" i="1"/>
  <c r="AJ162" i="1" a="1"/>
  <c r="AJ162" i="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c r="AJ174" i="1" a="1"/>
  <c r="AJ174" i="1" s="1"/>
  <c r="AJ175" i="1" a="1"/>
  <c r="AJ175" i="1" s="1"/>
  <c r="AJ176" i="1" a="1"/>
  <c r="AJ176" i="1" s="1"/>
  <c r="AJ177" i="1" a="1"/>
  <c r="AJ177" i="1" s="1"/>
  <c r="AJ178" i="1" a="1"/>
  <c r="AJ178" i="1" s="1"/>
  <c r="AJ179" i="1" a="1"/>
  <c r="AJ179" i="1" s="1"/>
  <c r="AJ180" i="1" a="1"/>
  <c r="AJ180" i="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c r="AJ194" i="1" a="1"/>
  <c r="AJ194" i="1"/>
  <c r="AJ195" i="1" a="1"/>
  <c r="AJ195" i="1" s="1"/>
  <c r="AJ196" i="1" a="1"/>
  <c r="AJ196" i="1" s="1"/>
  <c r="AJ197" i="1" a="1"/>
  <c r="AJ197" i="1" s="1"/>
  <c r="AJ198" i="1" a="1"/>
  <c r="AJ198" i="1" s="1"/>
  <c r="AJ199" i="1" a="1"/>
  <c r="AJ199" i="1" s="1"/>
  <c r="AJ200" i="1" a="1"/>
  <c r="AJ200" i="1"/>
  <c r="AJ201" i="1" a="1"/>
  <c r="AJ201" i="1" s="1"/>
  <c r="AJ202" i="1" a="1"/>
  <c r="AJ202" i="1" s="1"/>
  <c r="AJ203" i="1" a="1"/>
  <c r="AJ203" i="1"/>
  <c r="AJ204" i="1" a="1"/>
  <c r="AJ204" i="1"/>
  <c r="AJ205" i="1" a="1"/>
  <c r="AJ205" i="1" s="1"/>
  <c r="AJ206" i="1" a="1"/>
  <c r="AJ206" i="1" s="1"/>
  <c r="AJ207" i="1" a="1"/>
  <c r="AJ207" i="1" s="1"/>
  <c r="AJ208" i="1" a="1"/>
  <c r="AJ208" i="1" s="1"/>
  <c r="AJ209" i="1" a="1"/>
  <c r="AJ209" i="1" s="1"/>
  <c r="AJ210" i="1" a="1"/>
  <c r="AJ210" i="1"/>
  <c r="AJ211" i="1" a="1"/>
  <c r="AJ211" i="1"/>
  <c r="AJ212" i="1" a="1"/>
  <c r="AJ212" i="1"/>
  <c r="AJ213" i="1" a="1"/>
  <c r="AJ213" i="1" s="1"/>
  <c r="AJ214" i="1" a="1"/>
  <c r="AJ214" i="1" s="1"/>
  <c r="AJ215" i="1" a="1"/>
  <c r="AJ215" i="1" s="1"/>
  <c r="AJ216" i="1" a="1"/>
  <c r="AJ216" i="1" s="1"/>
  <c r="AJ217" i="1" a="1"/>
  <c r="AJ217" i="1" s="1"/>
  <c r="AJ218" i="1" a="1"/>
  <c r="AJ218" i="1"/>
  <c r="AJ219" i="1" a="1"/>
  <c r="AJ219" i="1" s="1"/>
  <c r="AJ220" i="1" a="1"/>
  <c r="AJ220" i="1" s="1"/>
  <c r="AJ221" i="1" a="1"/>
  <c r="AJ221" i="1" s="1"/>
  <c r="AJ222" i="1" a="1"/>
  <c r="AJ222" i="1" s="1"/>
  <c r="AJ223" i="1" a="1"/>
  <c r="AJ223" i="1" s="1"/>
  <c r="AJ224" i="1" a="1"/>
  <c r="AJ224" i="1" s="1"/>
  <c r="AJ225" i="1" a="1"/>
  <c r="AJ225" i="1" s="1"/>
  <c r="AJ226" i="1" a="1"/>
  <c r="AJ226" i="1" s="1"/>
  <c r="AJ227" i="1" a="1"/>
  <c r="AJ227" i="1"/>
  <c r="AJ228" i="1" a="1"/>
  <c r="AJ228" i="1" s="1"/>
  <c r="AJ229" i="1" a="1"/>
  <c r="AJ229" i="1"/>
  <c r="AJ230" i="1" a="1"/>
  <c r="AJ230" i="1" s="1"/>
  <c r="AJ231" i="1" a="1"/>
  <c r="AJ231" i="1" s="1"/>
  <c r="AJ232" i="1" a="1"/>
  <c r="AJ232" i="1" s="1"/>
  <c r="AJ233" i="1" a="1"/>
  <c r="AJ233" i="1" s="1"/>
  <c r="AJ234" i="1" a="1"/>
  <c r="AJ234" i="1"/>
  <c r="AJ235" i="1" a="1"/>
  <c r="AJ235" i="1" s="1"/>
  <c r="AJ236" i="1" a="1"/>
  <c r="AJ236" i="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c r="AJ247" i="1" a="1"/>
  <c r="AJ247" i="1" s="1"/>
  <c r="AJ248" i="1" a="1"/>
  <c r="AJ248" i="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c r="AJ259" i="1" a="1"/>
  <c r="AJ259" i="1" s="1"/>
  <c r="AJ260" i="1" a="1"/>
  <c r="AJ260" i="1"/>
  <c r="AJ261" i="1" a="1"/>
  <c r="AJ261" i="1" s="1"/>
  <c r="AJ262" i="1" a="1"/>
  <c r="AJ262" i="1" s="1"/>
  <c r="AJ263" i="1" a="1"/>
  <c r="AJ263" i="1"/>
  <c r="AJ264" i="1" a="1"/>
  <c r="AJ264" i="1" s="1"/>
  <c r="AJ265" i="1" a="1"/>
  <c r="AJ265" i="1"/>
  <c r="AJ266" i="1" a="1"/>
  <c r="AJ266" i="1"/>
  <c r="AJ267" i="1" a="1"/>
  <c r="AJ267" i="1" s="1"/>
  <c r="AJ268" i="1" a="1"/>
  <c r="AJ268" i="1" s="1"/>
  <c r="AJ269" i="1" a="1"/>
  <c r="AJ269" i="1" s="1"/>
  <c r="AJ270" i="1" a="1"/>
  <c r="AJ270" i="1"/>
  <c r="AJ271" i="1" a="1"/>
  <c r="AJ271" i="1" s="1"/>
  <c r="AJ272" i="1" a="1"/>
  <c r="AJ272" i="1"/>
  <c r="AJ273" i="1" a="1"/>
  <c r="AJ273" i="1" s="1"/>
  <c r="AJ274" i="1" a="1"/>
  <c r="AJ274" i="1" s="1"/>
  <c r="AJ275" i="1" a="1"/>
  <c r="AJ275" i="1" s="1"/>
  <c r="AJ276" i="1" a="1"/>
  <c r="AJ276" i="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c r="AJ289" i="1" a="1"/>
  <c r="AJ289" i="1" s="1"/>
  <c r="AJ290" i="1" a="1"/>
  <c r="AJ290" i="1" s="1"/>
  <c r="AJ291" i="1" a="1"/>
  <c r="AJ291" i="1" s="1"/>
  <c r="AJ292" i="1" a="1"/>
  <c r="AJ292" i="1" s="1"/>
  <c r="AJ293" i="1" a="1"/>
  <c r="AJ293" i="1" s="1"/>
  <c r="AJ294" i="1" a="1"/>
  <c r="AJ294" i="1"/>
  <c r="AJ295" i="1" a="1"/>
  <c r="AJ295" i="1" s="1"/>
  <c r="AJ296" i="1" a="1"/>
  <c r="AJ296" i="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c r="AJ313" i="1" a="1"/>
  <c r="AJ313" i="1" s="1"/>
  <c r="AJ314" i="1" a="1"/>
  <c r="AJ314" i="1" s="1"/>
  <c r="AJ315" i="1" a="1"/>
  <c r="AJ315" i="1" s="1"/>
  <c r="AJ316" i="1" a="1"/>
  <c r="AJ316" i="1" s="1"/>
  <c r="AJ317" i="1" a="1"/>
  <c r="AJ317" i="1"/>
  <c r="AJ318" i="1" a="1"/>
  <c r="AJ318" i="1" s="1"/>
  <c r="AJ319" i="1" a="1"/>
  <c r="AJ319" i="1" s="1"/>
  <c r="AJ320" i="1" a="1"/>
  <c r="AJ320" i="1" s="1"/>
  <c r="AJ321" i="1" a="1"/>
  <c r="AJ321" i="1" s="1"/>
  <c r="AJ322" i="1" a="1"/>
  <c r="AJ322" i="1" s="1"/>
  <c r="AJ323" i="1" a="1"/>
  <c r="AJ323" i="1"/>
  <c r="AJ324" i="1" a="1"/>
  <c r="AJ324" i="1"/>
  <c r="AJ325" i="1" a="1"/>
  <c r="AJ325" i="1" s="1"/>
  <c r="AJ326" i="1" a="1"/>
  <c r="AJ326" i="1" s="1"/>
  <c r="AJ327" i="1" a="1"/>
  <c r="AJ327" i="1" s="1"/>
  <c r="AJ328" i="1" a="1"/>
  <c r="AJ328" i="1" s="1"/>
  <c r="AJ329" i="1" a="1"/>
  <c r="AJ329" i="1" s="1"/>
  <c r="AJ330" i="1" a="1"/>
  <c r="AJ330" i="1"/>
  <c r="AJ331" i="1" a="1"/>
  <c r="AJ331" i="1" s="1"/>
  <c r="AJ332" i="1" a="1"/>
  <c r="AJ332" i="1"/>
  <c r="AJ333" i="1" a="1"/>
  <c r="AJ333" i="1" s="1"/>
  <c r="AJ334" i="1" a="1"/>
  <c r="AJ334" i="1" s="1"/>
  <c r="AJ335" i="1" a="1"/>
  <c r="AJ335" i="1" s="1"/>
  <c r="AJ336" i="1" a="1"/>
  <c r="AJ336" i="1" s="1"/>
  <c r="AJ337" i="1" a="1"/>
  <c r="AJ337" i="1" s="1"/>
  <c r="AJ338" i="1" a="1"/>
  <c r="AJ338" i="1" s="1"/>
  <c r="AJ339" i="1" a="1"/>
  <c r="AJ339" i="1" s="1"/>
  <c r="AJ340" i="1" a="1"/>
  <c r="AJ340" i="1" s="1"/>
  <c r="AJ341" i="1" a="1"/>
  <c r="AJ341" i="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c r="AJ356" i="1" a="1"/>
  <c r="AJ356" i="1" s="1"/>
  <c r="AJ357" i="1" a="1"/>
  <c r="AJ357" i="1" s="1"/>
  <c r="AJ358" i="1" a="1"/>
  <c r="AJ358" i="1" s="1"/>
  <c r="AJ359" i="1" a="1"/>
  <c r="AJ359" i="1"/>
  <c r="AJ360" i="1" a="1"/>
  <c r="AJ360" i="1" s="1"/>
  <c r="AJ361" i="1" a="1"/>
  <c r="AJ361" i="1"/>
  <c r="AJ362" i="1" a="1"/>
  <c r="AJ362" i="1" s="1"/>
  <c r="AJ363" i="1" a="1"/>
  <c r="AJ363" i="1" s="1"/>
  <c r="AJ364" i="1" a="1"/>
  <c r="AJ364" i="1" s="1"/>
  <c r="AJ365" i="1" a="1"/>
  <c r="AJ365" i="1" s="1"/>
  <c r="AJ366" i="1" a="1"/>
  <c r="AJ366" i="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c r="AJ381" i="1" a="1"/>
  <c r="AJ381" i="1" s="1"/>
  <c r="AJ382" i="1" a="1"/>
  <c r="AJ382" i="1" s="1"/>
  <c r="AJ383" i="1" a="1"/>
  <c r="AJ383" i="1" s="1"/>
  <c r="AJ384" i="1" a="1"/>
  <c r="AJ384" i="1" s="1"/>
  <c r="AJ385" i="1" a="1"/>
  <c r="AJ385" i="1" s="1"/>
  <c r="AJ386" i="1" a="1"/>
  <c r="AJ386" i="1" s="1"/>
  <c r="AJ387" i="1" a="1"/>
  <c r="AJ387" i="1" s="1"/>
  <c r="AJ388" i="1" a="1"/>
  <c r="AJ388" i="1" s="1"/>
  <c r="AJ389" i="1" a="1"/>
  <c r="AJ389" i="1"/>
  <c r="AJ390" i="1" a="1"/>
  <c r="AJ390" i="1"/>
  <c r="AJ391" i="1" a="1"/>
  <c r="AJ391" i="1" s="1"/>
  <c r="AJ392" i="1" a="1"/>
  <c r="AJ392" i="1" s="1"/>
  <c r="AJ393" i="1" a="1"/>
  <c r="AJ393" i="1" s="1"/>
  <c r="AJ394" i="1" a="1"/>
  <c r="AJ394" i="1" s="1"/>
  <c r="AJ395" i="1" a="1"/>
  <c r="AJ395" i="1"/>
  <c r="AJ396" i="1" a="1"/>
  <c r="AJ396" i="1"/>
  <c r="AJ397" i="1" a="1"/>
  <c r="AJ397" i="1"/>
  <c r="AJ398" i="1" a="1"/>
  <c r="AJ398" i="1"/>
  <c r="AJ399" i="1" a="1"/>
  <c r="AJ399" i="1" s="1"/>
  <c r="AJ400" i="1" a="1"/>
  <c r="AJ400" i="1" s="1"/>
  <c r="AJ401" i="1" a="1"/>
  <c r="AJ401" i="1" s="1"/>
  <c r="AJ402" i="1" a="1"/>
  <c r="AJ402" i="1" s="1"/>
  <c r="AJ403" i="1" a="1"/>
  <c r="AJ403" i="1" s="1"/>
  <c r="AJ404" i="1" a="1"/>
  <c r="AJ404" i="1"/>
  <c r="AJ405" i="1" a="1"/>
  <c r="AJ405" i="1" s="1"/>
  <c r="AJ406" i="1" a="1"/>
  <c r="AJ406" i="1" s="1"/>
  <c r="AJ407" i="1" a="1"/>
  <c r="AJ407" i="1" s="1"/>
  <c r="AJ408" i="1" a="1"/>
  <c r="AJ408" i="1" s="1"/>
  <c r="AJ409" i="1" a="1"/>
  <c r="AJ409" i="1"/>
  <c r="AJ410" i="1" a="1"/>
  <c r="AJ410" i="1" s="1"/>
  <c r="AJ411" i="1" a="1"/>
  <c r="AJ411" i="1" s="1"/>
  <c r="AJ412" i="1" a="1"/>
  <c r="AJ412" i="1" s="1"/>
  <c r="AJ413" i="1" a="1"/>
  <c r="AJ413" i="1"/>
  <c r="AJ414" i="1" a="1"/>
  <c r="AJ414" i="1" s="1"/>
  <c r="AJ415" i="1" a="1"/>
  <c r="AJ415" i="1" s="1"/>
  <c r="AJ416" i="1" a="1"/>
  <c r="AJ416" i="1"/>
  <c r="AJ417" i="1" a="1"/>
  <c r="AJ417" i="1" s="1"/>
  <c r="AJ418" i="1" a="1"/>
  <c r="AJ418" i="1" s="1"/>
  <c r="AJ419" i="1" a="1"/>
  <c r="AJ419" i="1" s="1"/>
  <c r="AJ420" i="1" a="1"/>
  <c r="AJ420" i="1" s="1"/>
  <c r="AJ421" i="1" a="1"/>
  <c r="AJ421" i="1" s="1"/>
  <c r="AJ422" i="1" a="1"/>
  <c r="AJ422" i="1" s="1"/>
  <c r="AJ423" i="1" a="1"/>
  <c r="AJ423" i="1" s="1"/>
  <c r="AJ424" i="1" a="1"/>
  <c r="AJ424" i="1" s="1"/>
  <c r="AJ425" i="1" a="1"/>
  <c r="AJ425" i="1"/>
  <c r="AJ426" i="1" a="1"/>
  <c r="AJ426" i="1" s="1"/>
  <c r="AJ427" i="1" a="1"/>
  <c r="AJ427" i="1" s="1"/>
  <c r="AJ428" i="1" a="1"/>
  <c r="AJ428" i="1" s="1"/>
  <c r="AJ429" i="1" a="1"/>
  <c r="AJ429" i="1" s="1"/>
  <c r="AJ430" i="1" a="1"/>
  <c r="AJ430" i="1" s="1"/>
  <c r="AJ431" i="1" a="1"/>
  <c r="AJ431" i="1"/>
  <c r="AJ432" i="1" a="1"/>
  <c r="AJ432" i="1"/>
  <c r="AJ433" i="1" a="1"/>
  <c r="AJ433" i="1"/>
  <c r="AJ434" i="1" a="1"/>
  <c r="AJ434" i="1" s="1"/>
  <c r="AJ435" i="1" a="1"/>
  <c r="AJ435" i="1" s="1"/>
  <c r="AJ436" i="1" a="1"/>
  <c r="AJ436" i="1" s="1"/>
  <c r="AJ437" i="1" a="1"/>
  <c r="AJ437" i="1" s="1"/>
  <c r="AJ438" i="1" a="1"/>
  <c r="AJ438" i="1" s="1"/>
  <c r="AJ439" i="1" a="1"/>
  <c r="AJ439" i="1"/>
  <c r="AJ440" i="1" a="1"/>
  <c r="AJ440" i="1"/>
  <c r="AJ441" i="1" a="1"/>
  <c r="AJ441" i="1" s="1"/>
  <c r="AJ442" i="1" a="1"/>
  <c r="AJ442" i="1" s="1"/>
  <c r="AJ443" i="1" a="1"/>
  <c r="AJ443" i="1" s="1"/>
  <c r="AJ444" i="1" a="1"/>
  <c r="AJ444" i="1" s="1"/>
  <c r="AJ445" i="1" a="1"/>
  <c r="AJ445" i="1" s="1"/>
  <c r="AJ446" i="1" a="1"/>
  <c r="AJ446" i="1" s="1"/>
  <c r="AJ447" i="1" a="1"/>
  <c r="AJ447" i="1" s="1"/>
  <c r="AJ448" i="1" a="1"/>
  <c r="AJ448" i="1" s="1"/>
  <c r="AJ449" i="1" a="1"/>
  <c r="AJ449" i="1"/>
  <c r="AJ450" i="1" a="1"/>
  <c r="AJ450" i="1" s="1"/>
  <c r="AJ451" i="1" a="1"/>
  <c r="AJ451" i="1" s="1"/>
  <c r="AJ452" i="1" a="1"/>
  <c r="AJ452" i="1"/>
  <c r="AJ453" i="1" a="1"/>
  <c r="AJ453" i="1" s="1"/>
  <c r="AJ454" i="1" a="1"/>
  <c r="AJ454" i="1" s="1"/>
  <c r="AJ455" i="1" a="1"/>
  <c r="AJ455" i="1" s="1"/>
  <c r="AJ456" i="1" a="1"/>
  <c r="AJ456" i="1"/>
  <c r="AJ457" i="1" a="1"/>
  <c r="AJ457" i="1" s="1"/>
  <c r="AJ458" i="1" a="1"/>
  <c r="AJ458" i="1" s="1"/>
  <c r="AJ459" i="1" a="1"/>
  <c r="AJ459" i="1" s="1"/>
  <c r="AJ460" i="1" a="1"/>
  <c r="AJ460" i="1" s="1"/>
  <c r="AJ461" i="1" a="1"/>
  <c r="AJ461" i="1" s="1"/>
  <c r="AJ462" i="1" a="1"/>
  <c r="AJ462" i="1" s="1"/>
  <c r="AJ463" i="1" a="1"/>
  <c r="AJ463" i="1"/>
  <c r="AJ464" i="1" a="1"/>
  <c r="AJ464" i="1" s="1"/>
  <c r="AJ465" i="1" a="1"/>
  <c r="AJ465" i="1" s="1"/>
  <c r="AJ466" i="1" a="1"/>
  <c r="AJ466" i="1" s="1"/>
  <c r="AJ467" i="1" a="1"/>
  <c r="AJ467" i="1"/>
  <c r="AJ468" i="1" a="1"/>
  <c r="AJ468" i="1" s="1"/>
  <c r="AJ469" i="1" a="1"/>
  <c r="AJ469" i="1"/>
  <c r="AJ470" i="1" a="1"/>
  <c r="AJ470" i="1" s="1"/>
  <c r="AJ471" i="1" a="1"/>
  <c r="AJ471" i="1" s="1"/>
  <c r="AJ472" i="1" a="1"/>
  <c r="AJ472" i="1" s="1"/>
  <c r="AJ473" i="1" a="1"/>
  <c r="AJ473" i="1" s="1"/>
  <c r="AJ474" i="1" a="1"/>
  <c r="AJ474" i="1"/>
  <c r="AJ475" i="1" a="1"/>
  <c r="AJ475" i="1" s="1"/>
  <c r="AJ476" i="1" a="1"/>
  <c r="AJ476" i="1"/>
  <c r="AJ477" i="1" a="1"/>
  <c r="AJ477" i="1" s="1"/>
  <c r="AJ478" i="1" a="1"/>
  <c r="AJ478" i="1" s="1"/>
  <c r="AJ479" i="1" a="1"/>
  <c r="AJ479" i="1" s="1"/>
  <c r="AJ480" i="1" a="1"/>
  <c r="AJ480" i="1" s="1"/>
  <c r="AJ481" i="1" a="1"/>
  <c r="AJ481" i="1"/>
  <c r="AJ482" i="1" a="1"/>
  <c r="AJ482" i="1" s="1"/>
  <c r="AJ483" i="1" a="1"/>
  <c r="AJ483" i="1" s="1"/>
  <c r="AJ484" i="1" a="1"/>
  <c r="AJ484" i="1" s="1"/>
  <c r="AJ485" i="1" a="1"/>
  <c r="AJ485" i="1"/>
  <c r="AJ486" i="1" a="1"/>
  <c r="AJ486" i="1"/>
  <c r="AJ487" i="1" a="1"/>
  <c r="AJ487" i="1" s="1"/>
  <c r="AJ488" i="1" a="1"/>
  <c r="AJ488" i="1" s="1"/>
  <c r="AJ489" i="1" a="1"/>
  <c r="AJ489" i="1" s="1"/>
  <c r="AJ490" i="1" a="1"/>
  <c r="AJ490" i="1" s="1"/>
  <c r="AJ491" i="1" a="1"/>
  <c r="AJ491" i="1" s="1"/>
  <c r="AJ492" i="1" a="1"/>
  <c r="AJ492" i="1"/>
  <c r="AJ493" i="1" a="1"/>
  <c r="AJ493" i="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c r="AJ504" i="1" a="1"/>
  <c r="AJ504" i="1"/>
  <c r="AJ505" i="1" a="1"/>
  <c r="AJ505" i="1" s="1"/>
  <c r="AJ506" i="1" a="1"/>
  <c r="AJ506" i="1" s="1"/>
  <c r="AJ507" i="1" a="1"/>
  <c r="AJ507" i="1" s="1"/>
  <c r="AJ508" i="1" a="1"/>
  <c r="AJ508" i="1" s="1"/>
  <c r="AJ509" i="1" a="1"/>
  <c r="AJ509" i="1" s="1"/>
  <c r="AJ510" i="1" a="1"/>
  <c r="AJ510" i="1"/>
  <c r="AJ511" i="1" a="1"/>
  <c r="AJ511" i="1"/>
  <c r="AJ512" i="1" a="1"/>
  <c r="AJ512" i="1"/>
  <c r="AJ513" i="1" a="1"/>
  <c r="AJ513" i="1" s="1"/>
  <c r="AJ514" i="1" a="1"/>
  <c r="AJ514" i="1" s="1"/>
  <c r="AJ515" i="1" a="1"/>
  <c r="AJ515" i="1" s="1"/>
  <c r="AJ516" i="1" a="1"/>
  <c r="AJ516" i="1" s="1"/>
  <c r="AJ517" i="1" a="1"/>
  <c r="AJ517" i="1"/>
  <c r="AJ518" i="1" a="1"/>
  <c r="AJ518" i="1"/>
  <c r="AJ519" i="1" a="1"/>
  <c r="AJ519" i="1" s="1"/>
  <c r="AJ520" i="1" a="1"/>
  <c r="AJ520" i="1" s="1"/>
  <c r="AJ521" i="1" a="1"/>
  <c r="AJ521" i="1" s="1"/>
  <c r="AJ522" i="1" a="1"/>
  <c r="AJ522" i="1" s="1"/>
  <c r="AJ523" i="1" a="1"/>
  <c r="AJ523" i="1" s="1"/>
  <c r="AJ524" i="1" a="1"/>
  <c r="AJ524" i="1" s="1"/>
  <c r="AJ525" i="1" a="1"/>
  <c r="AJ525" i="1"/>
  <c r="AJ526" i="1" a="1"/>
  <c r="AJ526" i="1" s="1"/>
  <c r="AJ527" i="1" a="1"/>
  <c r="AJ527" i="1" s="1"/>
  <c r="AJ528" i="1" a="1"/>
  <c r="AJ528" i="1"/>
  <c r="AJ529" i="1" a="1"/>
  <c r="AJ529" i="1"/>
  <c r="AJ530" i="1" a="1"/>
  <c r="AJ530" i="1" s="1"/>
  <c r="AJ531" i="1" a="1"/>
  <c r="AJ531" i="1"/>
  <c r="AJ532" i="1" a="1"/>
  <c r="AJ532" i="1" s="1"/>
  <c r="AJ533" i="1" a="1"/>
  <c r="AJ533" i="1" s="1"/>
  <c r="AJ534" i="1" a="1"/>
  <c r="AJ534" i="1" s="1"/>
  <c r="AJ535" i="1" a="1"/>
  <c r="AJ535" i="1"/>
  <c r="AJ536" i="1" a="1"/>
  <c r="AJ536" i="1"/>
  <c r="AJ537" i="1" a="1"/>
  <c r="AJ537" i="1" s="1"/>
  <c r="AJ538" i="1" a="1"/>
  <c r="AJ538" i="1" s="1"/>
  <c r="AJ539" i="1" a="1"/>
  <c r="AJ539" i="1" s="1"/>
  <c r="AJ540" i="1" a="1"/>
  <c r="AJ540" i="1" s="1"/>
  <c r="AJ541" i="1" a="1"/>
  <c r="AJ541" i="1"/>
  <c r="AJ542" i="1" a="1"/>
  <c r="AJ542" i="1"/>
  <c r="AJ543" i="1" a="1"/>
  <c r="AJ543" i="1"/>
  <c r="AJ544" i="1" a="1"/>
  <c r="AJ544" i="1" s="1"/>
  <c r="AJ545" i="1" a="1"/>
  <c r="AJ545" i="1" s="1"/>
  <c r="AJ546" i="1" a="1"/>
  <c r="AJ546" i="1" s="1"/>
  <c r="AJ547" i="1" a="1"/>
  <c r="AJ547" i="1"/>
  <c r="AJ548" i="1" a="1"/>
  <c r="AJ548" i="1" s="1"/>
  <c r="AJ549" i="1" a="1"/>
  <c r="AJ549" i="1" s="1"/>
  <c r="AJ550" i="1" a="1"/>
  <c r="AJ550" i="1"/>
  <c r="AJ551" i="1" a="1"/>
  <c r="AJ551" i="1" s="1"/>
  <c r="AJ552" i="1" a="1"/>
  <c r="AJ552" i="1" s="1"/>
  <c r="AJ553" i="1" a="1"/>
  <c r="AJ553" i="1" s="1"/>
  <c r="AJ554" i="1" a="1"/>
  <c r="AJ554" i="1" s="1"/>
  <c r="AJ555" i="1" a="1"/>
  <c r="AJ555" i="1" s="1"/>
  <c r="AJ556" i="1" a="1"/>
  <c r="AJ556" i="1"/>
  <c r="AJ557" i="1" a="1"/>
  <c r="AJ557" i="1" s="1"/>
  <c r="AJ558" i="1" a="1"/>
  <c r="AJ558" i="1"/>
  <c r="AJ559" i="1" a="1"/>
  <c r="AJ559" i="1" s="1"/>
  <c r="AJ560" i="1" a="1"/>
  <c r="AJ560" i="1"/>
  <c r="AJ561" i="1" a="1"/>
  <c r="AJ561" i="1" s="1"/>
  <c r="AJ562" i="1" a="1"/>
  <c r="AJ562" i="1" s="1"/>
  <c r="AJ563" i="1" a="1"/>
  <c r="AJ563" i="1" s="1"/>
  <c r="AJ564" i="1" a="1"/>
  <c r="AJ564" i="1" s="1"/>
  <c r="AJ565" i="1" a="1"/>
  <c r="AJ565" i="1" s="1"/>
  <c r="AJ566" i="1" a="1"/>
  <c r="AJ566" i="1" s="1"/>
  <c r="AJ567" i="1" a="1"/>
  <c r="AJ567" i="1" s="1"/>
  <c r="AJ568" i="1" a="1"/>
  <c r="AJ568" i="1"/>
  <c r="AJ569" i="1" a="1"/>
  <c r="AJ569" i="1" s="1"/>
  <c r="AJ570" i="1" a="1"/>
  <c r="AJ570" i="1"/>
  <c r="AJ571" i="1" a="1"/>
  <c r="AJ571" i="1" s="1"/>
  <c r="AJ572" i="1" a="1"/>
  <c r="AJ572" i="1" s="1"/>
  <c r="AJ573" i="1" a="1"/>
  <c r="AJ573" i="1"/>
  <c r="AJ574" i="1" a="1"/>
  <c r="AJ574" i="1"/>
  <c r="AJ575" i="1" a="1"/>
  <c r="AJ575" i="1" s="1"/>
  <c r="AJ576" i="1" a="1"/>
  <c r="AJ576" i="1" s="1"/>
  <c r="AJ577" i="1" a="1"/>
  <c r="AJ577" i="1"/>
  <c r="AJ578" i="1" a="1"/>
  <c r="AJ578" i="1" s="1"/>
  <c r="AJ579" i="1" a="1"/>
  <c r="AJ579" i="1" s="1"/>
  <c r="AJ580" i="1" a="1"/>
  <c r="AJ580" i="1" s="1"/>
  <c r="AJ581" i="1" a="1"/>
  <c r="AJ581" i="1" s="1"/>
  <c r="AJ582" i="1" a="1"/>
  <c r="AJ582" i="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c r="AJ597" i="1" a="1"/>
  <c r="AJ597" i="1" s="1"/>
  <c r="AJ598" i="1" a="1"/>
  <c r="AJ598" i="1" s="1"/>
  <c r="AJ599" i="1" a="1"/>
  <c r="AJ599" i="1" s="1"/>
  <c r="AJ600" i="1" a="1"/>
  <c r="AJ600" i="1"/>
  <c r="AJ601" i="1" a="1"/>
  <c r="AJ601" i="1" s="1"/>
  <c r="AJ602" i="1" a="1"/>
  <c r="AJ602" i="1"/>
  <c r="AJ603" i="1" a="1"/>
  <c r="AJ603" i="1" s="1"/>
  <c r="AJ604" i="1" a="1"/>
  <c r="AJ604" i="1" s="1"/>
  <c r="AJ605" i="1" a="1"/>
  <c r="AJ605" i="1" s="1"/>
  <c r="AJ606" i="1" a="1"/>
  <c r="AJ606" i="1"/>
  <c r="AJ607" i="1" a="1"/>
  <c r="AJ607" i="1"/>
  <c r="AJ608" i="1" a="1"/>
  <c r="AJ608" i="1" s="1"/>
  <c r="AJ609" i="1" a="1"/>
  <c r="AJ609" i="1"/>
  <c r="AJ610" i="1" a="1"/>
  <c r="AJ610" i="1" s="1"/>
  <c r="AJ611" i="1" a="1"/>
  <c r="AJ611" i="1" s="1"/>
  <c r="AJ612" i="1" a="1"/>
  <c r="AJ612" i="1" s="1"/>
  <c r="AJ613" i="1" a="1"/>
  <c r="AJ613" i="1"/>
  <c r="AJ614" i="1" a="1"/>
  <c r="AJ614" i="1"/>
  <c r="AJ615" i="1" a="1"/>
  <c r="AJ615" i="1" s="1"/>
  <c r="AJ616" i="1" a="1"/>
  <c r="AJ616" i="1"/>
  <c r="AJ617" i="1" a="1"/>
  <c r="AJ617" i="1" s="1"/>
  <c r="AJ618" i="1" a="1"/>
  <c r="AJ618" i="1" s="1"/>
  <c r="AJ619" i="1" a="1"/>
  <c r="AJ619" i="1" s="1"/>
  <c r="AJ620" i="1" a="1"/>
  <c r="AJ620" i="1"/>
  <c r="AJ621" i="1" a="1"/>
  <c r="AJ621" i="1"/>
  <c r="AJ622" i="1" a="1"/>
  <c r="AJ622" i="1" s="1"/>
  <c r="AJ623" i="1" a="1"/>
  <c r="AJ623" i="1" s="1"/>
  <c r="AJ624" i="1" a="1"/>
  <c r="AJ624" i="1" s="1"/>
  <c r="AJ625" i="1" a="1"/>
  <c r="AJ625" i="1" s="1"/>
  <c r="AJ626" i="1" a="1"/>
  <c r="AJ626" i="1"/>
  <c r="AJ627" i="1" a="1"/>
  <c r="AJ627" i="1"/>
  <c r="AJ628" i="1" a="1"/>
  <c r="AJ628" i="1"/>
  <c r="AJ629" i="1" a="1"/>
  <c r="AJ629" i="1" s="1"/>
  <c r="AJ630" i="1" a="1"/>
  <c r="AJ630" i="1" s="1"/>
  <c r="AJ631" i="1" a="1"/>
  <c r="AJ631" i="1" s="1"/>
  <c r="AJ632" i="1" a="1"/>
  <c r="AJ632" i="1" s="1"/>
  <c r="AJ633" i="1" a="1"/>
  <c r="AJ633" i="1"/>
  <c r="AJ634" i="1" a="1"/>
  <c r="AJ634" i="1" s="1"/>
  <c r="AJ635" i="1" a="1"/>
  <c r="AJ635" i="1" s="1"/>
  <c r="AJ636" i="1" a="1"/>
  <c r="AJ636" i="1"/>
  <c r="AJ637" i="1" a="1"/>
  <c r="AJ637" i="1" s="1"/>
  <c r="AJ638" i="1" a="1"/>
  <c r="AJ638" i="1" s="1"/>
  <c r="AJ639" i="1" a="1"/>
  <c r="AJ639" i="1" s="1"/>
  <c r="AJ640" i="1" a="1"/>
  <c r="AJ640" i="1" s="1"/>
  <c r="AJ641" i="1" a="1"/>
  <c r="AJ641" i="1" s="1"/>
  <c r="AJ642" i="1" a="1"/>
  <c r="AJ642" i="1" s="1"/>
  <c r="AJ643" i="1" a="1"/>
  <c r="AJ643" i="1"/>
  <c r="AJ644" i="1" a="1"/>
  <c r="AJ644" i="1" s="1"/>
  <c r="AJ645" i="1" a="1"/>
  <c r="AJ645" i="1"/>
  <c r="AJ646" i="1" a="1"/>
  <c r="AJ646" i="1" s="1"/>
  <c r="AJ647" i="1" a="1"/>
  <c r="AJ647" i="1" s="1"/>
  <c r="AJ648" i="1" a="1"/>
  <c r="AJ648" i="1" s="1"/>
  <c r="AJ649" i="1" a="1"/>
  <c r="AJ649" i="1" s="1"/>
  <c r="AJ650" i="1" a="1"/>
  <c r="AJ650" i="1" s="1"/>
  <c r="AJ651" i="1" a="1"/>
  <c r="AJ651" i="1" s="1"/>
  <c r="AJ652" i="1" a="1"/>
  <c r="AJ652" i="1"/>
  <c r="AJ653" i="1" a="1"/>
  <c r="AJ653" i="1" s="1"/>
  <c r="AJ654" i="1" a="1"/>
  <c r="AJ654" i="1"/>
  <c r="AJ655" i="1" a="1"/>
  <c r="AJ655" i="1" s="1"/>
  <c r="AJ656" i="1" a="1"/>
  <c r="AJ656" i="1" s="1"/>
  <c r="AJ657" i="1" a="1"/>
  <c r="AJ657" i="1" s="1"/>
  <c r="AJ658" i="1" a="1"/>
  <c r="AJ658" i="1"/>
  <c r="AJ659" i="1" a="1"/>
  <c r="AJ659" i="1" s="1"/>
  <c r="AJ660" i="1" a="1"/>
  <c r="AJ660" i="1"/>
  <c r="AJ661" i="1" a="1"/>
  <c r="AJ661" i="1"/>
  <c r="AJ662" i="1" a="1"/>
  <c r="AJ662" i="1" s="1"/>
  <c r="AJ663" i="1" a="1"/>
  <c r="AJ663" i="1" s="1"/>
  <c r="AJ664" i="1" a="1"/>
  <c r="AJ664" i="1" s="1"/>
  <c r="AJ665" i="1" a="1"/>
  <c r="AJ665" i="1" s="1"/>
  <c r="AJ666" i="1" a="1"/>
  <c r="AJ666" i="1"/>
  <c r="AJ667" i="1" a="1"/>
  <c r="AJ667" i="1"/>
  <c r="AJ668" i="1" a="1"/>
  <c r="AJ668" i="1"/>
  <c r="AJ669" i="1" a="1"/>
  <c r="AJ669" i="1" s="1"/>
  <c r="AJ670" i="1" a="1"/>
  <c r="AJ670" i="1" s="1"/>
  <c r="AJ671" i="1" a="1"/>
  <c r="AJ671" i="1" s="1"/>
  <c r="AJ672" i="1" a="1"/>
  <c r="AJ672" i="1"/>
  <c r="AJ673" i="1" a="1"/>
  <c r="AJ673" i="1" s="1"/>
  <c r="AJ674" i="1" a="1"/>
  <c r="AJ674" i="1" s="1"/>
  <c r="AJ675" i="1" a="1"/>
  <c r="AJ675" i="1"/>
  <c r="AJ676" i="1" a="1"/>
  <c r="AJ676" i="1" s="1"/>
  <c r="AJ677" i="1" a="1"/>
  <c r="AJ677" i="1" s="1"/>
  <c r="AJ678" i="1" a="1"/>
  <c r="AJ678" i="1" s="1"/>
  <c r="AJ679" i="1" a="1"/>
  <c r="AJ679" i="1" s="1"/>
  <c r="AJ680" i="1" a="1"/>
  <c r="AJ680" i="1" s="1"/>
  <c r="AJ681" i="1" a="1"/>
  <c r="AJ681" i="1" s="1"/>
  <c r="AJ682" i="1" a="1"/>
  <c r="AJ682" i="1"/>
  <c r="AJ683" i="1" a="1"/>
  <c r="AJ683" i="1" s="1"/>
  <c r="AJ684" i="1" a="1"/>
  <c r="AJ684" i="1" s="1"/>
  <c r="AJ685" i="1" a="1"/>
  <c r="AJ685" i="1" s="1"/>
  <c r="AJ686" i="1" a="1"/>
  <c r="AJ686" i="1" s="1"/>
  <c r="AJ687" i="1" a="1"/>
  <c r="AJ687" i="1" s="1"/>
  <c r="AJ688" i="1" a="1"/>
  <c r="AJ688" i="1" s="1"/>
  <c r="AJ689" i="1" a="1"/>
  <c r="AJ689" i="1" s="1"/>
  <c r="AJ690" i="1" a="1"/>
  <c r="AJ690" i="1" s="1"/>
  <c r="AJ691" i="1" a="1"/>
  <c r="AJ691" i="1"/>
  <c r="AJ692" i="1" a="1"/>
  <c r="AJ692" i="1" s="1"/>
  <c r="AJ693" i="1" a="1"/>
  <c r="AJ693" i="1" s="1"/>
  <c r="AJ694" i="1" a="1"/>
  <c r="AJ694" i="1" s="1"/>
  <c r="AJ695" i="1" a="1"/>
  <c r="AJ695" i="1" s="1"/>
  <c r="AJ696" i="1" a="1"/>
  <c r="AJ696" i="1" s="1"/>
  <c r="AJ697" i="1" a="1"/>
  <c r="AJ697" i="1" s="1"/>
  <c r="AJ698" i="1" a="1"/>
  <c r="AJ698" i="1"/>
  <c r="AJ699" i="1" a="1"/>
  <c r="AJ699" i="1"/>
  <c r="AJ700" i="1" a="1"/>
  <c r="AJ700" i="1" s="1"/>
  <c r="AJ701" i="1" a="1"/>
  <c r="AJ701" i="1" s="1"/>
  <c r="AJ702" i="1" a="1"/>
  <c r="AJ702" i="1" s="1"/>
  <c r="AJ703" i="1" a="1"/>
  <c r="AJ703" i="1" s="1"/>
  <c r="AJ704" i="1" a="1"/>
  <c r="AJ704" i="1"/>
  <c r="AJ705" i="1" a="1"/>
  <c r="AJ705" i="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c r="AJ716" i="1" a="1"/>
  <c r="AJ716" i="1" s="1"/>
  <c r="AJ717" i="1" a="1"/>
  <c r="AJ717" i="1"/>
  <c r="AJ718" i="1" a="1"/>
  <c r="AJ718" i="1" s="1"/>
  <c r="AJ719" i="1" a="1"/>
  <c r="AJ719" i="1" s="1"/>
  <c r="AJ720" i="1" a="1"/>
  <c r="AJ720" i="1" s="1"/>
  <c r="AJ721" i="1" a="1"/>
  <c r="AJ721" i="1" s="1"/>
  <c r="AJ722" i="1" a="1"/>
  <c r="AJ722" i="1" s="1"/>
  <c r="AJ723" i="1" a="1"/>
  <c r="AJ723" i="1" s="1"/>
  <c r="AJ724" i="1" a="1"/>
  <c r="AJ724" i="1" s="1"/>
  <c r="AJ725" i="1" a="1"/>
  <c r="AJ725" i="1" s="1"/>
  <c r="AJ726" i="1" a="1"/>
  <c r="AJ726" i="1"/>
  <c r="AJ727" i="1" a="1"/>
  <c r="AJ727" i="1" s="1"/>
  <c r="AJ728" i="1" a="1"/>
  <c r="AJ728" i="1" s="1"/>
  <c r="AJ729" i="1" a="1"/>
  <c r="AJ729" i="1" s="1"/>
  <c r="AJ730" i="1" a="1"/>
  <c r="AJ730" i="1"/>
  <c r="AJ731" i="1" a="1"/>
  <c r="AJ731" i="1" s="1"/>
  <c r="AJ732" i="1" a="1"/>
  <c r="AJ732" i="1"/>
  <c r="AJ733" i="1" a="1"/>
  <c r="AJ733" i="1"/>
  <c r="AJ734" i="1" a="1"/>
  <c r="AJ734" i="1" s="1"/>
  <c r="AJ735" i="1" a="1"/>
  <c r="AJ735" i="1" s="1"/>
  <c r="AJ736" i="1" a="1"/>
  <c r="AJ736" i="1" s="1"/>
  <c r="AJ737" i="1" a="1"/>
  <c r="AJ737" i="1" s="1"/>
  <c r="AJ738" i="1" a="1"/>
  <c r="AJ738" i="1"/>
  <c r="AJ739" i="1" a="1"/>
  <c r="AJ739" i="1" s="1"/>
  <c r="AJ740" i="1" a="1"/>
  <c r="AJ740" i="1"/>
  <c r="AJ741" i="1" a="1"/>
  <c r="AJ741" i="1"/>
  <c r="AJ742" i="1" a="1"/>
  <c r="AJ742" i="1" s="1"/>
  <c r="AJ743" i="1" a="1"/>
  <c r="AJ743" i="1" s="1"/>
  <c r="AJ744" i="1" a="1"/>
  <c r="AJ744" i="1" s="1"/>
  <c r="AJ745" i="1" a="1"/>
  <c r="AJ745" i="1" s="1"/>
  <c r="AJ746" i="1" a="1"/>
  <c r="AJ746" i="1"/>
  <c r="AJ747" i="1" a="1"/>
  <c r="AJ747" i="1" s="1"/>
  <c r="AJ748" i="1" a="1"/>
  <c r="AJ748" i="1" s="1"/>
  <c r="AJ749" i="1" a="1"/>
  <c r="AJ749" i="1" s="1"/>
  <c r="AJ750" i="1" a="1"/>
  <c r="AJ750" i="1"/>
  <c r="AJ751" i="1" a="1"/>
  <c r="AJ751" i="1" s="1"/>
  <c r="AJ752" i="1" a="1"/>
  <c r="AJ752" i="1" s="1"/>
  <c r="AJ753" i="1" a="1"/>
  <c r="AJ753" i="1" s="1"/>
  <c r="AJ754" i="1" a="1"/>
  <c r="AJ754" i="1" s="1"/>
  <c r="AJ755" i="1" a="1"/>
  <c r="AJ755" i="1" s="1"/>
  <c r="AJ756" i="1" a="1"/>
  <c r="AJ756" i="1" s="1"/>
  <c r="AJ757" i="1" a="1"/>
  <c r="AJ757" i="1"/>
  <c r="AJ758" i="1" a="1"/>
  <c r="AJ758" i="1"/>
  <c r="AJ759" i="1" a="1"/>
  <c r="AJ759" i="1" s="1"/>
  <c r="AJ760" i="1" a="1"/>
  <c r="AJ760" i="1" s="1"/>
  <c r="AJ761" i="1" a="1"/>
  <c r="AJ761" i="1" s="1"/>
  <c r="AJ762" i="1" a="1"/>
  <c r="AJ762" i="1" s="1"/>
  <c r="AJ763" i="1" a="1"/>
  <c r="AJ763" i="1"/>
  <c r="AJ764" i="1" a="1"/>
  <c r="AJ764" i="1"/>
  <c r="AJ765" i="1" a="1"/>
  <c r="AJ765" i="1"/>
  <c r="AJ766" i="1" a="1"/>
  <c r="AJ766" i="1" s="1"/>
  <c r="AJ767" i="1" a="1"/>
  <c r="AJ767" i="1" s="1"/>
  <c r="AJ768" i="1" a="1"/>
  <c r="AJ768" i="1" s="1"/>
  <c r="AJ769" i="1" a="1"/>
  <c r="AJ769" i="1" s="1"/>
  <c r="AJ770" i="1" a="1"/>
  <c r="AJ770" i="1" s="1"/>
  <c r="AJ771" i="1" a="1"/>
  <c r="AJ771" i="1"/>
  <c r="AJ772" i="1" a="1"/>
  <c r="AJ772" i="1"/>
  <c r="AJ773" i="1" a="1"/>
  <c r="AJ773" i="1" s="1"/>
  <c r="AJ774" i="1" a="1"/>
  <c r="AJ774" i="1" s="1"/>
  <c r="AJ775" i="1" a="1"/>
  <c r="AJ775" i="1" s="1"/>
  <c r="AJ776" i="1" a="1"/>
  <c r="AJ776" i="1" s="1"/>
  <c r="AJ777" i="1" a="1"/>
  <c r="AJ777" i="1" s="1"/>
  <c r="AJ778" i="1" a="1"/>
  <c r="AJ778" i="1" s="1"/>
  <c r="AJ779" i="1" a="1"/>
  <c r="AJ779" i="1" s="1"/>
  <c r="AJ780" i="1" a="1"/>
  <c r="AJ780" i="1"/>
  <c r="AJ781" i="1" a="1"/>
  <c r="AJ781" i="1" s="1"/>
  <c r="AJ782" i="1" a="1"/>
  <c r="AJ782" i="1" s="1"/>
  <c r="AJ783" i="1" a="1"/>
  <c r="AJ783" i="1"/>
  <c r="AJ784" i="1" a="1"/>
  <c r="AJ784" i="1" s="1"/>
  <c r="AJ785" i="1" a="1"/>
  <c r="AJ785" i="1" s="1"/>
  <c r="AJ786" i="1" a="1"/>
  <c r="AJ786" i="1" s="1"/>
  <c r="AJ787" i="1" a="1"/>
  <c r="AJ787" i="1" s="1"/>
  <c r="AJ788" i="1" a="1"/>
  <c r="AJ788" i="1" s="1"/>
  <c r="AJ789" i="1" a="1"/>
  <c r="AJ789" i="1"/>
  <c r="AJ790" i="1" a="1"/>
  <c r="AJ790" i="1"/>
  <c r="AJ791" i="1" a="1"/>
  <c r="AJ791" i="1" s="1"/>
  <c r="AJ792" i="1" a="1"/>
  <c r="AJ792" i="1" s="1"/>
  <c r="AJ793" i="1" a="1"/>
  <c r="AJ793" i="1" s="1"/>
  <c r="AJ794" i="1" a="1"/>
  <c r="AJ794" i="1" s="1"/>
  <c r="AJ795" i="1" a="1"/>
  <c r="AJ795" i="1" s="1"/>
  <c r="AJ796" i="1" a="1"/>
  <c r="AJ796" i="1"/>
  <c r="AJ797" i="1" a="1"/>
  <c r="AJ797" i="1" s="1"/>
  <c r="AJ798" i="1" a="1"/>
  <c r="AJ798" i="1"/>
  <c r="AJ799" i="1" a="1"/>
  <c r="AJ799" i="1" s="1"/>
  <c r="AJ800" i="1" a="1"/>
  <c r="AJ800" i="1" s="1"/>
  <c r="AJ801" i="1" a="1"/>
  <c r="AJ801" i="1" s="1"/>
  <c r="AJ802" i="1" a="1"/>
  <c r="AJ802" i="1"/>
  <c r="AJ803" i="1" a="1"/>
  <c r="AJ803" i="1" s="1"/>
  <c r="AJ804" i="1" a="1"/>
  <c r="AJ804" i="1"/>
  <c r="AJ805" i="1" a="1"/>
  <c r="AJ805" i="1" s="1"/>
  <c r="AJ806" i="1" a="1"/>
  <c r="AJ806" i="1" s="1"/>
  <c r="AJ807" i="1" a="1"/>
  <c r="AJ807" i="1" s="1"/>
  <c r="AJ808" i="1" a="1"/>
  <c r="AJ808" i="1" s="1"/>
  <c r="AJ809" i="1" a="1"/>
  <c r="AJ809" i="1" s="1"/>
  <c r="AJ810" i="1" a="1"/>
  <c r="AJ810" i="1" s="1"/>
  <c r="AJ811" i="1" a="1"/>
  <c r="AJ811" i="1"/>
  <c r="AJ812" i="1" a="1"/>
  <c r="AJ812" i="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c r="AJ823" i="1" a="1"/>
  <c r="AJ823" i="1" s="1"/>
  <c r="AJ824" i="1" a="1"/>
  <c r="AJ824" i="1" s="1"/>
  <c r="AJ825" i="1" a="1"/>
  <c r="AJ825" i="1" s="1"/>
  <c r="AJ826" i="1" a="1"/>
  <c r="AJ826" i="1" s="1"/>
  <c r="AJ827" i="1" a="1"/>
  <c r="AJ827" i="1" s="1"/>
  <c r="AJ828" i="1" a="1"/>
  <c r="AJ828" i="1" s="1"/>
  <c r="AJ829" i="1" a="1"/>
  <c r="AJ829" i="1"/>
  <c r="AJ830" i="1" a="1"/>
  <c r="AJ830" i="1" s="1"/>
  <c r="AJ831" i="1" a="1"/>
  <c r="AJ831" i="1" s="1"/>
  <c r="AJ832" i="1" a="1"/>
  <c r="AJ832" i="1" s="1"/>
  <c r="AJ833" i="1" a="1"/>
  <c r="AJ833" i="1" s="1"/>
  <c r="AJ834" i="1" a="1"/>
  <c r="AJ834" i="1" s="1"/>
  <c r="AJ835" i="1" a="1"/>
  <c r="AJ835" i="1"/>
  <c r="AJ836" i="1" a="1"/>
  <c r="AJ836" i="1"/>
  <c r="AJ837" i="1" a="1"/>
  <c r="AJ837" i="1" s="1"/>
  <c r="AJ838" i="1" a="1"/>
  <c r="AJ838" i="1" s="1"/>
  <c r="AJ839" i="1" a="1"/>
  <c r="AJ839" i="1" s="1"/>
  <c r="AJ840" i="1" a="1"/>
  <c r="AJ840" i="1" s="1"/>
  <c r="AJ841" i="1" a="1"/>
  <c r="AJ841" i="1" s="1"/>
  <c r="AJ842" i="1" a="1"/>
  <c r="AJ842" i="1" s="1"/>
  <c r="AJ843" i="1" a="1"/>
  <c r="AJ843" i="1"/>
  <c r="AJ844" i="1" a="1"/>
  <c r="AJ844" i="1"/>
  <c r="AJ845" i="1" a="1"/>
  <c r="AJ845" i="1" s="1"/>
  <c r="AJ846" i="1" a="1"/>
  <c r="AJ846" i="1" s="1"/>
  <c r="AJ847" i="1" a="1"/>
  <c r="AJ847" i="1" s="1"/>
  <c r="AJ848" i="1" a="1"/>
  <c r="AJ848" i="1" s="1"/>
  <c r="AJ849" i="1" a="1"/>
  <c r="AJ849" i="1" s="1"/>
  <c r="AJ850" i="1" a="1"/>
  <c r="AJ850" i="1" s="1"/>
  <c r="AJ851" i="1" a="1"/>
  <c r="AJ851" i="1" s="1"/>
  <c r="AJ852" i="1" a="1"/>
  <c r="AJ852" i="1"/>
  <c r="AJ853" i="1" a="1"/>
  <c r="AJ853" i="1" s="1"/>
  <c r="AJ854" i="1" a="1"/>
  <c r="AJ854" i="1" s="1"/>
  <c r="AJ855" i="1" a="1"/>
  <c r="AJ855" i="1" s="1"/>
  <c r="AJ856" i="1" a="1"/>
  <c r="AJ856" i="1" s="1"/>
  <c r="AJ857" i="1" a="1"/>
  <c r="AJ857" i="1" s="1"/>
  <c r="AJ858" i="1" a="1"/>
  <c r="AJ858" i="1" s="1"/>
  <c r="AJ859" i="1" a="1"/>
  <c r="AJ859" i="1" s="1"/>
  <c r="AJ860" i="1" a="1"/>
  <c r="AJ860" i="1" s="1"/>
  <c r="AJ861" i="1" a="1"/>
  <c r="AJ861" i="1"/>
  <c r="AJ862" i="1" a="1"/>
  <c r="AJ862" i="1" s="1"/>
  <c r="AJ863" i="1" a="1"/>
  <c r="AJ863" i="1" s="1"/>
  <c r="AJ864" i="1" a="1"/>
  <c r="AJ864" i="1" s="1"/>
  <c r="AJ865" i="1" a="1"/>
  <c r="AJ865" i="1" s="1"/>
  <c r="AJ866" i="1" a="1"/>
  <c r="AJ866" i="1" s="1"/>
  <c r="AJ867" i="1" a="1"/>
  <c r="AJ867" i="1" s="1"/>
  <c r="AJ868" i="1" a="1"/>
  <c r="AJ868" i="1" s="1"/>
  <c r="AJ869" i="1" a="1"/>
  <c r="AJ869" i="1" s="1"/>
  <c r="AJ870" i="1" a="1"/>
  <c r="AJ870" i="1"/>
  <c r="AJ871" i="1" a="1"/>
  <c r="AJ871" i="1" s="1"/>
  <c r="AJ872" i="1" a="1"/>
  <c r="AJ872" i="1" s="1"/>
  <c r="AJ873" i="1" a="1"/>
  <c r="AJ873" i="1" s="1"/>
  <c r="AJ874" i="1" a="1"/>
  <c r="AJ874" i="1" s="1"/>
  <c r="AJ875" i="1" a="1"/>
  <c r="AJ875" i="1" s="1"/>
  <c r="AJ876" i="1" a="1"/>
  <c r="AJ876" i="1"/>
  <c r="AJ877" i="1" a="1"/>
  <c r="AJ877" i="1"/>
  <c r="AJ878" i="1" a="1"/>
  <c r="AJ878" i="1"/>
  <c r="AJ879" i="1" a="1"/>
  <c r="AJ879" i="1" s="1"/>
  <c r="AJ880" i="1" a="1"/>
  <c r="AJ880" i="1" s="1"/>
  <c r="AJ881" i="1" a="1"/>
  <c r="AJ881" i="1" s="1"/>
  <c r="AJ882" i="1" a="1"/>
  <c r="AJ882" i="1" s="1"/>
  <c r="AJ883" i="1" a="1"/>
  <c r="AJ883" i="1" s="1"/>
  <c r="AJ884" i="1" a="1"/>
  <c r="AJ884" i="1"/>
  <c r="AJ885" i="1" a="1"/>
  <c r="AJ885" i="1"/>
  <c r="AJ886" i="1" a="1"/>
  <c r="AJ886" i="1" s="1"/>
  <c r="AJ887" i="1" a="1"/>
  <c r="AJ887" i="1" s="1"/>
  <c r="AJ888" i="1" a="1"/>
  <c r="AJ888" i="1" s="1"/>
  <c r="AJ889" i="1" a="1"/>
  <c r="AJ889" i="1" s="1"/>
  <c r="AJ890" i="1" a="1"/>
  <c r="AJ890" i="1" s="1"/>
  <c r="AJ891" i="1" a="1"/>
  <c r="AJ891" i="1" s="1"/>
  <c r="AJ892" i="1" a="1"/>
  <c r="AJ892" i="1" s="1"/>
  <c r="AJ893" i="1" a="1"/>
  <c r="AJ893" i="1" s="1"/>
  <c r="AJ894" i="1" a="1"/>
  <c r="AJ894" i="1"/>
  <c r="AJ895" i="1" a="1"/>
  <c r="AJ895" i="1" s="1"/>
  <c r="AJ896" i="1" a="1"/>
  <c r="AJ896" i="1" s="1"/>
  <c r="AJ897" i="1" a="1"/>
  <c r="AJ897" i="1" s="1"/>
  <c r="AJ898" i="1" a="1"/>
  <c r="AJ898" i="1" s="1"/>
  <c r="AJ899" i="1" a="1"/>
  <c r="AJ899" i="1" s="1"/>
  <c r="AJ900" i="1" a="1"/>
  <c r="AJ900" i="1"/>
  <c r="AJ901" i="1" a="1"/>
  <c r="AJ901" i="1" s="1"/>
  <c r="AJ902" i="1" a="1"/>
  <c r="AJ902" i="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c r="AJ919" i="1" a="1"/>
  <c r="AJ919" i="1" s="1"/>
  <c r="AJ920" i="1" a="1"/>
  <c r="AJ920" i="1"/>
  <c r="AJ921" i="1" a="1"/>
  <c r="AJ921" i="1" s="1"/>
  <c r="AJ922" i="1" a="1"/>
  <c r="AJ922" i="1" s="1"/>
  <c r="AJ923" i="1" a="1"/>
  <c r="AJ923" i="1" s="1"/>
  <c r="AJ924" i="1" a="1"/>
  <c r="AJ924" i="1"/>
  <c r="AJ925" i="1" a="1"/>
  <c r="AJ925" i="1" s="1"/>
  <c r="AJ926" i="1" a="1"/>
  <c r="AJ926" i="1" s="1"/>
  <c r="AJ927" i="1" a="1"/>
  <c r="AJ927" i="1" s="1"/>
  <c r="AJ928" i="1" a="1"/>
  <c r="AJ928" i="1"/>
  <c r="AJ929" i="1" a="1"/>
  <c r="AJ929" i="1" s="1"/>
  <c r="AJ930" i="1" a="1"/>
  <c r="AJ930" i="1" s="1"/>
  <c r="AJ931" i="1" a="1"/>
  <c r="AJ931" i="1" s="1"/>
  <c r="AJ932" i="1" a="1"/>
  <c r="AJ932" i="1" s="1"/>
  <c r="AJ933" i="1" a="1"/>
  <c r="AJ933" i="1" s="1"/>
  <c r="AJ934" i="1" a="1"/>
  <c r="AJ934" i="1"/>
  <c r="AJ935" i="1" a="1"/>
  <c r="AJ935" i="1" s="1"/>
  <c r="AJ936" i="1" a="1"/>
  <c r="AJ936" i="1"/>
  <c r="AJ937" i="1" a="1"/>
  <c r="AJ937" i="1" s="1"/>
  <c r="AJ938" i="1" a="1"/>
  <c r="AJ938" i="1" s="1"/>
  <c r="AJ939" i="1" a="1"/>
  <c r="AJ939" i="1" s="1"/>
  <c r="AJ940" i="1" a="1"/>
  <c r="AJ940" i="1" s="1"/>
  <c r="AJ941" i="1" a="1"/>
  <c r="AJ941" i="1" s="1"/>
  <c r="AJ942" i="1" a="1"/>
  <c r="AJ942" i="1"/>
  <c r="AJ943" i="1" a="1"/>
  <c r="AJ943" i="1" s="1"/>
  <c r="AJ944" i="1" a="1"/>
  <c r="AJ944" i="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c r="AJ962" i="1" a="1"/>
  <c r="AJ962" i="1"/>
  <c r="AJ963" i="1" a="1"/>
  <c r="AJ963" i="1" s="1"/>
  <c r="AJ964" i="1" a="1"/>
  <c r="AJ964" i="1" s="1"/>
  <c r="AJ965" i="1" a="1"/>
  <c r="AJ965" i="1" s="1"/>
  <c r="AJ966" i="1" a="1"/>
  <c r="AJ966" i="1"/>
  <c r="AJ967" i="1" a="1"/>
  <c r="AJ967" i="1"/>
  <c r="AJ968" i="1" a="1"/>
  <c r="AJ968" i="1"/>
  <c r="AJ969" i="1" a="1"/>
  <c r="AJ969" i="1"/>
  <c r="AJ970" i="1" a="1"/>
  <c r="AJ970" i="1" s="1"/>
  <c r="AJ971" i="1" a="1"/>
  <c r="AJ971" i="1" s="1"/>
  <c r="AJ972" i="1" a="1"/>
  <c r="AJ972" i="1" s="1"/>
  <c r="AJ973" i="1" a="1"/>
  <c r="AJ973" i="1" s="1"/>
  <c r="AJ974" i="1" a="1"/>
  <c r="AJ974" i="1" s="1"/>
  <c r="AJ975" i="1" a="1"/>
  <c r="AJ975" i="1"/>
  <c r="AJ976" i="1" a="1"/>
  <c r="AJ976" i="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c r="AJ993" i="1" a="1"/>
  <c r="AJ993" i="1"/>
  <c r="AJ994" i="1" a="1"/>
  <c r="AJ994" i="1" s="1"/>
  <c r="AJ995" i="1" a="1"/>
  <c r="AJ995" i="1" s="1"/>
  <c r="AJ996" i="1" a="1"/>
  <c r="AJ996" i="1" s="1"/>
  <c r="AJ997" i="1" a="1"/>
  <c r="AJ997" i="1" s="1"/>
  <c r="AJ998" i="1" a="1"/>
  <c r="AJ998" i="1" s="1"/>
  <c r="AJ999" i="1" a="1"/>
  <c r="AJ999" i="1" s="1"/>
  <c r="AJ1000" i="1" a="1"/>
  <c r="AJ1000" i="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c r="AJ1016" i="1" a="1"/>
  <c r="AJ1016" i="1" s="1"/>
  <c r="AJ1017" i="1" a="1"/>
  <c r="AJ1017" i="1" s="1"/>
  <c r="AJ1018" i="1" a="1"/>
  <c r="AJ1018" i="1"/>
  <c r="AJ1019" i="1" a="1"/>
  <c r="AJ1019" i="1" s="1"/>
  <c r="AJ1020" i="1" a="1"/>
  <c r="AJ1020" i="1" s="1"/>
  <c r="AJ1021" i="1" a="1"/>
  <c r="AJ1021" i="1" s="1"/>
  <c r="AJ1022" i="1" a="1"/>
  <c r="AJ1022" i="1" s="1"/>
  <c r="AJ1023" i="1" a="1"/>
  <c r="AJ1023" i="1" s="1"/>
  <c r="AJ1024" i="1" a="1"/>
  <c r="AJ1024" i="1" s="1"/>
  <c r="AJ1025" i="1" a="1"/>
  <c r="AJ1025" i="1" s="1"/>
  <c r="AJ1026" i="1" a="1"/>
  <c r="AJ1026" i="1"/>
  <c r="AJ1027" i="1" a="1"/>
  <c r="AJ1027" i="1"/>
  <c r="AJ1028" i="1" a="1"/>
  <c r="AJ1028" i="1" s="1"/>
  <c r="AJ1029" i="1" a="1"/>
  <c r="AJ1029" i="1" s="1"/>
  <c r="AJ1030" i="1" a="1"/>
  <c r="AJ1030" i="1" s="1"/>
  <c r="AJ1031" i="1" a="1"/>
  <c r="AJ1031" i="1" s="1"/>
  <c r="AJ1032" i="1" a="1"/>
  <c r="AJ1032" i="1" s="1"/>
  <c r="AJ1033" i="1" a="1"/>
  <c r="AJ1033" i="1"/>
  <c r="AJ1034" i="1" a="1"/>
  <c r="AJ1034" i="1"/>
  <c r="AJ1035" i="1" a="1"/>
  <c r="AJ1035" i="1" s="1"/>
  <c r="AJ1036" i="1" a="1"/>
  <c r="AJ1036" i="1" s="1"/>
  <c r="AJ1037" i="1" a="1"/>
  <c r="AJ1037" i="1" s="1"/>
  <c r="AJ1038" i="1" a="1"/>
  <c r="AJ1038" i="1"/>
  <c r="AJ1039" i="1" a="1"/>
  <c r="AJ1039" i="1" s="1"/>
  <c r="AJ1040" i="1" a="1"/>
  <c r="AJ1040" i="1" s="1"/>
  <c r="AJ1041" i="1" a="1"/>
  <c r="AJ1041" i="1"/>
  <c r="AJ1042" i="1" a="1"/>
  <c r="AJ1042" i="1" s="1"/>
  <c r="AJ1043" i="1" a="1"/>
  <c r="AJ1043" i="1" s="1"/>
  <c r="AJ1044" i="1" a="1"/>
  <c r="AJ1044" i="1" s="1"/>
  <c r="AJ1045" i="1" a="1"/>
  <c r="AJ1045" i="1" s="1"/>
  <c r="AJ1046" i="1" a="1"/>
  <c r="AJ1046" i="1"/>
  <c r="AJ1047" i="1" a="1"/>
  <c r="AJ1047" i="1" s="1"/>
  <c r="AJ1048" i="1" a="1"/>
  <c r="AJ1048" i="1" s="1"/>
  <c r="AJ1049" i="1" a="1"/>
  <c r="AJ1049" i="1" s="1"/>
  <c r="AJ1050" i="1" a="1"/>
  <c r="AJ1050" i="1" s="1"/>
  <c r="AJ1051" i="1" a="1"/>
  <c r="AJ1051" i="1" s="1"/>
  <c r="AJ1052" i="1" a="1"/>
  <c r="AJ1052" i="1" s="1"/>
  <c r="AJ1053" i="1" a="1"/>
  <c r="AJ1053" i="1" s="1"/>
  <c r="AJ1054" i="1" a="1"/>
  <c r="AJ1054" i="1"/>
  <c r="AJ1055" i="1" a="1"/>
  <c r="AJ1055" i="1" s="1"/>
  <c r="AJ1056" i="1" a="1"/>
  <c r="AJ1056" i="1" s="1"/>
  <c r="AJ1057" i="1" a="1"/>
  <c r="AJ1057" i="1" s="1"/>
  <c r="AJ1058" i="1" a="1"/>
  <c r="AJ1058" i="1"/>
  <c r="AJ1059" i="1" a="1"/>
  <c r="AJ1059" i="1" s="1"/>
  <c r="AJ1060" i="1" a="1"/>
  <c r="AJ1060" i="1" s="1"/>
  <c r="AJ1061" i="1" a="1"/>
  <c r="AJ1061" i="1" s="1"/>
  <c r="AJ1062" i="1" a="1"/>
  <c r="AJ1062" i="1"/>
  <c r="AJ1063" i="1" a="1"/>
  <c r="AJ1063" i="1" s="1"/>
  <c r="AJ1064" i="1" a="1"/>
  <c r="AJ1064" i="1"/>
  <c r="AJ1065" i="1" a="1"/>
  <c r="AJ1065" i="1"/>
  <c r="AJ1066" i="1" a="1"/>
  <c r="AJ1066" i="1" s="1"/>
  <c r="AJ1067" i="1" a="1"/>
  <c r="AJ1067" i="1" s="1"/>
  <c r="AJ1068" i="1" a="1"/>
  <c r="AJ1068" i="1" s="1"/>
  <c r="AJ1069" i="1" a="1"/>
  <c r="AJ1069" i="1" s="1"/>
  <c r="AJ1070" i="1" a="1"/>
  <c r="AJ1070" i="1" s="1"/>
  <c r="AJ1071" i="1" a="1"/>
  <c r="AJ1071" i="1" s="1"/>
  <c r="AJ1072" i="1" a="1"/>
  <c r="AJ1072" i="1"/>
  <c r="AJ1073" i="1" a="1"/>
  <c r="AJ1073" i="1" s="1"/>
  <c r="AJ1074" i="1" a="1"/>
  <c r="AJ1074" i="1"/>
  <c r="AJ1075" i="1" a="1"/>
  <c r="AJ1075" i="1" s="1"/>
  <c r="AJ1076" i="1" a="1"/>
  <c r="AJ1076" i="1" s="1"/>
  <c r="AJ1077" i="1" a="1"/>
  <c r="AJ1077" i="1" s="1"/>
  <c r="AJ1078" i="1" a="1"/>
  <c r="AJ1078" i="1" s="1"/>
  <c r="AJ1079" i="1" a="1"/>
  <c r="AJ1079" i="1" s="1"/>
  <c r="AJ1080" i="1" a="1"/>
  <c r="AJ1080" i="1"/>
  <c r="AJ1081" i="1" a="1"/>
  <c r="AJ1081" i="1"/>
  <c r="AJ1082" i="1" a="1"/>
  <c r="AJ1082" i="1" s="1"/>
  <c r="AJ1083" i="1" a="1"/>
  <c r="AJ1083" i="1" s="1"/>
  <c r="AJ1084" i="1" a="1"/>
  <c r="AJ1084" i="1" s="1"/>
  <c r="AJ1085" i="1" a="1"/>
  <c r="AJ1085" i="1" s="1"/>
  <c r="AJ1086" i="1" a="1"/>
  <c r="AJ1086" i="1" s="1"/>
  <c r="AJ1087" i="1" a="1"/>
  <c r="AJ1087" i="1" s="1"/>
  <c r="AJ1088" i="1" a="1"/>
  <c r="AJ1088" i="1"/>
  <c r="AJ1089" i="1" a="1"/>
  <c r="AJ1089" i="1" s="1"/>
  <c r="AJ1090" i="1" a="1"/>
  <c r="AJ1090" i="1" s="1"/>
  <c r="AJ1091" i="1" a="1"/>
  <c r="AJ1091" i="1" s="1"/>
  <c r="AJ1092" i="1" a="1"/>
  <c r="AJ1092" i="1" s="1"/>
  <c r="AJ1093" i="1" a="1"/>
  <c r="AJ1093" i="1" s="1"/>
  <c r="AJ1094" i="1" a="1"/>
  <c r="AJ1094" i="1" s="1"/>
  <c r="AJ1095" i="1" a="1"/>
  <c r="AJ1095" i="1" s="1"/>
  <c r="AJ1096" i="1" a="1"/>
  <c r="AJ1096" i="1"/>
  <c r="AJ1097" i="1" a="1"/>
  <c r="AJ1097" i="1" s="1"/>
  <c r="AJ1098" i="1" a="1"/>
  <c r="AJ1098" i="1" s="1"/>
  <c r="AJ1099" i="1" a="1"/>
  <c r="AJ1099" i="1" s="1"/>
  <c r="AJ1100" i="1" a="1"/>
  <c r="AJ1100" i="1" s="1"/>
  <c r="AJ1101" i="1" a="1"/>
  <c r="AJ1101" i="1" s="1"/>
  <c r="AJ1102" i="1" a="1"/>
  <c r="AJ1102" i="1" s="1"/>
  <c r="AJ1103" i="1" a="1"/>
  <c r="AJ1103" i="1" s="1"/>
  <c r="AJ1104" i="1" a="1"/>
  <c r="AJ1104" i="1"/>
  <c r="AJ1105" i="1" a="1"/>
  <c r="AJ1105" i="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c r="AJ1124" i="1" a="1"/>
  <c r="AJ1124" i="1"/>
  <c r="AJ1125" i="1" a="1"/>
  <c r="AJ1125" i="1" s="1"/>
  <c r="AJ1126" i="1" a="1"/>
  <c r="AJ1126" i="1" s="1"/>
  <c r="AJ1127" i="1" a="1"/>
  <c r="AJ1127" i="1" s="1"/>
  <c r="AJ1128" i="1" a="1"/>
  <c r="AJ1128" i="1" s="1"/>
  <c r="AJ1129" i="1" a="1"/>
  <c r="AJ1129" i="1" s="1"/>
  <c r="AJ1130" i="1" a="1"/>
  <c r="AJ1130" i="1" s="1"/>
  <c r="AJ1131" i="1" a="1"/>
  <c r="AJ1131" i="1"/>
  <c r="AJ1132" i="1" a="1"/>
  <c r="AJ1132" i="1"/>
  <c r="AJ1133" i="1" a="1"/>
  <c r="AJ1133" i="1" s="1"/>
  <c r="AJ1134" i="1" a="1"/>
  <c r="AJ1134" i="1" s="1"/>
  <c r="AJ1135" i="1" a="1"/>
  <c r="AJ1135" i="1" s="1"/>
  <c r="AJ1136" i="1" a="1"/>
  <c r="AJ1136" i="1" s="1"/>
  <c r="AJ1137" i="1" a="1"/>
  <c r="AJ1137" i="1" s="1"/>
  <c r="AJ1138" i="1" a="1"/>
  <c r="AJ1138" i="1"/>
  <c r="AJ1139" i="1" a="1"/>
  <c r="AJ1139" i="1" s="1"/>
  <c r="AJ1140" i="1" a="1"/>
  <c r="AJ1140" i="1"/>
  <c r="AJ1141" i="1" a="1"/>
  <c r="AJ1141" i="1" s="1"/>
  <c r="AJ1142" i="1" a="1"/>
  <c r="AJ1142" i="1" s="1"/>
  <c r="AJ1143" i="1" a="1"/>
  <c r="AJ1143" i="1" s="1"/>
  <c r="AJ1144" i="1" a="1"/>
  <c r="AJ1144" i="1" s="1"/>
  <c r="AJ1145" i="1" a="1"/>
  <c r="AJ1145" i="1" s="1"/>
  <c r="AJ1146" i="1" a="1"/>
  <c r="AJ1146" i="1" s="1"/>
  <c r="AJ1147" i="1" a="1"/>
  <c r="AJ1147" i="1"/>
  <c r="AJ1148" i="1" a="1"/>
  <c r="AJ1148" i="1" s="1"/>
  <c r="AJ1149" i="1" a="1"/>
  <c r="AJ1149" i="1" s="1"/>
  <c r="AJ1150" i="1" a="1"/>
  <c r="AJ1150" i="1" s="1"/>
  <c r="AJ1151" i="1" a="1"/>
  <c r="AJ1151" i="1" s="1"/>
  <c r="AJ1152" i="1" a="1"/>
  <c r="AJ1152" i="1"/>
  <c r="AJ1153" i="1" a="1"/>
  <c r="AJ1153" i="1" s="1"/>
  <c r="AJ1154" i="1" a="1"/>
  <c r="AJ1154" i="1" s="1"/>
  <c r="AJ1155" i="1" a="1"/>
  <c r="AJ1155" i="1" s="1"/>
  <c r="AJ1156" i="1" a="1"/>
  <c r="AJ1156" i="1"/>
  <c r="AJ1157" i="1" a="1"/>
  <c r="AJ1157"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c r="AJ1173" i="1" a="1"/>
  <c r="AJ1173" i="1" s="1"/>
  <c r="AJ1174" i="1" a="1"/>
  <c r="AJ1174" i="1" s="1"/>
  <c r="AJ1175" i="1" a="1"/>
  <c r="AJ1175" i="1" s="1"/>
  <c r="AJ1176" i="1" a="1"/>
  <c r="AJ1176" i="1" s="1"/>
  <c r="AJ1177" i="1" a="1"/>
  <c r="AJ1177" i="1" s="1"/>
  <c r="AJ1178" i="1" a="1"/>
  <c r="AJ1178" i="1"/>
  <c r="AJ1179" i="1" a="1"/>
  <c r="AJ1179" i="1" s="1"/>
  <c r="AJ1180" i="1" a="1"/>
  <c r="AJ1180" i="1" s="1"/>
  <c r="AJ1181" i="1" a="1"/>
  <c r="AJ1181" i="1" s="1"/>
  <c r="AJ1182" i="1" a="1"/>
  <c r="AJ1182" i="1"/>
  <c r="AJ1183" i="1" a="1"/>
  <c r="AJ1183" i="1" s="1"/>
  <c r="AJ1184" i="1" a="1"/>
  <c r="AJ1184" i="1" s="1"/>
  <c r="AJ1185" i="1" a="1"/>
  <c r="AJ1185" i="1"/>
  <c r="AJ1186" i="1" a="1"/>
  <c r="AJ1186" i="1" s="1"/>
  <c r="AJ1187" i="1" a="1"/>
  <c r="AJ1187" i="1" s="1"/>
  <c r="AJ1188" i="1" a="1"/>
  <c r="AJ1188" i="1" s="1"/>
  <c r="AJ1189" i="1" a="1"/>
  <c r="AJ1189" i="1"/>
  <c r="AJ1190" i="1" a="1"/>
  <c r="AJ1190" i="1" s="1"/>
  <c r="AJ1191" i="1" a="1"/>
  <c r="AJ1191" i="1" s="1"/>
  <c r="AJ1192" i="1" a="1"/>
  <c r="AJ1192" i="1"/>
  <c r="AJ1193" i="1" a="1"/>
  <c r="AJ1193" i="1" s="1"/>
  <c r="AJ1194" i="1" a="1"/>
  <c r="AJ1194" i="1" s="1"/>
  <c r="AJ1195" i="1" a="1"/>
  <c r="AJ1195" i="1"/>
  <c r="AJ1196" i="1" a="1"/>
  <c r="AJ1196" i="1"/>
  <c r="AJ1197" i="1" a="1"/>
  <c r="AJ1197" i="1" s="1"/>
  <c r="AJ1198" i="1" a="1"/>
  <c r="AJ1198" i="1" s="1"/>
  <c r="AJ1199" i="1" a="1"/>
  <c r="AJ1199" i="1" s="1"/>
  <c r="AJ1200" i="1" a="1"/>
  <c r="AJ1200" i="1" s="1"/>
  <c r="AJ1201" i="1" a="1"/>
  <c r="AJ1201" i="1" s="1"/>
  <c r="AJ1202" i="1" a="1"/>
  <c r="AJ1202" i="1"/>
  <c r="AJ1203" i="1" a="1"/>
  <c r="AJ1203" i="1"/>
  <c r="AJ1204" i="1" a="1"/>
  <c r="AJ1204" i="1" s="1"/>
  <c r="AJ1205" i="1" a="1"/>
  <c r="AJ1205" i="1" s="1"/>
  <c r="AJ1206" i="1" a="1"/>
  <c r="AJ1206" i="1" s="1"/>
  <c r="AJ1207" i="1" a="1"/>
  <c r="AJ1207" i="1" s="1"/>
  <c r="AJ1208" i="1" a="1"/>
  <c r="AJ1208" i="1" s="1"/>
  <c r="AJ1209" i="1" a="1"/>
  <c r="AJ1209" i="1" s="1"/>
  <c r="AJ1210" i="1" a="1"/>
  <c r="AJ1210" i="1"/>
  <c r="AJ1211" i="1" a="1"/>
  <c r="AJ1211" i="1" s="1"/>
  <c r="AJ1212" i="1" a="1"/>
  <c r="AJ1212" i="1" s="1"/>
  <c r="AJ1213" i="1" a="1"/>
  <c r="AJ1213" i="1" s="1"/>
  <c r="AJ1214" i="1" a="1"/>
  <c r="AJ1214" i="1" s="1"/>
  <c r="AJ1215" i="1" a="1"/>
  <c r="AJ1215" i="1"/>
  <c r="AJ1216" i="1" a="1"/>
  <c r="AJ1216" i="1" s="1"/>
  <c r="AJ1217" i="1" a="1"/>
  <c r="AJ1217" i="1" s="1"/>
  <c r="AJ1218" i="1" a="1"/>
  <c r="AJ1218" i="1"/>
  <c r="AJ1219" i="1" a="1"/>
  <c r="AJ1219" i="1"/>
  <c r="AJ1220" i="1" a="1"/>
  <c r="AJ1220" i="1" s="1"/>
  <c r="AJ1221" i="1" a="1"/>
  <c r="AJ1221" i="1" s="1"/>
  <c r="AJ1222" i="1" a="1"/>
  <c r="AJ1222" i="1" s="1"/>
  <c r="AJ1223" i="1" a="1"/>
  <c r="AJ1223" i="1" s="1"/>
  <c r="AJ1224" i="1" a="1"/>
  <c r="AJ1224" i="1" s="1"/>
  <c r="AJ1225" i="1" a="1"/>
  <c r="AJ1225" i="1"/>
  <c r="AJ1226" i="1" a="1"/>
  <c r="AJ1226" i="1"/>
  <c r="AJ1227" i="1" a="1"/>
  <c r="AJ1227" i="1" s="1"/>
  <c r="AJ1228" i="1" a="1"/>
  <c r="AJ1228" i="1" s="1"/>
  <c r="AJ1229" i="1" a="1"/>
  <c r="AJ1229" i="1" s="1"/>
  <c r="AJ1230" i="1" a="1"/>
  <c r="AJ1230" i="1" s="1"/>
  <c r="AJ1231" i="1" a="1"/>
  <c r="AJ1231" i="1" s="1"/>
  <c r="AJ1232" i="1" a="1"/>
  <c r="AJ1232" i="1" s="1"/>
  <c r="AJ1233" i="1" a="1"/>
  <c r="AJ1233" i="1" s="1"/>
  <c r="AJ1234" i="1" a="1"/>
  <c r="AJ1234" i="1"/>
  <c r="AJ1235" i="1" a="1"/>
  <c r="AJ1235" i="1" s="1"/>
  <c r="AJ1236" i="1" a="1"/>
  <c r="AJ1236" i="1" s="1"/>
  <c r="AJ1237" i="1" a="1"/>
  <c r="AJ1237" i="1" s="1"/>
  <c r="AJ1238" i="1" a="1"/>
  <c r="AJ1238" i="1" s="1"/>
  <c r="AJ1239" i="1" a="1"/>
  <c r="AJ1239" i="1" s="1"/>
  <c r="AJ1240" i="1" a="1"/>
  <c r="AJ1240" i="1" s="1"/>
  <c r="AJ1241" i="1" a="1"/>
  <c r="AJ1241" i="1" s="1"/>
  <c r="AJ1242" i="1" a="1"/>
  <c r="AJ1242" i="1"/>
  <c r="AJ1243" i="1" a="1"/>
  <c r="AJ1243" i="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c r="AJ1260" i="1" a="1"/>
  <c r="AJ1260" i="1" s="1"/>
  <c r="AJ1261" i="1" a="1"/>
  <c r="AJ1261" i="1" s="1"/>
  <c r="AJ1262" i="1" a="1"/>
  <c r="AJ1262" i="1" s="1"/>
  <c r="AJ1263" i="1" a="1"/>
  <c r="AJ1263" i="1" s="1"/>
  <c r="AJ1264" i="1" a="1"/>
  <c r="AJ1264" i="1" s="1"/>
  <c r="AJ1265" i="1" a="1"/>
  <c r="AJ1265" i="1" s="1"/>
  <c r="AJ1266" i="1" a="1"/>
  <c r="AJ1266" i="1"/>
  <c r="AJ1267" i="1" a="1"/>
  <c r="AJ1267" i="1"/>
  <c r="AJ1268" i="1" a="1"/>
  <c r="AJ1268" i="1" s="1"/>
  <c r="AJ1269" i="1" a="1"/>
  <c r="AJ1269" i="1" s="1"/>
  <c r="AJ1270" i="1" a="1"/>
  <c r="AJ1270" i="1" s="1"/>
  <c r="AJ1271" i="1" a="1"/>
  <c r="AJ1271" i="1" s="1"/>
  <c r="AJ1272" i="1" a="1"/>
  <c r="AJ1272" i="1" s="1"/>
  <c r="AJ1273" i="1" a="1"/>
  <c r="AJ1273" i="1"/>
  <c r="AJ1274" i="1" a="1"/>
  <c r="AJ1274" i="1"/>
  <c r="AJ1275" i="1" a="1"/>
  <c r="AJ1275" i="1" s="1"/>
  <c r="AJ1276" i="1" a="1"/>
  <c r="AJ1276" i="1" s="1"/>
  <c r="AJ1277" i="1" a="1"/>
  <c r="AJ1277" i="1" s="1"/>
  <c r="AJ1278" i="1" a="1"/>
  <c r="AJ1278" i="1" s="1"/>
  <c r="AJ1279" i="1" a="1"/>
  <c r="AJ1279" i="1" s="1"/>
  <c r="AJ1280" i="1" a="1"/>
  <c r="AJ1280" i="1"/>
  <c r="AJ1281" i="1" a="1"/>
  <c r="AJ1281" i="1"/>
  <c r="AJ1282" i="1" a="1"/>
  <c r="AJ1282" i="1" s="1"/>
  <c r="AJ1283" i="1" a="1"/>
  <c r="AJ1283" i="1" s="1"/>
  <c r="AJ1284" i="1" a="1"/>
  <c r="AJ1284" i="1" s="1"/>
  <c r="AJ1285" i="1" a="1"/>
  <c r="AJ1285" i="1" s="1"/>
  <c r="AJ1286" i="1" a="1"/>
  <c r="AJ1286" i="1"/>
  <c r="AJ1287" i="1" a="1"/>
  <c r="AJ1287" i="1" s="1"/>
  <c r="AJ1288" i="1" a="1"/>
  <c r="AJ1288" i="1" s="1"/>
  <c r="AJ1289" i="1" a="1"/>
  <c r="AJ1289" i="1"/>
  <c r="AJ1290" i="1" a="1"/>
  <c r="AJ1290" i="1" s="1"/>
  <c r="AJ1291" i="1" a="1"/>
  <c r="AJ1291" i="1" s="1"/>
  <c r="AJ1292" i="1" a="1"/>
  <c r="AJ1292" i="1" s="1"/>
  <c r="AJ1293" i="1" a="1"/>
  <c r="AJ1293" i="1"/>
  <c r="AJ1294" i="1" a="1"/>
  <c r="AJ1294" i="1" s="1"/>
  <c r="AJ1295" i="1" a="1"/>
  <c r="AJ1295" i="1" s="1"/>
  <c r="AJ1296" i="1" a="1"/>
  <c r="AJ1296" i="1" s="1"/>
  <c r="AJ1297" i="1" a="1"/>
  <c r="AJ1297" i="1" s="1"/>
  <c r="AJ1298" i="1" a="1"/>
  <c r="AJ1298" i="1"/>
  <c r="AJ1299" i="1" a="1"/>
  <c r="AJ1299" i="1" s="1"/>
  <c r="AJ1300" i="1" a="1"/>
  <c r="AJ1300" i="1" s="1"/>
  <c r="AJ1301" i="1" a="1"/>
  <c r="AJ1301" i="1" s="1"/>
  <c r="AJ1302" i="1" a="1"/>
  <c r="AJ1302" i="1" s="1"/>
  <c r="AJ1303" i="1" a="1"/>
  <c r="AJ1303" i="1" s="1"/>
  <c r="AJ1304" i="1" a="1"/>
  <c r="AJ1304" i="1"/>
  <c r="AJ1305" i="1" a="1"/>
  <c r="AJ1305" i="1"/>
  <c r="AJ1306" i="1" a="1"/>
  <c r="AJ1306" i="1" s="1"/>
  <c r="AJ1307" i="1" a="1"/>
  <c r="AJ1307" i="1" s="1"/>
  <c r="AJ1308" i="1" a="1"/>
  <c r="AJ1308" i="1" s="1"/>
  <c r="AJ1309" i="1" a="1"/>
  <c r="AJ1309" i="1" s="1"/>
  <c r="AJ1310" i="1" a="1"/>
  <c r="AJ1310" i="1" s="1"/>
  <c r="AJ1311" i="1" a="1"/>
  <c r="AJ1311" i="1" s="1"/>
  <c r="AJ1312" i="1" a="1"/>
  <c r="AJ1312" i="1" s="1"/>
  <c r="AJ1313" i="1" a="1"/>
  <c r="AJ1313" i="1"/>
  <c r="AJ1314" i="1" a="1"/>
  <c r="AJ1314" i="1" s="1"/>
  <c r="AJ1315" i="1" a="1"/>
  <c r="AJ1315" i="1" s="1"/>
  <c r="AJ1316" i="1" a="1"/>
  <c r="AJ1316" i="1" s="1"/>
  <c r="AJ1317" i="1" a="1"/>
  <c r="AJ1317" i="1"/>
  <c r="AJ1318" i="1" a="1"/>
  <c r="AJ1318" i="1" s="1"/>
  <c r="AJ1319" i="1" a="1"/>
  <c r="AJ1319" i="1"/>
  <c r="AJ1320" i="1" a="1"/>
  <c r="AJ1320" i="1"/>
  <c r="AJ1321" i="1" a="1"/>
  <c r="AJ1321" i="1" s="1"/>
  <c r="AJ1322" i="1" a="1"/>
  <c r="AJ1322" i="1" s="1"/>
  <c r="AJ1323" i="1" a="1"/>
  <c r="AJ1323" i="1" s="1"/>
  <c r="AJ1324" i="1" a="1"/>
  <c r="AJ1324" i="1" s="1"/>
  <c r="AJ1325" i="1" a="1"/>
  <c r="AJ1325" i="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335" i="1" a="1"/>
  <c r="AJ1335" i="1" s="1"/>
  <c r="AJ1336" i="1" a="1"/>
  <c r="AJ1336" i="1"/>
  <c r="AJ1337" i="1" a="1"/>
  <c r="AJ1337" i="1"/>
  <c r="AJ1338" i="1" a="1"/>
  <c r="AJ1338" i="1" s="1"/>
  <c r="AJ1339" i="1" a="1"/>
  <c r="AJ1339" i="1" s="1"/>
  <c r="AJ1340" i="1" a="1"/>
  <c r="AJ1340" i="1" s="1"/>
  <c r="AJ1341" i="1" a="1"/>
  <c r="AJ1341" i="1" s="1"/>
  <c r="AJ1342" i="1" a="1"/>
  <c r="AJ1342" i="1" s="1"/>
  <c r="AJ1343" i="1" a="1"/>
  <c r="AJ1343" i="1"/>
  <c r="AJ1344" i="1" a="1"/>
  <c r="AJ1344" i="1"/>
  <c r="AJ1345" i="1" a="1"/>
  <c r="AJ1345" i="1" s="1"/>
  <c r="AJ1346" i="1" a="1"/>
  <c r="AJ1346" i="1" s="1"/>
  <c r="AJ1347" i="1" a="1"/>
  <c r="AJ1347" i="1" s="1"/>
  <c r="AJ1348" i="1" a="1"/>
  <c r="AJ1348" i="1" s="1"/>
  <c r="AJ1349" i="1" a="1"/>
  <c r="AJ1349" i="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c r="AJ1361" i="1" a="1"/>
  <c r="AJ1361" i="1"/>
  <c r="AJ1362" i="1" a="1"/>
  <c r="AJ1362" i="1" s="1"/>
  <c r="AJ1363" i="1" a="1"/>
  <c r="AJ1363" i="1" s="1"/>
  <c r="AJ1364" i="1" a="1"/>
  <c r="AJ1364" i="1" s="1"/>
  <c r="AJ1365" i="1" a="1"/>
  <c r="AJ1365" i="1" s="1"/>
  <c r="AJ1366" i="1" a="1"/>
  <c r="AJ1366" i="1" s="1"/>
  <c r="AJ1367" i="1" a="1"/>
  <c r="AJ1367" i="1"/>
  <c r="AJ1368" i="1" a="1"/>
  <c r="AJ1368" i="1"/>
  <c r="AJ1369" i="1" a="1"/>
  <c r="AJ1369" i="1" s="1"/>
  <c r="AJ1370" i="1" a="1"/>
  <c r="AJ1370" i="1" s="1"/>
  <c r="AJ1371" i="1" a="1"/>
  <c r="AJ1371" i="1" s="1"/>
  <c r="AJ1372" i="1" a="1"/>
  <c r="AJ1372" i="1" s="1"/>
  <c r="AJ1373" i="1" a="1"/>
  <c r="AJ1373" i="1"/>
  <c r="AJ1374" i="1" a="1"/>
  <c r="AJ1374" i="1" s="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c r="AJ1385" i="1" a="1"/>
  <c r="AJ1385" i="1"/>
  <c r="AJ1386" i="1" a="1"/>
  <c r="AJ1386" i="1" s="1"/>
  <c r="AJ1387" i="1" a="1"/>
  <c r="AJ1387" i="1" s="1"/>
  <c r="AJ1388" i="1" a="1"/>
  <c r="AJ1388" i="1" s="1"/>
  <c r="AJ1389" i="1" a="1"/>
  <c r="AJ1389" i="1" s="1"/>
  <c r="AJ1390" i="1" a="1"/>
  <c r="AJ1390" i="1" s="1"/>
  <c r="AJ1391" i="1" a="1"/>
  <c r="AJ1391" i="1"/>
  <c r="AJ1392" i="1" a="1"/>
  <c r="AJ1392" i="1"/>
  <c r="AJ1393" i="1" a="1"/>
  <c r="AJ1393" i="1" s="1"/>
  <c r="AJ1394" i="1" a="1"/>
  <c r="AJ1394" i="1" s="1"/>
  <c r="AJ1395" i="1" a="1"/>
  <c r="AJ1395" i="1" s="1"/>
  <c r="AJ1396" i="1" a="1"/>
  <c r="AJ1396" i="1" s="1"/>
  <c r="AJ1397" i="1" a="1"/>
  <c r="AJ1397" i="1"/>
  <c r="AJ1398" i="1" a="1"/>
  <c r="AJ1398" i="1" s="1"/>
  <c r="AJ1399" i="1" a="1"/>
  <c r="AJ1399" i="1" s="1"/>
  <c r="AJ1400" i="1" a="1"/>
  <c r="AJ1400" i="1" s="1"/>
  <c r="AJ1401" i="1" a="1"/>
  <c r="AJ1401" i="1" s="1"/>
  <c r="AJ1402" i="1" a="1"/>
  <c r="AJ1402" i="1" s="1"/>
  <c r="AJ1403" i="1" a="1"/>
  <c r="AJ1403" i="1" s="1"/>
  <c r="AJ1404" i="1" a="1"/>
  <c r="AJ1404" i="1" s="1"/>
  <c r="AJ1405" i="1" a="1"/>
  <c r="AJ1405" i="1" s="1"/>
  <c r="AJ1406" i="1" a="1"/>
  <c r="AJ1406" i="1" s="1"/>
  <c r="AJ1407" i="1" a="1"/>
  <c r="AJ1407" i="1" s="1"/>
  <c r="AJ1408" i="1" a="1"/>
  <c r="AJ1408" i="1"/>
  <c r="AJ1409" i="1" a="1"/>
  <c r="AJ1409" i="1"/>
  <c r="AJ1410" i="1" a="1"/>
  <c r="AJ1410" i="1" s="1"/>
  <c r="AJ1411" i="1" a="1"/>
  <c r="AJ1411" i="1" s="1"/>
  <c r="AJ1412" i="1" a="1"/>
  <c r="AJ1412" i="1" s="1"/>
  <c r="AJ1413" i="1" a="1"/>
  <c r="AJ1413" i="1" s="1"/>
  <c r="AJ1414" i="1" a="1"/>
  <c r="AJ1414" i="1" s="1"/>
  <c r="AJ1415" i="1" a="1"/>
  <c r="AJ1415" i="1"/>
  <c r="AJ1416" i="1" a="1"/>
  <c r="AJ1416" i="1"/>
  <c r="AJ1417" i="1" a="1"/>
  <c r="AJ1417" i="1" s="1"/>
  <c r="AJ1418" i="1" a="1"/>
  <c r="AJ1418" i="1" s="1"/>
  <c r="AJ1419" i="1" a="1"/>
  <c r="AJ1419" i="1" s="1"/>
  <c r="AJ1420" i="1" a="1"/>
  <c r="AJ1420" i="1" s="1"/>
  <c r="AJ1421" i="1" a="1"/>
  <c r="AJ1421" i="1"/>
  <c r="AJ1422" i="1" a="1"/>
  <c r="AJ1422"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c r="AJ1433" i="1" a="1"/>
  <c r="AJ1433" i="1"/>
  <c r="AJ1434" i="1" a="1"/>
  <c r="AJ1434" i="1" s="1"/>
  <c r="AJ1435" i="1" a="1"/>
  <c r="AJ1435" i="1" s="1"/>
  <c r="AJ1436" i="1" a="1"/>
  <c r="AJ1436" i="1" s="1"/>
  <c r="AJ1437" i="1" a="1"/>
  <c r="AJ1437" i="1" s="1"/>
  <c r="AJ1438" i="1" a="1"/>
  <c r="AJ1438" i="1" s="1"/>
  <c r="AJ1439" i="1" a="1"/>
  <c r="AJ1439" i="1"/>
  <c r="AJ1440" i="1" a="1"/>
  <c r="AJ1440" i="1"/>
  <c r="AJ1441" i="1" a="1"/>
  <c r="AJ1441" i="1" s="1"/>
  <c r="AJ1442" i="1" a="1"/>
  <c r="AJ1442" i="1" s="1"/>
  <c r="AJ1443" i="1" a="1"/>
  <c r="AJ1443" i="1" s="1"/>
  <c r="AJ1444" i="1" a="1"/>
  <c r="AJ1444" i="1" s="1"/>
  <c r="AJ1445" i="1" a="1"/>
  <c r="AJ1445" i="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s="1"/>
  <c r="AJ1456" i="1" a="1"/>
  <c r="AJ1456" i="1"/>
  <c r="AJ1457" i="1" a="1"/>
  <c r="AJ1457" i="1"/>
  <c r="AJ1458" i="1" a="1"/>
  <c r="AJ1458" i="1" s="1"/>
  <c r="AJ1459" i="1" a="1"/>
  <c r="AJ1459" i="1" s="1"/>
  <c r="AJ1460" i="1" a="1"/>
  <c r="AJ1460" i="1" s="1"/>
  <c r="AJ1461" i="1" a="1"/>
  <c r="AJ1461" i="1" s="1"/>
  <c r="AJ1462" i="1" a="1"/>
  <c r="AJ1462" i="1" s="1"/>
  <c r="AJ1463" i="1" a="1"/>
  <c r="AJ1463" i="1"/>
  <c r="AJ1464" i="1" a="1"/>
  <c r="AJ1464" i="1"/>
  <c r="AJ1465" i="1" a="1"/>
  <c r="AJ1465" i="1" s="1"/>
  <c r="AJ1466" i="1" a="1"/>
  <c r="AJ1466" i="1" s="1"/>
  <c r="AJ1467" i="1" a="1"/>
  <c r="AJ1467" i="1" s="1"/>
  <c r="AJ1468" i="1" a="1"/>
  <c r="AJ1468" i="1" s="1"/>
  <c r="AJ1469" i="1" a="1"/>
  <c r="AJ1469" i="1"/>
  <c r="AJ1470" i="1" a="1"/>
  <c r="AJ1470" i="1" s="1"/>
  <c r="AJ1471" i="1" a="1"/>
  <c r="AJ1471" i="1" s="1"/>
  <c r="B1473" i="1"/>
  <c r="C1473" i="1"/>
  <c r="D1473" i="1"/>
  <c r="E1473" i="1"/>
  <c r="F1473" i="1"/>
  <c r="G1473" i="1"/>
  <c r="H1473" i="1"/>
  <c r="I1473" i="1"/>
  <c r="J1473" i="1"/>
  <c r="K1473" i="1"/>
  <c r="L1473" i="1"/>
  <c r="M1473" i="1"/>
  <c r="N1473" i="1"/>
  <c r="O1473" i="1"/>
  <c r="P1473" i="1"/>
  <c r="Q1473" i="1"/>
  <c r="R1473" i="1"/>
  <c r="S1473" i="1"/>
  <c r="T1473" i="1"/>
  <c r="U1473" i="1"/>
  <c r="V1473" i="1"/>
  <c r="W1473" i="1"/>
  <c r="X1473" i="1"/>
  <c r="Y1473" i="1"/>
  <c r="Z1473" i="1"/>
  <c r="AA1473" i="1"/>
  <c r="AB1473" i="1"/>
  <c r="AC1473" i="1"/>
  <c r="AD1473" i="1"/>
  <c r="AE1473" i="1"/>
  <c r="AF1473" i="1"/>
  <c r="AG1473" i="1"/>
  <c r="AH1473" i="1"/>
  <c r="AI1473" i="1"/>
  <c r="A1473" i="1"/>
  <c r="AJ2" i="2" a="1"/>
  <c r="AJ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<sst xmlns="http://schemas.openxmlformats.org/spreadsheetml/2006/main" count="26594" uniqueCount="90">
  <si>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</si>
  <si>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</si>
  <si>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</si>
  <si>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</si>
  <si>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</si>
  <si>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</si>
  <si>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</si>
  <si>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</si>
  <si>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</si>
  <si>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</si>
  <si>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</si>
  <si>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</si>
  <si>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</si>
  <si>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</si>
  <si>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</si>
  <si>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</si>
  <si>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</si>
  <si>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</si>
  <si>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</si>
  <si>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</si>
  <si>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</si>
  <si>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</si>
  <si>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</si>
  <si>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</si>
  <si>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</si>
  <si>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</si>
  <si>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</si>
  <si>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</si>
  <si>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</si>
  <si>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</si>
  <si>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</si>
  <si>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</si>
  <si>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</si>
  <si>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</si>
  <si>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</si>
  <si>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</si>
  <si>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</si>
  <si>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</si>
  <si>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</si>
  <si>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</si>
  <si>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</si>
  <si>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</si>
  <si>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</si>
  <si>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</si>
  <si>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</si>
  <si>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</si>
  <si>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</si>
  <si>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</si>
  <si>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</si>
  <si>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</si>
  <si>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</si>
  <si>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</si>
  <si>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</si>
  <si>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</si>
  <si>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</si>
  <si>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</si>
  <si>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</si>
  <si>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</si>
  <si>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</si>
  <si>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</si>
  <si>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</si>
  <si>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</si>
  <si>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</si>
  <si>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SalaryBand</t>
  </si>
  <si>
    <t xml:space="preserve">Question </t>
  </si>
  <si>
    <t>Answers</t>
  </si>
  <si>
    <t xml:space="preserve">How many Employees Left? </t>
  </si>
  <si>
    <t>Attrition Rate</t>
  </si>
  <si>
    <t>Avg Salary of Employees Who Left?</t>
  </si>
  <si>
    <t>Avg Salary of Employees Who Stayed?</t>
  </si>
  <si>
    <t>Employees Left</t>
  </si>
  <si>
    <t>Enter Employee ID</t>
  </si>
  <si>
    <t>Department Result</t>
  </si>
  <si>
    <t>Sales Stayers Avg Satisfaction</t>
  </si>
  <si>
    <t>Sales Leavers Avg Satisfaction</t>
  </si>
  <si>
    <t>Row Labels</t>
  </si>
  <si>
    <t>Grand Total</t>
  </si>
  <si>
    <t>Column Labels</t>
  </si>
  <si>
    <t>Count of EmployeeNumber</t>
  </si>
  <si>
    <t>26–35</t>
  </si>
  <si>
    <t>36–45</t>
  </si>
  <si>
    <t>46+</t>
  </si>
  <si>
    <t>Under 25</t>
  </si>
  <si>
    <t>Count of Attrition</t>
  </si>
  <si>
    <t>Average of MonthlyIncome</t>
  </si>
  <si>
    <t>$6,503</t>
  </si>
  <si>
    <t>TOTAL EMPLOYEES</t>
  </si>
  <si>
    <t>ATTRITION RATE</t>
  </si>
  <si>
    <t>AVG MONTHLY INCOME</t>
  </si>
  <si>
    <t>AVG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</si>
</sst>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44" formatCode="_ &quot;₹&quot;\ * #,##0.00_ ;_ &quot;₹&quot;\ * \-#,##0.00_ ;_ &quot;₹&quot;\ * &quot;-&quot;??_ ;_ @_ "/>
    <numFmt numFmtId="164" formatCode="0.000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1" tint="0.249977111117893"/>
        <bgColor indexed="64"/>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xf numFmtId="0" fontId="16" fillId="33" borderId="0" xfId="0" applyFont="1" applyFill="1"/>
    <xf numFmtId="10" fontId="0" fillId="0" borderId="0" xfId="1" applyNumberFormat="1" applyFont="1"/>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42" fontId="0" fillId="0" borderId="0" xfId="0" applyNumberFormat="1"/>
    <xf numFmtId="0" fontId="17" fillId="34" borderId="0" xfId="0" applyFont="1" applyFill="1"/>
    <xf numFmtId="0" fontId="17" fillId="34" borderId="0" xfId="0" applyFont="1" applyFill="1" applyAlignment="1">
      <alignment horizontal="center"/>
    </xf>
    <xf numFmtId="0" fontId="18" fillId="35" borderId="0" xfId="0" applyFont="1" applyFill="1" applyAlignment="1">
      <alignment horizontal="center" vertical="center"/>
    </xf>
    <xf numFmtId="0" fontId="13" fillId="33" borderId="0" xfId="0" applyFont="1" applyFill="1" applyAlignment="1">
      <alignment horizontal="center" vertical="center"/>
    </xf>
    <xf numFmtId="3" fontId="18" fillId="35" borderId="0" xfId="0" applyNumberFormat="1" applyFont="1" applyFill="1" applyAlignment="1">
      <alignment horizontal="center" vertical="center"/>
    </xf>
    <xf numFmtId="10" fontId="18" fillId="35" borderId="0" xfId="1" applyNumberFormat="1" applyFont="1" applyFill="1" applyAlignment="1">
      <alignment horizontal="center" vertical="center"/>
    </xf>
    <xf numFmtId="0" fontId="18" fillId="35" borderId="0" xfId="1" applyNumberFormat="1" applyFont="1" applyFill="1" applyAlignment="1">
      <alignment horizontal="center" vertical="center"/>
    </xf>
    <xf numFmtId="0" fontId="13"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1!PivotTable5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1'!$B$3:$B$4</c:f>
              <c:strCache>
                <c:ptCount val="1"/>
                <c:pt idx="0">
                  <c:v>No</c:v>
                </c:pt>
              </c:strCache>
            </c:strRef>
          </c:tx>
          <c:spPr>
            <a:solidFill>
              <a:schemeClr val="accent1"/>
            </a:solidFill>
            <a:ln>
              <a:noFill/>
            </a:ln>
            <a:effectLst/>
          </c:spPr>
          <c:invertIfNegative val="0"/>
          <c:cat>
            <c:strRef>
              <c:f>'Pivot 1'!$A$5:$A$8</c:f>
              <c:strCache>
                <c:ptCount val="3"/>
                <c:pt idx="0">
                  <c:v>Human Resources</c:v>
                </c:pt>
                <c:pt idx="1">
                  <c:v>Research &amp; Development</c:v>
                </c:pt>
                <c:pt idx="2">
                  <c:v>Sales</c:v>
                </c:pt>
              </c:strCache>
            </c:strRef>
          </c:cat>
          <c:val>
            <c:numRef>
              <c:f>'Pivot 1'!$B$5:$B$8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590A-44FE-8B3E-96FAE9A08EC1}"/>
            </c:ext>
          </c:extLst>
        </c:ser>
        <c:ser>
          <c:idx val="1"/>
          <c:order val="1"/>
          <c:tx>
            <c:strRef>
              <c:f>'Pivot 1'!$C$3:$C$4</c:f>
              <c:strCache>
                <c:ptCount val="1"/>
                <c:pt idx="0">
                  <c:v>Yes</c:v>
                </c:pt>
              </c:strCache>
            </c:strRef>
          </c:tx>
          <c:spPr>
            <a:solidFill>
              <a:schemeClr val="accent2"/>
            </a:solidFill>
            <a:ln>
              <a:noFill/>
            </a:ln>
            <a:effectLst/>
          </c:spPr>
          <c:invertIfNegative val="0"/>
          <c:cat>
            <c:strRef>
              <c:f>'Pivot 1'!$A$5:$A$8</c:f>
              <c:strCache>
                <c:ptCount val="3"/>
                <c:pt idx="0">
                  <c:v>Human Resources</c:v>
                </c:pt>
                <c:pt idx="1">
                  <c:v>Research &amp; Development</c:v>
                </c:pt>
                <c:pt idx="2">
                  <c:v>Sales</c:v>
                </c:pt>
              </c:strCache>
            </c:strRef>
          </c:cat>
          <c:val>
            <c:numRef>
              <c:f>'Pivot 1'!$C$5:$C$8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7-590A-44FE-8B3E-96FAE9A08EC1}"/>
            </c:ext>
          </c:extLst>
        </c:ser>
        <c:dLbls>
          <c:showLegendKey val="0"/>
          <c:showVal val="0"/>
          <c:showCatName val="0"/>
          <c:showSerName val="0"/>
          <c:showPercent val="0"/>
          <c:showBubbleSize val="0"/>
        </c:dLbls>
        <c:gapWidth val="182"/>
        <c:axId val="31223071"/>
        <c:axId val="31223551"/>
      </c:barChart>
      <c:catAx>
        <c:axId val="3122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223551"/>
        <c:crosses val="autoZero"/>
        <c:auto val="1"/>
        <c:lblAlgn val="ctr"/>
        <c:lblOffset val="100"/>
        <c:noMultiLvlLbl val="0"/>
      </c:catAx>
      <c:valAx>
        <c:axId val="31223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2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2!PivotTable2</c:name>
    <c:fmtId val="1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Which Age Group has Highest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04513252384784E-2"/>
          <c:y val="0.34882618181501313"/>
          <c:w val="0.77357111283776814"/>
          <c:h val="0.44838732750542171"/>
        </c:manualLayout>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2'!$A$4:$A$8</c:f>
              <c:strCache>
                <c:ptCount val="4"/>
                <c:pt idx="0">
                  <c:v>26–35</c:v>
                </c:pt>
                <c:pt idx="1">
                  <c:v>36–45</c:v>
                </c:pt>
                <c:pt idx="2">
                  <c:v>46+</c:v>
                </c:pt>
                <c:pt idx="3">
                  <c:v>Under 25</c:v>
                </c:pt>
              </c:strCache>
            </c:strRef>
          </c:cat>
          <c:val>
            <c:numRef>
              <c:f>'Pivot 2'!$B$4:$B$8</c:f>
              <c:numCache>
                <c:formatCode>General</c:formatCode>
                <c:ptCount val="4"/>
                <c:pt idx="0">
                  <c:v>116</c:v>
                </c:pt>
                <c:pt idx="1">
                  <c:v>43</c:v>
                </c:pt>
                <c:pt idx="2">
                  <c:v>34</c:v>
                </c:pt>
                <c:pt idx="3">
                  <c:v>44</c:v>
                </c:pt>
              </c:numCache>
            </c:numRef>
          </c:val>
          <c:extLst>
            <c:ext xmlns:c16="http://schemas.microsoft.com/office/drawing/2014/chart" uri="{C3380CC4-5D6E-409C-BE32-E72D297353CC}">
              <c16:uniqueId val="{00000000-1046-46F1-AC9F-48DBB461581F}"/>
            </c:ext>
          </c:extLst>
        </c:ser>
        <c:dLbls>
          <c:showLegendKey val="0"/>
          <c:showVal val="0"/>
          <c:showCatName val="0"/>
          <c:showSerName val="0"/>
          <c:showPercent val="0"/>
          <c:showBubbleSize val="0"/>
        </c:dLbls>
        <c:gapWidth val="219"/>
        <c:overlap val="-27"/>
        <c:axId val="28245743"/>
        <c:axId val="28246223"/>
      </c:barChart>
      <c:catAx>
        <c:axId val="2824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246223"/>
        <c:crosses val="autoZero"/>
        <c:auto val="1"/>
        <c:lblAlgn val="ctr"/>
        <c:lblOffset val="100"/>
        <c:noMultiLvlLbl val="0"/>
      </c:catAx>
      <c:valAx>
        <c:axId val="2824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24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3!PivotTable3</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14329569587248"/>
          <c:y val="0.2677982340903689"/>
          <c:w val="0.34080541187437358"/>
          <c:h val="0.62296127464666795"/>
        </c:manualLayout>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3'!$A$4:$A$13</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 3'!$B$4:$B$13</c:f>
              <c:numCache>
                <c:formatCode>_("₹"* #,##0_);_("₹"* \(#,##0\);_("₹"* "-"_);_(@_)</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9E35-4465-AC64-348A20EDEBB2}"/>
            </c:ext>
          </c:extLst>
        </c:ser>
        <c:dLbls>
          <c:showLegendKey val="0"/>
          <c:showVal val="0"/>
          <c:showCatName val="0"/>
          <c:showSerName val="0"/>
          <c:showPercent val="0"/>
          <c:showBubbleSize val="0"/>
        </c:dLbls>
        <c:gapWidth val="182"/>
        <c:axId val="28246703"/>
        <c:axId val="28247183"/>
      </c:barChart>
      <c:catAx>
        <c:axId val="2824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247183"/>
        <c:crosses val="autoZero"/>
        <c:auto val="1"/>
        <c:lblAlgn val="ctr"/>
        <c:lblOffset val="100"/>
        <c:noMultiLvlLbl val="0"/>
      </c:catAx>
      <c:valAx>
        <c:axId val="2824718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2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4!PivotTable6</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Attrition Breakdown For Overtime Employees</a:t>
            </a:r>
          </a:p>
        </c:rich>
      </c:tx>
      <c:layout>
        <c:manualLayout>
          <c:xMode val="edge"/>
          <c:yMode val="edge"/>
          <c:x val="0.1393401137357830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4313210848646"/>
          <c:y val="0.23972003499562555"/>
          <c:w val="0.42900262467191602"/>
          <c:h val="0.71500437445319331"/>
        </c:manualLayout>
      </c:layout>
      <c:doughnutChart>
        <c:varyColors val="1"/>
        <c:ser>
          <c:idx val="0"/>
          <c:order val="0"/>
          <c:tx>
            <c:strRef>
              <c:f>'Pivot 4'!$B$3:$B$4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13-4F57-AC9A-10D8326555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13-4F57-AC9A-10D832655580}"/>
              </c:ext>
            </c:extLst>
          </c:dPt>
          <c:cat>
            <c:strRef>
              <c:f>'Pivot 4'!$A$5:$A$7</c:f>
              <c:strCache>
                <c:ptCount val="2"/>
                <c:pt idx="0">
                  <c:v>No</c:v>
                </c:pt>
                <c:pt idx="1">
                  <c:v>Yes</c:v>
                </c:pt>
              </c:strCache>
            </c:strRef>
          </c:cat>
          <c:val>
            <c:numRef>
              <c:f>'Pivot 4'!$B$5:$B$7</c:f>
              <c:numCache>
                <c:formatCode>0.00%</c:formatCode>
                <c:ptCount val="2"/>
                <c:pt idx="0">
                  <c:v>0.89563567362428842</c:v>
                </c:pt>
                <c:pt idx="1">
                  <c:v>0.69471153846153844</c:v>
                </c:pt>
              </c:numCache>
            </c:numRef>
          </c:val>
          <c:extLst>
            <c:ext xmlns:c16="http://schemas.microsoft.com/office/drawing/2014/chart" uri="{C3380CC4-5D6E-409C-BE32-E72D297353CC}">
              <c16:uniqueId val="{00000004-5213-4F57-AC9A-10D832655580}"/>
            </c:ext>
          </c:extLst>
        </c:ser>
        <c:ser>
          <c:idx val="1"/>
          <c:order val="1"/>
          <c:tx>
            <c:strRef>
              <c:f>'Pivot 4'!$C$3:$C$4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F43-4588-B75C-6901EDADC1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F43-4588-B75C-6901EDADC133}"/>
              </c:ext>
            </c:extLst>
          </c:dPt>
          <c:cat>
            <c:strRef>
              <c:f>'Pivot 4'!$A$5:$A$7</c:f>
              <c:strCache>
                <c:ptCount val="2"/>
                <c:pt idx="0">
                  <c:v>No</c:v>
                </c:pt>
                <c:pt idx="1">
                  <c:v>Yes</c:v>
                </c:pt>
              </c:strCache>
            </c:strRef>
          </c:cat>
          <c:val>
            <c:numRef>
              <c:f>'Pivot 4'!$C$5:$C$7</c:f>
              <c:numCache>
                <c:formatCode>0.00%</c:formatCode>
                <c:ptCount val="2"/>
                <c:pt idx="0">
                  <c:v>0.10436432637571158</c:v>
                </c:pt>
                <c:pt idx="1">
                  <c:v>0.30528846153846156</c:v>
                </c:pt>
              </c:numCache>
            </c:numRef>
          </c:val>
          <c:extLst>
            <c:ext xmlns:c16="http://schemas.microsoft.com/office/drawing/2014/chart" uri="{C3380CC4-5D6E-409C-BE32-E72D297353CC}">
              <c16:uniqueId val="{0000000D-5213-4F57-AC9A-10D8326555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1!PivotTable5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1'!$B$3:$B$4</c:f>
              <c:strCache>
                <c:ptCount val="1"/>
                <c:pt idx="0">
                  <c:v>No</c:v>
                </c:pt>
              </c:strCache>
            </c:strRef>
          </c:tx>
          <c:spPr>
            <a:solidFill>
              <a:schemeClr val="accent1"/>
            </a:solidFill>
            <a:ln>
              <a:noFill/>
            </a:ln>
            <a:effectLst/>
          </c:spPr>
          <c:invertIfNegative val="0"/>
          <c:cat>
            <c:strRef>
              <c:f>'Pivot 1'!$A$5:$A$8</c:f>
              <c:strCache>
                <c:ptCount val="3"/>
                <c:pt idx="0">
                  <c:v>Human Resources</c:v>
                </c:pt>
                <c:pt idx="1">
                  <c:v>Research &amp; Development</c:v>
                </c:pt>
                <c:pt idx="2">
                  <c:v>Sales</c:v>
                </c:pt>
              </c:strCache>
            </c:strRef>
          </c:cat>
          <c:val>
            <c:numRef>
              <c:f>'Pivot 1'!$B$5:$B$8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25FE-4420-B1BF-437662E955B0}"/>
            </c:ext>
          </c:extLst>
        </c:ser>
        <c:ser>
          <c:idx val="1"/>
          <c:order val="1"/>
          <c:tx>
            <c:strRef>
              <c:f>'Pivot 1'!$C$3:$C$4</c:f>
              <c:strCache>
                <c:ptCount val="1"/>
                <c:pt idx="0">
                  <c:v>Yes</c:v>
                </c:pt>
              </c:strCache>
            </c:strRef>
          </c:tx>
          <c:spPr>
            <a:solidFill>
              <a:schemeClr val="accent2"/>
            </a:solidFill>
            <a:ln>
              <a:noFill/>
            </a:ln>
            <a:effectLst/>
          </c:spPr>
          <c:invertIfNegative val="0"/>
          <c:cat>
            <c:strRef>
              <c:f>'Pivot 1'!$A$5:$A$8</c:f>
              <c:strCache>
                <c:ptCount val="3"/>
                <c:pt idx="0">
                  <c:v>Human Resources</c:v>
                </c:pt>
                <c:pt idx="1">
                  <c:v>Research &amp; Development</c:v>
                </c:pt>
                <c:pt idx="2">
                  <c:v>Sales</c:v>
                </c:pt>
              </c:strCache>
            </c:strRef>
          </c:cat>
          <c:val>
            <c:numRef>
              <c:f>'Pivot 1'!$C$5:$C$8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9-25FE-4420-B1BF-437662E955B0}"/>
            </c:ext>
          </c:extLst>
        </c:ser>
        <c:dLbls>
          <c:showLegendKey val="0"/>
          <c:showVal val="0"/>
          <c:showCatName val="0"/>
          <c:showSerName val="0"/>
          <c:showPercent val="0"/>
          <c:showBubbleSize val="0"/>
        </c:dLbls>
        <c:gapWidth val="182"/>
        <c:axId val="31223071"/>
        <c:axId val="31223551"/>
      </c:barChart>
      <c:catAx>
        <c:axId val="3122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3551"/>
        <c:crosses val="autoZero"/>
        <c:auto val="1"/>
        <c:lblAlgn val="ctr"/>
        <c:lblOffset val="100"/>
        <c:noMultiLvlLbl val="0"/>
      </c:catAx>
      <c:valAx>
        <c:axId val="31223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Age Group has Highest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2'!$A$4:$A$8</c:f>
              <c:strCache>
                <c:ptCount val="4"/>
                <c:pt idx="0">
                  <c:v>26–35</c:v>
                </c:pt>
                <c:pt idx="1">
                  <c:v>36–45</c:v>
                </c:pt>
                <c:pt idx="2">
                  <c:v>46+</c:v>
                </c:pt>
                <c:pt idx="3">
                  <c:v>Under 25</c:v>
                </c:pt>
              </c:strCache>
            </c:strRef>
          </c:cat>
          <c:val>
            <c:numRef>
              <c:f>'Pivot 2'!$B$4:$B$8</c:f>
              <c:numCache>
                <c:formatCode>General</c:formatCode>
                <c:ptCount val="4"/>
                <c:pt idx="0">
                  <c:v>116</c:v>
                </c:pt>
                <c:pt idx="1">
                  <c:v>43</c:v>
                </c:pt>
                <c:pt idx="2">
                  <c:v>34</c:v>
                </c:pt>
                <c:pt idx="3">
                  <c:v>44</c:v>
                </c:pt>
              </c:numCache>
            </c:numRef>
          </c:val>
          <c:extLst>
            <c:ext xmlns:c16="http://schemas.microsoft.com/office/drawing/2014/chart" uri="{C3380CC4-5D6E-409C-BE32-E72D297353CC}">
              <c16:uniqueId val="{00000000-9746-4FB8-9172-306D9B812846}"/>
            </c:ext>
          </c:extLst>
        </c:ser>
        <c:dLbls>
          <c:showLegendKey val="0"/>
          <c:showVal val="0"/>
          <c:showCatName val="0"/>
          <c:showSerName val="0"/>
          <c:showPercent val="0"/>
          <c:showBubbleSize val="0"/>
        </c:dLbls>
        <c:gapWidth val="219"/>
        <c:overlap val="-27"/>
        <c:axId val="28245743"/>
        <c:axId val="28246223"/>
      </c:barChart>
      <c:catAx>
        <c:axId val="2824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6223"/>
        <c:crosses val="autoZero"/>
        <c:auto val="1"/>
        <c:lblAlgn val="ctr"/>
        <c:lblOffset val="100"/>
        <c:noMultiLvlLbl val="0"/>
      </c:catAx>
      <c:valAx>
        <c:axId val="2824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14331228269973"/>
          <c:y val="0.2772426548098042"/>
          <c:w val="0.34080541187437358"/>
          <c:h val="0.62296127464666795"/>
        </c:manualLayout>
      </c:layout>
      <c:barChart>
        <c:barDir val="bar"/>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3'!$A$4:$A$13</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 3'!$B$4:$B$13</c:f>
              <c:numCache>
                <c:formatCode>_("₹"* #,##0_);_("₹"* \(#,##0\);_("₹"* "-"_);_(@_)</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A9D4-49E5-93B3-882D0ED6A78E}"/>
            </c:ext>
          </c:extLst>
        </c:ser>
        <c:dLbls>
          <c:showLegendKey val="0"/>
          <c:showVal val="0"/>
          <c:showCatName val="0"/>
          <c:showSerName val="0"/>
          <c:showPercent val="0"/>
          <c:showBubbleSize val="0"/>
        </c:dLbls>
        <c:gapWidth val="182"/>
        <c:axId val="28246703"/>
        <c:axId val="28247183"/>
      </c:barChart>
      <c:catAx>
        <c:axId val="2824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7183"/>
        <c:crosses val="autoZero"/>
        <c:auto val="1"/>
        <c:lblAlgn val="ctr"/>
        <c:lblOffset val="100"/>
        <c:noMultiLvlLbl val="0"/>
      </c:catAx>
      <c:valAx>
        <c:axId val="2824718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dashboard.xlsx]Pivot 4!PivotTable6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Breakdown For Overtime Employees</a:t>
            </a:r>
          </a:p>
        </c:rich>
      </c:tx>
      <c:layout>
        <c:manualLayout>
          <c:xMode val="edge"/>
          <c:yMode val="edge"/>
          <c:x val="0.1393401137357830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5494313210848646"/>
          <c:y val="0.23972003499562555"/>
          <c:w val="0.42900262467191602"/>
          <c:h val="0.71500437445319331"/>
        </c:manualLayout>
      </c:layout>
      <c:doughnutChart>
        <c:varyColors val="1"/>
        <c:ser>
          <c:idx val="0"/>
          <c:order val="0"/>
          <c:tx>
            <c:strRef>
              <c:f>'Pivot 4'!$B$3:$B$4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D3-40C3-B176-66C73BF58C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D3-40C3-B176-66C73BF58C59}"/>
              </c:ext>
            </c:extLst>
          </c:dPt>
          <c:cat>
            <c:strRef>
              <c:f>'Pivot 4'!$A$5:$A$7</c:f>
              <c:strCache>
                <c:ptCount val="2"/>
                <c:pt idx="0">
                  <c:v>No</c:v>
                </c:pt>
                <c:pt idx="1">
                  <c:v>Yes</c:v>
                </c:pt>
              </c:strCache>
            </c:strRef>
          </c:cat>
          <c:val>
            <c:numRef>
              <c:f>'Pivot 4'!$B$5:$B$7</c:f>
              <c:numCache>
                <c:formatCode>0.00%</c:formatCode>
                <c:ptCount val="2"/>
                <c:pt idx="0">
                  <c:v>0.89563567362428842</c:v>
                </c:pt>
                <c:pt idx="1">
                  <c:v>0.69471153846153844</c:v>
                </c:pt>
              </c:numCache>
            </c:numRef>
          </c:val>
          <c:extLst>
            <c:ext xmlns:c16="http://schemas.microsoft.com/office/drawing/2014/chart" uri="{C3380CC4-5D6E-409C-BE32-E72D297353CC}">
              <c16:uniqueId val="{00000000-F71E-4ADD-AE95-0F3A62E81349}"/>
            </c:ext>
          </c:extLst>
        </c:ser>
        <c:ser>
          <c:idx val="1"/>
          <c:order val="1"/>
          <c:tx>
            <c:strRef>
              <c:f>'Pivot 4'!$C$3:$C$4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3D3-40C3-B176-66C73BF58C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3D3-40C3-B176-66C73BF58C59}"/>
              </c:ext>
            </c:extLst>
          </c:dPt>
          <c:cat>
            <c:strRef>
              <c:f>'Pivot 4'!$A$5:$A$7</c:f>
              <c:strCache>
                <c:ptCount val="2"/>
                <c:pt idx="0">
                  <c:v>No</c:v>
                </c:pt>
                <c:pt idx="1">
                  <c:v>Yes</c:v>
                </c:pt>
              </c:strCache>
            </c:strRef>
          </c:cat>
          <c:val>
            <c:numRef>
              <c:f>'Pivot 4'!$C$5:$C$7</c:f>
              <c:numCache>
                <c:formatCode>0.00%</c:formatCode>
                <c:ptCount val="2"/>
                <c:pt idx="0">
                  <c:v>0.10436432637571158</c:v>
                </c:pt>
                <c:pt idx="1">
                  <c:v>0.30528846153846156</c:v>
                </c:pt>
              </c:numCache>
            </c:numRef>
          </c:val>
          <c:extLst>
            <c:ext xmlns:c16="http://schemas.microsoft.com/office/drawing/2014/chart" uri="{C3380CC4-5D6E-409C-BE32-E72D297353CC}">
              <c16:uniqueId val="{00000005-F71E-4ADD-AE95-0F3A62E813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196274</xdr:colOff>
      <xdr:row>8</xdr:row>
      <xdr:rowOff>57728</xdr:rowOff>
    </xdr:from>
    <xdr:to>
      <xdr:col>8</xdr:col>
      <xdr:colOff>341001</xdr:colOff>
      <xdr:row>23</xdr:row>
      <xdr:rowOff>166819</xdr:rowOff>
    </xdr:to>
    <xdr:graphicFrame macro="">
      <xdr:nvGraphicFramePr>
        <xdr:cNvPr id="13" name="Chart 12">
          <a:extLst>
            <a:ext uri="{FF2B5EF4-FFF2-40B4-BE49-F238E27FC236}">
              <a16:creationId xmlns:a16="http://schemas.microsoft.com/office/drawing/2014/main" id="{B72F5FC3-B394-4147-AC2D-F4C8DC61A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438729</xdr:colOff>
      <xdr:row>8</xdr:row>
      <xdr:rowOff>69271</xdr:rowOff>
    </xdr:from>
    <xdr:to>
      <xdr:col>16</xdr:col>
      <xdr:colOff>583457</xdr:colOff>
      <xdr:row>23</xdr:row>
      <xdr:rowOff>178362</xdr:rowOff>
    </xdr:to>
    <xdr:graphicFrame macro="">
      <xdr:nvGraphicFramePr>
        <xdr:cNvPr id="14" name="Chart 13">
          <a:extLst>
            <a:ext uri="{FF2B5EF4-FFF2-40B4-BE49-F238E27FC236}">
              <a16:creationId xmlns:a16="http://schemas.microsoft.com/office/drawing/2014/main" id="{011CD122-A1FB-4B97-BA8B-090B488C0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196270</xdr:colOff>
      <xdr:row>24</xdr:row>
      <xdr:rowOff>69270</xdr:rowOff>
    </xdr:from>
    <xdr:to>
      <xdr:col>8</xdr:col>
      <xdr:colOff>340997</xdr:colOff>
      <xdr:row>39</xdr:row>
      <xdr:rowOff>178361</xdr:rowOff>
    </xdr:to>
    <xdr:graphicFrame macro="">
      <xdr:nvGraphicFramePr>
        <xdr:cNvPr id="15" name="Chart 14">
          <a:extLst>
            <a:ext uri="{FF2B5EF4-FFF2-40B4-BE49-F238E27FC236}">
              <a16:creationId xmlns:a16="http://schemas.microsoft.com/office/drawing/2014/main" id="{C332971A-812C-416A-B116-02B0D97C7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438727</xdr:colOff>
      <xdr:row>24</xdr:row>
      <xdr:rowOff>57723</xdr:rowOff>
    </xdr:from>
    <xdr:to>
      <xdr:col>16</xdr:col>
      <xdr:colOff>583455</xdr:colOff>
      <xdr:row>39</xdr:row>
      <xdr:rowOff>166814</xdr:rowOff>
    </xdr:to>
    <xdr:graphicFrame macro="">
      <xdr:nvGraphicFramePr>
        <xdr:cNvPr id="16" name="Chart 15">
          <a:extLst>
            <a:ext uri="{FF2B5EF4-FFF2-40B4-BE49-F238E27FC236}">
              <a16:creationId xmlns:a16="http://schemas.microsoft.com/office/drawing/2014/main" id="{DE6904DC-0E1E-4E91-BD05-AE7EC778B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8</xdr:row>
      <xdr:rowOff>92363</xdr:rowOff>
    </xdr:from>
    <xdr:to>
      <xdr:col>20</xdr:col>
      <xdr:colOff>230908</xdr:colOff>
      <xdr:row>17</xdr:row>
      <xdr:rowOff>115452</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8813C2CE-FD28-4BBF-92E5-770AC40F43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87000" y="1526716"/>
              <a:ext cx="2046261" cy="1636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11546</xdr:colOff>
      <xdr:row>17</xdr:row>
      <xdr:rowOff>138546</xdr:rowOff>
    </xdr:from>
    <xdr:to>
      <xdr:col>20</xdr:col>
      <xdr:colOff>230909</xdr:colOff>
      <xdr:row>26</xdr:row>
      <xdr:rowOff>23091</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E5C1552D-47F8-4988-AC13-09F6BA9B08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98546" y="3186546"/>
              <a:ext cx="2034716" cy="1498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23089</xdr:colOff>
      <xdr:row>26</xdr:row>
      <xdr:rowOff>34637</xdr:rowOff>
    </xdr:from>
    <xdr:to>
      <xdr:col>20</xdr:col>
      <xdr:colOff>242454</xdr:colOff>
      <xdr:row>34</xdr:row>
      <xdr:rowOff>34638</xdr:rowOff>
    </xdr:to>
    <mc:AlternateContent xmlns:mc="http://schemas.openxmlformats.org/markup-compatibility/2006" xmlns:a14="http://schemas.microsoft.com/office/drawing/2010/main">
      <mc:Choice Requires="a14">
        <xdr:graphicFrame macro="">
          <xdr:nvGraphicFramePr>
            <xdr:cNvPr id="19" name="OverTime">
              <a:extLst>
                <a:ext uri="{FF2B5EF4-FFF2-40B4-BE49-F238E27FC236}">
                  <a16:creationId xmlns:a16="http://schemas.microsoft.com/office/drawing/2014/main" id="{3B3ED6A2-9EE9-4335-9E9A-3DE48595D90B}"/>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310089" y="4696284"/>
              <a:ext cx="2034718" cy="1434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414617</xdr:colOff>
      <xdr:row>5</xdr:row>
      <xdr:rowOff>47201</xdr:rowOff>
    </xdr:from>
    <xdr:to>
      <xdr:col>13</xdr:col>
      <xdr:colOff>345344</xdr:colOff>
      <xdr:row>7</xdr:row>
      <xdr:rowOff>168767</xdr:rowOff>
    </xdr:to>
    <xdr:sp macro="" textlink="">
      <xdr:nvSpPr>
        <xdr:cNvPr id="20" name="TextBox 19">
          <a:extLst>
            <a:ext uri="{FF2B5EF4-FFF2-40B4-BE49-F238E27FC236}">
              <a16:creationId xmlns:a16="http://schemas.microsoft.com/office/drawing/2014/main" id="{8E9FAAE5-6888-055F-4DD2-72FD3DC35D61}"/>
            </a:ext>
          </a:extLst>
        </xdr:cNvPr>
        <xdr:cNvSpPr txBox="1"/>
      </xdr:nvSpPr>
      <xdr:spPr>
        <a:xfrm>
          <a:off x="2229970" y="943672"/>
          <a:ext cx="5981903" cy="480154"/>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IN" sz="2000" b="1">
              <a:solidFill>
                <a:schemeClr val="bg1"/>
              </a:solidFill>
              <a:latin typeface="Times New Roman" panose="02020603050405020304" pitchFamily="18" charset="0"/>
              <a:cs typeface="Times New Roman" panose="02020603050405020304" pitchFamily="18" charset="0"/>
            </a:rPr>
            <a:t>IBM</a:t>
          </a:r>
          <a:r>
            <a:rPr lang="en-IN" sz="2000" b="1" baseline="0">
              <a:solidFill>
                <a:schemeClr val="bg1"/>
              </a:solidFill>
              <a:latin typeface="Times New Roman" panose="02020603050405020304" pitchFamily="18" charset="0"/>
              <a:cs typeface="Times New Roman" panose="02020603050405020304" pitchFamily="18" charset="0"/>
            </a:rPr>
            <a:t> </a:t>
          </a:r>
          <a:r>
            <a:rPr lang="en-IN" sz="2000" b="1">
              <a:solidFill>
                <a:schemeClr val="bg1"/>
              </a:solidFill>
              <a:latin typeface="Times New Roman" panose="02020603050405020304" pitchFamily="18" charset="0"/>
              <a:cs typeface="Times New Roman" panose="02020603050405020304" pitchFamily="18" charset="0"/>
            </a:rPr>
            <a:t>HR EMPLOYEE ATTRITION DASHBOARD</a:t>
          </a:r>
          <a:r>
            <a:rPr lang="en-IN" sz="2000" b="1" baseline="0">
              <a:solidFill>
                <a:schemeClr val="bg1"/>
              </a:solidFill>
              <a:latin typeface="Times New Roman" panose="02020603050405020304" pitchFamily="18" charset="0"/>
              <a:cs typeface="Times New Roman" panose="02020603050405020304" pitchFamily="18" charset="0"/>
            </a:rPr>
            <a:t> </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666750</xdr:colOff>
      <xdr:row>8</xdr:row>
      <xdr:rowOff>114300</xdr:rowOff>
    </xdr:from>
    <xdr:to>
      <xdr:col>11</xdr:col>
      <xdr:colOff>144780</xdr:colOff>
      <xdr:row>25</xdr:row>
      <xdr:rowOff>167640</xdr:rowOff>
    </xdr:to>
    <xdr:graphicFrame macro="">
      <xdr:nvGraphicFramePr>
        <xdr:cNvPr id="2" name="Chart 1">
          <a:extLst>
            <a:ext uri="{FF2B5EF4-FFF2-40B4-BE49-F238E27FC236}">
              <a16:creationId xmlns:a16="http://schemas.microsoft.com/office/drawing/2014/main" id="{38DF7D1D-AF56-13CB-E627-43BEE5605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742950</xdr:colOff>
      <xdr:row>9</xdr:row>
      <xdr:rowOff>49530</xdr:rowOff>
    </xdr:from>
    <xdr:to>
      <xdr:col>7</xdr:col>
      <xdr:colOff>316230</xdr:colOff>
      <xdr:row>24</xdr:row>
      <xdr:rowOff>49530</xdr:rowOff>
    </xdr:to>
    <xdr:graphicFrame macro="">
      <xdr:nvGraphicFramePr>
        <xdr:cNvPr id="3" name="Chart 2">
          <a:extLst>
            <a:ext uri="{FF2B5EF4-FFF2-40B4-BE49-F238E27FC236}">
              <a16:creationId xmlns:a16="http://schemas.microsoft.com/office/drawing/2014/main" id="{77F5DBBF-6F8F-E465-0909-C0445BE6F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177137</xdr:colOff>
      <xdr:row>6</xdr:row>
      <xdr:rowOff>41059</xdr:rowOff>
    </xdr:from>
    <xdr:to>
      <xdr:col>10</xdr:col>
      <xdr:colOff>490005</xdr:colOff>
      <xdr:row>21</xdr:row>
      <xdr:rowOff>41061</xdr:rowOff>
    </xdr:to>
    <xdr:graphicFrame macro="">
      <xdr:nvGraphicFramePr>
        <xdr:cNvPr id="2" name="Chart 1">
          <a:extLst>
            <a:ext uri="{FF2B5EF4-FFF2-40B4-BE49-F238E27FC236}">
              <a16:creationId xmlns:a16="http://schemas.microsoft.com/office/drawing/2014/main" id="{C612ADB7-7446-27ED-3E4F-88A318240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560070</xdr:colOff>
      <xdr:row>8</xdr:row>
      <xdr:rowOff>41910</xdr:rowOff>
    </xdr:from>
    <xdr:to>
      <xdr:col>5</xdr:col>
      <xdr:colOff>674370</xdr:colOff>
      <xdr:row>23</xdr:row>
      <xdr:rowOff>41910</xdr:rowOff>
    </xdr:to>
    <xdr:graphicFrame macro="">
      <xdr:nvGraphicFramePr>
        <xdr:cNvPr id="2" name="Chart 1">
          <a:extLst>
            <a:ext uri="{FF2B5EF4-FFF2-40B4-BE49-F238E27FC236}">
              <a16:creationId xmlns:a16="http://schemas.microsoft.com/office/drawing/2014/main" id="{C0995FEA-C594-BFD3-13F9-2D4D86F8C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chika Roy" refreshedDate="46190.655298032405" createdVersion="8" refreshedVersion="8" minRefreshableVersion="3" recordCount="1475" xr:uid="{C9F10AEC-780C-45C9-84F6-551EB6228488}">
  <cacheSource type="worksheet">
    <worksheetSource ref="A1:AK1048576" sheet="Working Data"/>
  </cacheSource>
  <cacheFields count="37">
    <cacheField name="AgeGroup" numFmtId="0">
      <sharedItems containsString="0" containsBlank="1" containsNumber="1" containsInteger="1" minValue="0" maxValue="60"/>
    </cacheField>
    <cacheField name="Attrition" numFmtId="0">
      <sharedItems containsBlank="1" containsMixedTypes="1" containsNumber="1" containsInteger="1" minValue="0" maxValue="0" count="4">
        <s v="Yes"/>
        <s v="No"/>
        <m/>
        <n v="0"/>
      </sharedItems>
    </cacheField>
    <cacheField name="BusinessTravel" numFmtId="0">
      <sharedItems containsBlank="1" containsMixedTypes="1" containsNumber="1" containsInteger="1" minValue="0" maxValue="0"/>
    </cacheField>
    <cacheField name="DailyRate" numFmtId="0">
      <sharedItems containsString="0" containsBlank="1" containsNumber="1" containsInteger="1" minValue="0" maxValue="1499"/>
    </cacheField>
    <cacheField name="Department" numFmtId="0">
      <sharedItems containsBlank="1" containsMixedTypes="1" containsNumber="1" containsInteger="1" minValue="0" maxValue="0" count="5">
        <s v="Sales"/>
        <s v="Research &amp; Development"/>
        <s v="Human Resources"/>
        <m/>
        <n v="0"/>
      </sharedItems>
    </cacheField>
    <cacheField name="DistanceFromHome" numFmtId="0">
      <sharedItems containsString="0" containsBlank="1" containsNumber="1" containsInteger="1" minValue="0" maxValue="29"/>
    </cacheField>
    <cacheField name="Education" numFmtId="0">
      <sharedItems containsString="0" containsBlank="1" containsNumber="1" containsInteger="1" minValue="0" maxValue="5"/>
    </cacheField>
    <cacheField name="EducationField" numFmtId="0">
      <sharedItems containsBlank="1" containsMixedTypes="1" containsNumber="1" containsInteger="1" minValue="0" maxValue="0"/>
    </cacheField>
    <cacheField name="EmployeeCount" numFmtId="0">
      <sharedItems containsString="0" containsBlank="1" containsNumber="1" containsInteger="1" minValue="0" maxValue="1"/>
    </cacheField>
    <cacheField name="EmployeeNumber" numFmtId="0">
      <sharedItems containsString="0" containsBlank="1" containsNumber="1" containsInteger="1" minValue="0" maxValue="2068"/>
    </cacheField>
    <cacheField name="EnvironmentSatisfaction" numFmtId="0">
      <sharedItems containsString="0" containsBlank="1" containsNumber="1" containsInteger="1" minValue="0" maxValue="4"/>
    </cacheField>
    <cacheField name="Gender" numFmtId="0">
      <sharedItems containsBlank="1" containsMixedTypes="1" containsNumber="1" containsInteger="1" minValue="0" maxValue="0" count="4">
        <s v="Female"/>
        <s v="Male"/>
        <m/>
        <n v="0"/>
      </sharedItems>
    </cacheField>
    <cacheField name="HourlyRate" numFmtId="0">
      <sharedItems containsString="0" containsBlank="1" containsNumber="1" containsInteger="1" minValue="0" maxValue="100"/>
    </cacheField>
    <cacheField name="JobInvolvement" numFmtId="0">
      <sharedItems containsString="0" containsBlank="1" containsNumber="1" containsInteger="1" minValue="0" maxValue="4"/>
    </cacheField>
    <cacheField name="JobLevel" numFmtId="0">
      <sharedItems containsString="0" containsBlank="1" containsNumber="1" containsInteger="1" minValue="0" maxValue="5"/>
    </cacheField>
    <cacheField name="JobRole" numFmtId="0">
      <sharedItems containsBlank="1" containsMixedTypes="1" containsNumber="1" containsInteger="1" minValue="0" maxValue="0" count="11">
        <s v="Sales Executive"/>
        <s v="Research Scientist"/>
        <s v="Laboratory Technician"/>
        <s v="Manufacturing Director"/>
        <s v="Healthcare Representative"/>
        <s v="Manager"/>
        <s v="Sales Representative"/>
        <s v="Research Director"/>
        <s v="Human Resources"/>
        <m/>
        <n v="0"/>
      </sharedItems>
    </cacheField>
    <cacheField name="JobSatisfaction" numFmtId="0">
      <sharedItems containsString="0" containsBlank="1" containsNumber="1" containsInteger="1" minValue="0" maxValue="4"/>
    </cacheField>
    <cacheField name="MaritalStatus" numFmtId="0">
      <sharedItems containsBlank="1" containsMixedTypes="1" containsNumber="1" containsInteger="1" minValue="0" maxValue="0"/>
    </cacheField>
    <cacheField name="MonthlyIncome" numFmtId="0">
      <sharedItems containsString="0" containsBlank="1" containsNumber="1" containsInteger="1" minValue="0" maxValue="19999"/>
    </cacheField>
    <cacheField name="MonthlyRate" numFmtId="0">
      <sharedItems containsString="0" containsBlank="1" containsNumber="1" containsInteger="1" minValue="0" maxValue="26999"/>
    </cacheField>
    <cacheField name="NumCompaniesWorked" numFmtId="0">
      <sharedItems containsString="0" containsBlank="1" containsNumber="1" containsInteger="1" minValue="0" maxValue="9"/>
    </cacheField>
    <cacheField name="Over18" numFmtId="0">
      <sharedItems containsBlank="1" containsMixedTypes="1" containsNumber="1" containsInteger="1" minValue="0" maxValue="0"/>
    </cacheField>
    <cacheField name="OverTime" numFmtId="0">
      <sharedItems containsBlank="1" containsMixedTypes="1" containsNumber="1" containsInteger="1" minValue="0" maxValue="0" count="4">
        <s v="Yes"/>
        <s v="No"/>
        <m/>
        <n v="0"/>
      </sharedItems>
    </cacheField>
    <cacheField name="PercentSalaryHike" numFmtId="0">
      <sharedItems containsString="0" containsBlank="1" containsNumber="1" containsInteger="1" minValue="0" maxValue="25"/>
    </cacheField>
    <cacheField name="PerformanceRating" numFmtId="0">
      <sharedItems containsString="0" containsBlank="1" containsNumber="1" containsInteger="1" minValue="0" maxValue="4"/>
    </cacheField>
    <cacheField name="RelationshipSatisfaction" numFmtId="0">
      <sharedItems containsString="0" containsBlank="1" containsNumber="1" containsInteger="1" minValue="0" maxValue="4"/>
    </cacheField>
    <cacheField name="StandardHours" numFmtId="0">
      <sharedItems containsString="0" containsBlank="1" containsNumber="1" containsInteger="1" minValue="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0"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AgeGroup2" numFmtId="0">
      <sharedItems containsBlank="1" count="5">
        <s v="36–45"/>
        <s v="46+"/>
        <s v="26–35"/>
        <s v="Under 25"/>
        <m/>
      </sharedItems>
    </cacheField>
    <cacheField name="SalaryBand" numFmtId="0">
      <sharedItems containsBlank="1"/>
    </cacheField>
  </cacheFields>
  <extLst>
    <ext xmlns:x14="http://schemas.microsoft.com/office/spreadsheetml/2009/9/main" uri="{725AE2AE-9491-48be-B2B4-4EB974FC3084}">
      <x14:pivotCacheDefinition pivotCacheId="959580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5">
  <r>
    <n v="41"/>
    <x v="0"/>
    <s v="Travel_Rarely"/>
    <n v="1102"/>
    <x v="0"/>
    <n v="1"/>
    <n v="2"/>
    <s v="Life Sciences"/>
    <n v="1"/>
    <n v="1"/>
    <n v="2"/>
    <x v="0"/>
    <n v="94"/>
    <n v="3"/>
    <n v="2"/>
    <x v="0"/>
    <n v="4"/>
    <s v="Single"/>
    <n v="5993"/>
    <n v="19479"/>
    <n v="8"/>
    <s v="Y"/>
    <x v="0"/>
    <n v="11"/>
    <n v="3"/>
    <n v="1"/>
    <n v="80"/>
    <n v="0"/>
    <n v="8"/>
    <n v="0"/>
    <n v="1"/>
    <n v="6"/>
    <n v="4"/>
    <n v="0"/>
    <n v="5"/>
    <x v="0"/>
    <s v="Mid"/>
  </r>
  <r>
    <n v="49"/>
    <x v="1"/>
    <s v="Travel_Frequently"/>
    <n v="279"/>
    <x v="1"/>
    <n v="8"/>
    <n v="1"/>
    <s v="Life Sciences"/>
    <n v="1"/>
    <n v="2"/>
    <n v="3"/>
    <x v="1"/>
    <n v="61"/>
    <n v="2"/>
    <n v="2"/>
    <x v="1"/>
    <n v="2"/>
    <s v="Married"/>
    <n v="5130"/>
    <n v="24907"/>
    <n v="1"/>
    <s v="Y"/>
    <x v="1"/>
    <n v="23"/>
    <n v="4"/>
    <n v="4"/>
    <n v="80"/>
    <n v="1"/>
    <n v="10"/>
    <n v="3"/>
    <n v="3"/>
    <n v="10"/>
    <n v="7"/>
    <n v="1"/>
    <n v="7"/>
    <x v="1"/>
    <s v="Mid"/>
  </r>
  <r>
    <n v="37"/>
    <x v="0"/>
    <s v="Travel_Rarely"/>
    <n v="1373"/>
    <x v="1"/>
    <n v="2"/>
    <n v="2"/>
    <s v="Other"/>
    <n v="1"/>
    <n v="4"/>
    <n v="4"/>
    <x v="1"/>
    <n v="92"/>
    <n v="2"/>
    <n v="1"/>
    <x v="2"/>
    <n v="3"/>
    <s v="Single"/>
    <n v="2090"/>
    <n v="2396"/>
    <n v="6"/>
    <s v="Y"/>
    <x v="0"/>
    <n v="15"/>
    <n v="3"/>
    <n v="2"/>
    <n v="80"/>
    <n v="0"/>
    <n v="7"/>
    <n v="3"/>
    <n v="3"/>
    <n v="0"/>
    <n v="0"/>
    <n v="0"/>
    <n v="0"/>
    <x v="0"/>
    <s v="Low"/>
  </r>
  <r>
    <n v="33"/>
    <x v="1"/>
    <s v="Travel_Frequently"/>
    <n v="1392"/>
    <x v="1"/>
    <n v="3"/>
    <n v="4"/>
    <s v="Life Sciences"/>
    <n v="1"/>
    <n v="5"/>
    <n v="4"/>
    <x v="0"/>
    <n v="56"/>
    <n v="3"/>
    <n v="1"/>
    <x v="1"/>
    <n v="3"/>
    <s v="Married"/>
    <n v="2909"/>
    <n v="23159"/>
    <n v="1"/>
    <s v="Y"/>
    <x v="0"/>
    <n v="11"/>
    <n v="3"/>
    <n v="3"/>
    <n v="80"/>
    <n v="0"/>
    <n v="8"/>
    <n v="3"/>
    <n v="3"/>
    <n v="8"/>
    <n v="7"/>
    <n v="3"/>
    <n v="0"/>
    <x v="2"/>
    <s v="Low"/>
  </r>
  <r>
    <n v="27"/>
    <x v="1"/>
    <s v="Travel_Rarely"/>
    <n v="591"/>
    <x v="1"/>
    <n v="2"/>
    <n v="1"/>
    <s v="Medical"/>
    <n v="1"/>
    <n v="7"/>
    <n v="1"/>
    <x v="1"/>
    <n v="40"/>
    <n v="3"/>
    <n v="1"/>
    <x v="2"/>
    <n v="2"/>
    <s v="Married"/>
    <n v="3468"/>
    <n v="16632"/>
    <n v="9"/>
    <s v="Y"/>
    <x v="1"/>
    <n v="12"/>
    <n v="3"/>
    <n v="4"/>
    <n v="80"/>
    <n v="1"/>
    <n v="6"/>
    <n v="3"/>
    <n v="3"/>
    <n v="2"/>
    <n v="2"/>
    <n v="2"/>
    <n v="2"/>
    <x v="2"/>
    <s v="Mid"/>
  </r>
  <r>
    <n v="32"/>
    <x v="1"/>
    <s v="Travel_Frequently"/>
    <n v="1005"/>
    <x v="1"/>
    <n v="2"/>
    <n v="2"/>
    <s v="Life Sciences"/>
    <n v="1"/>
    <n v="8"/>
    <n v="4"/>
    <x v="1"/>
    <n v="79"/>
    <n v="3"/>
    <n v="1"/>
    <x v="2"/>
    <n v="4"/>
    <s v="Single"/>
    <n v="3068"/>
    <n v="11864"/>
    <n v="0"/>
    <s v="Y"/>
    <x v="1"/>
    <n v="13"/>
    <n v="3"/>
    <n v="3"/>
    <n v="80"/>
    <n v="0"/>
    <n v="8"/>
    <n v="2"/>
    <n v="2"/>
    <n v="7"/>
    <n v="7"/>
    <n v="3"/>
    <n v="6"/>
    <x v="2"/>
    <s v="Mid"/>
  </r>
  <r>
    <n v="59"/>
    <x v="1"/>
    <s v="Travel_Rarely"/>
    <n v="1324"/>
    <x v="1"/>
    <n v="3"/>
    <n v="3"/>
    <s v="Medical"/>
    <n v="1"/>
    <n v="10"/>
    <n v="3"/>
    <x v="0"/>
    <n v="81"/>
    <n v="4"/>
    <n v="1"/>
    <x v="2"/>
    <n v="1"/>
    <s v="Married"/>
    <n v="2670"/>
    <n v="9964"/>
    <n v="4"/>
    <s v="Y"/>
    <x v="0"/>
    <n v="20"/>
    <n v="4"/>
    <n v="1"/>
    <n v="80"/>
    <n v="3"/>
    <n v="12"/>
    <n v="3"/>
    <n v="2"/>
    <n v="1"/>
    <n v="0"/>
    <n v="0"/>
    <n v="0"/>
    <x v="1"/>
    <s v="Low"/>
  </r>
  <r>
    <n v="30"/>
    <x v="1"/>
    <s v="Travel_Rarely"/>
    <n v="1358"/>
    <x v="1"/>
    <n v="24"/>
    <n v="1"/>
    <s v="Life Sciences"/>
    <n v="1"/>
    <n v="11"/>
    <n v="4"/>
    <x v="1"/>
    <n v="67"/>
    <n v="3"/>
    <n v="1"/>
    <x v="2"/>
    <n v="3"/>
    <s v="Divorced"/>
    <n v="2693"/>
    <n v="13335"/>
    <n v="1"/>
    <s v="Y"/>
    <x v="1"/>
    <n v="22"/>
    <n v="4"/>
    <n v="2"/>
    <n v="80"/>
    <n v="1"/>
    <n v="1"/>
    <n v="2"/>
    <n v="3"/>
    <n v="1"/>
    <n v="0"/>
    <n v="0"/>
    <n v="0"/>
    <x v="2"/>
    <s v="Low"/>
  </r>
  <r>
    <n v="38"/>
    <x v="1"/>
    <s v="Travel_Frequently"/>
    <n v="216"/>
    <x v="1"/>
    <n v="23"/>
    <n v="3"/>
    <s v="Life Sciences"/>
    <n v="1"/>
    <n v="12"/>
    <n v="4"/>
    <x v="1"/>
    <n v="44"/>
    <n v="2"/>
    <n v="3"/>
    <x v="3"/>
    <n v="3"/>
    <s v="Single"/>
    <n v="9526"/>
    <n v="8787"/>
    <n v="0"/>
    <s v="Y"/>
    <x v="1"/>
    <n v="21"/>
    <n v="4"/>
    <n v="2"/>
    <n v="80"/>
    <n v="0"/>
    <n v="10"/>
    <n v="2"/>
    <n v="3"/>
    <n v="9"/>
    <n v="7"/>
    <n v="1"/>
    <n v="8"/>
    <x v="0"/>
    <s v="High"/>
  </r>
  <r>
    <n v="36"/>
    <x v="1"/>
    <s v="Travel_Rarely"/>
    <n v="1299"/>
    <x v="1"/>
    <n v="27"/>
    <n v="3"/>
    <s v="Medical"/>
    <n v="1"/>
    <n v="13"/>
    <n v="3"/>
    <x v="1"/>
    <n v="94"/>
    <n v="3"/>
    <n v="2"/>
    <x v="4"/>
    <n v="3"/>
    <s v="Married"/>
    <n v="5237"/>
    <n v="16577"/>
    <n v="6"/>
    <s v="Y"/>
    <x v="1"/>
    <n v="13"/>
    <n v="3"/>
    <n v="2"/>
    <n v="80"/>
    <n v="2"/>
    <n v="17"/>
    <n v="3"/>
    <n v="2"/>
    <n v="7"/>
    <n v="7"/>
    <n v="7"/>
    <n v="7"/>
    <x v="0"/>
    <s v="Mid"/>
  </r>
  <r>
    <n v="35"/>
    <x v="1"/>
    <s v="Travel_Rarely"/>
    <n v="809"/>
    <x v="1"/>
    <n v="16"/>
    <n v="3"/>
    <s v="Medical"/>
    <n v="1"/>
    <n v="14"/>
    <n v="1"/>
    <x v="1"/>
    <n v="84"/>
    <n v="4"/>
    <n v="1"/>
    <x v="2"/>
    <n v="2"/>
    <s v="Married"/>
    <n v="2426"/>
    <n v="16479"/>
    <n v="0"/>
    <s v="Y"/>
    <x v="1"/>
    <n v="13"/>
    <n v="3"/>
    <n v="3"/>
    <n v="80"/>
    <n v="1"/>
    <n v="6"/>
    <n v="5"/>
    <n v="3"/>
    <n v="5"/>
    <n v="4"/>
    <n v="0"/>
    <n v="3"/>
    <x v="2"/>
    <s v="Low"/>
  </r>
  <r>
    <n v="29"/>
    <x v="1"/>
    <s v="Travel_Rarely"/>
    <n v="153"/>
    <x v="1"/>
    <n v="15"/>
    <n v="2"/>
    <s v="Life Sciences"/>
    <n v="1"/>
    <n v="15"/>
    <n v="4"/>
    <x v="0"/>
    <n v="49"/>
    <n v="2"/>
    <n v="2"/>
    <x v="2"/>
    <n v="3"/>
    <s v="Single"/>
    <n v="4193"/>
    <n v="12682"/>
    <n v="0"/>
    <s v="Y"/>
    <x v="0"/>
    <n v="12"/>
    <n v="3"/>
    <n v="4"/>
    <n v="80"/>
    <n v="0"/>
    <n v="10"/>
    <n v="3"/>
    <n v="3"/>
    <n v="9"/>
    <n v="5"/>
    <n v="0"/>
    <n v="8"/>
    <x v="2"/>
    <s v="Mid"/>
  </r>
  <r>
    <n v="31"/>
    <x v="1"/>
    <s v="Travel_Rarely"/>
    <n v="670"/>
    <x v="1"/>
    <n v="26"/>
    <n v="1"/>
    <s v="Life Sciences"/>
    <n v="1"/>
    <n v="16"/>
    <n v="1"/>
    <x v="1"/>
    <n v="31"/>
    <n v="3"/>
    <n v="1"/>
    <x v="1"/>
    <n v="3"/>
    <s v="Divorced"/>
    <n v="2911"/>
    <n v="15170"/>
    <n v="1"/>
    <s v="Y"/>
    <x v="1"/>
    <n v="17"/>
    <n v="3"/>
    <n v="4"/>
    <n v="80"/>
    <n v="1"/>
    <n v="5"/>
    <n v="1"/>
    <n v="2"/>
    <n v="5"/>
    <n v="2"/>
    <n v="4"/>
    <n v="3"/>
    <x v="2"/>
    <s v="Low"/>
  </r>
  <r>
    <n v="34"/>
    <x v="1"/>
    <s v="Travel_Rarely"/>
    <n v="1346"/>
    <x v="1"/>
    <n v="19"/>
    <n v="2"/>
    <s v="Medical"/>
    <n v="1"/>
    <n v="18"/>
    <n v="2"/>
    <x v="1"/>
    <n v="93"/>
    <n v="3"/>
    <n v="1"/>
    <x v="2"/>
    <n v="4"/>
    <s v="Divorced"/>
    <n v="2661"/>
    <n v="8758"/>
    <n v="0"/>
    <s v="Y"/>
    <x v="1"/>
    <n v="11"/>
    <n v="3"/>
    <n v="3"/>
    <n v="80"/>
    <n v="1"/>
    <n v="3"/>
    <n v="2"/>
    <n v="3"/>
    <n v="2"/>
    <n v="2"/>
    <n v="1"/>
    <n v="2"/>
    <x v="2"/>
    <s v="Low"/>
  </r>
  <r>
    <n v="28"/>
    <x v="0"/>
    <s v="Travel_Rarely"/>
    <n v="103"/>
    <x v="1"/>
    <n v="24"/>
    <n v="3"/>
    <s v="Life Sciences"/>
    <n v="1"/>
    <n v="19"/>
    <n v="3"/>
    <x v="1"/>
    <n v="50"/>
    <n v="2"/>
    <n v="1"/>
    <x v="2"/>
    <n v="3"/>
    <s v="Single"/>
    <n v="2028"/>
    <n v="12947"/>
    <n v="5"/>
    <s v="Y"/>
    <x v="0"/>
    <n v="14"/>
    <n v="3"/>
    <n v="2"/>
    <n v="80"/>
    <n v="0"/>
    <n v="6"/>
    <n v="4"/>
    <n v="3"/>
    <n v="4"/>
    <n v="2"/>
    <n v="0"/>
    <n v="3"/>
    <x v="2"/>
    <s v="Low"/>
  </r>
  <r>
    <n v="29"/>
    <x v="1"/>
    <s v="Travel_Rarely"/>
    <n v="1389"/>
    <x v="1"/>
    <n v="21"/>
    <n v="4"/>
    <s v="Life Sciences"/>
    <n v="1"/>
    <n v="20"/>
    <n v="2"/>
    <x v="0"/>
    <n v="51"/>
    <n v="4"/>
    <n v="3"/>
    <x v="3"/>
    <n v="1"/>
    <s v="Divorced"/>
    <n v="9980"/>
    <n v="10195"/>
    <n v="1"/>
    <s v="Y"/>
    <x v="1"/>
    <n v="11"/>
    <n v="3"/>
    <n v="3"/>
    <n v="80"/>
    <n v="1"/>
    <n v="10"/>
    <n v="1"/>
    <n v="3"/>
    <n v="10"/>
    <n v="9"/>
    <n v="8"/>
    <n v="8"/>
    <x v="2"/>
    <s v="High"/>
  </r>
  <r>
    <n v="32"/>
    <x v="1"/>
    <s v="Travel_Rarely"/>
    <n v="334"/>
    <x v="1"/>
    <n v="5"/>
    <n v="2"/>
    <s v="Life Sciences"/>
    <n v="1"/>
    <n v="21"/>
    <n v="1"/>
    <x v="1"/>
    <n v="80"/>
    <n v="4"/>
    <n v="1"/>
    <x v="1"/>
    <n v="2"/>
    <s v="Divorced"/>
    <n v="3298"/>
    <n v="15053"/>
    <n v="0"/>
    <s v="Y"/>
    <x v="0"/>
    <n v="12"/>
    <n v="3"/>
    <n v="4"/>
    <n v="80"/>
    <n v="2"/>
    <n v="7"/>
    <n v="5"/>
    <n v="2"/>
    <n v="6"/>
    <n v="2"/>
    <n v="0"/>
    <n v="5"/>
    <x v="2"/>
    <s v="Mid"/>
  </r>
  <r>
    <n v="22"/>
    <x v="1"/>
    <s v="Non-Travel"/>
    <n v="1123"/>
    <x v="1"/>
    <n v="16"/>
    <n v="2"/>
    <s v="Medical"/>
    <n v="1"/>
    <n v="22"/>
    <n v="4"/>
    <x v="1"/>
    <n v="96"/>
    <n v="4"/>
    <n v="1"/>
    <x v="2"/>
    <n v="4"/>
    <s v="Divorced"/>
    <n v="2935"/>
    <n v="7324"/>
    <n v="1"/>
    <s v="Y"/>
    <x v="0"/>
    <n v="13"/>
    <n v="3"/>
    <n v="2"/>
    <n v="80"/>
    <n v="2"/>
    <n v="1"/>
    <n v="2"/>
    <n v="2"/>
    <n v="1"/>
    <n v="0"/>
    <n v="0"/>
    <n v="0"/>
    <x v="3"/>
    <s v="Low"/>
  </r>
  <r>
    <n v="53"/>
    <x v="1"/>
    <s v="Travel_Rarely"/>
    <n v="1219"/>
    <x v="0"/>
    <n v="2"/>
    <n v="4"/>
    <s v="Life Sciences"/>
    <n v="1"/>
    <n v="23"/>
    <n v="1"/>
    <x v="0"/>
    <n v="78"/>
    <n v="2"/>
    <n v="4"/>
    <x v="5"/>
    <n v="4"/>
    <s v="Married"/>
    <n v="15427"/>
    <n v="22021"/>
    <n v="2"/>
    <s v="Y"/>
    <x v="1"/>
    <n v="16"/>
    <n v="3"/>
    <n v="3"/>
    <n v="80"/>
    <n v="0"/>
    <n v="31"/>
    <n v="3"/>
    <n v="3"/>
    <n v="25"/>
    <n v="8"/>
    <n v="3"/>
    <n v="7"/>
    <x v="1"/>
    <s v="Top"/>
  </r>
  <r>
    <n v="38"/>
    <x v="1"/>
    <s v="Travel_Rarely"/>
    <n v="371"/>
    <x v="1"/>
    <n v="2"/>
    <n v="3"/>
    <s v="Life Sciences"/>
    <n v="1"/>
    <n v="24"/>
    <n v="4"/>
    <x v="1"/>
    <n v="45"/>
    <n v="3"/>
    <n v="1"/>
    <x v="1"/>
    <n v="4"/>
    <s v="Single"/>
    <n v="3944"/>
    <n v="4306"/>
    <n v="5"/>
    <s v="Y"/>
    <x v="0"/>
    <n v="11"/>
    <n v="3"/>
    <n v="3"/>
    <n v="80"/>
    <n v="0"/>
    <n v="6"/>
    <n v="3"/>
    <n v="3"/>
    <n v="3"/>
    <n v="2"/>
    <n v="1"/>
    <n v="2"/>
    <x v="0"/>
    <s v="Mid"/>
  </r>
  <r>
    <n v="24"/>
    <x v="1"/>
    <s v="Non-Travel"/>
    <n v="673"/>
    <x v="1"/>
    <n v="11"/>
    <n v="2"/>
    <s v="Other"/>
    <n v="1"/>
    <n v="26"/>
    <n v="1"/>
    <x v="0"/>
    <n v="96"/>
    <n v="4"/>
    <n v="2"/>
    <x v="3"/>
    <n v="3"/>
    <s v="Divorced"/>
    <n v="4011"/>
    <n v="8232"/>
    <n v="0"/>
    <s v="Y"/>
    <x v="1"/>
    <n v="18"/>
    <n v="3"/>
    <n v="4"/>
    <n v="80"/>
    <n v="1"/>
    <n v="5"/>
    <n v="5"/>
    <n v="2"/>
    <n v="4"/>
    <n v="2"/>
    <n v="1"/>
    <n v="3"/>
    <x v="3"/>
    <s v="Mid"/>
  </r>
  <r>
    <n v="36"/>
    <x v="0"/>
    <s v="Travel_Rarely"/>
    <n v="1218"/>
    <x v="0"/>
    <n v="9"/>
    <n v="4"/>
    <s v="Life Sciences"/>
    <n v="1"/>
    <n v="27"/>
    <n v="3"/>
    <x v="1"/>
    <n v="82"/>
    <n v="2"/>
    <n v="1"/>
    <x v="6"/>
    <n v="1"/>
    <s v="Single"/>
    <n v="3407"/>
    <n v="6986"/>
    <n v="7"/>
    <s v="Y"/>
    <x v="1"/>
    <n v="23"/>
    <n v="4"/>
    <n v="2"/>
    <n v="80"/>
    <n v="0"/>
    <n v="10"/>
    <n v="4"/>
    <n v="3"/>
    <n v="5"/>
    <n v="3"/>
    <n v="0"/>
    <n v="3"/>
    <x v="0"/>
    <s v="Mid"/>
  </r>
  <r>
    <n v="34"/>
    <x v="1"/>
    <s v="Travel_Rarely"/>
    <n v="419"/>
    <x v="1"/>
    <n v="7"/>
    <n v="4"/>
    <s v="Life Sciences"/>
    <n v="1"/>
    <n v="28"/>
    <n v="1"/>
    <x v="0"/>
    <n v="53"/>
    <n v="3"/>
    <n v="3"/>
    <x v="7"/>
    <n v="2"/>
    <s v="Single"/>
    <n v="11994"/>
    <n v="21293"/>
    <n v="0"/>
    <s v="Y"/>
    <x v="1"/>
    <n v="11"/>
    <n v="3"/>
    <n v="3"/>
    <n v="80"/>
    <n v="0"/>
    <n v="13"/>
    <n v="4"/>
    <n v="3"/>
    <n v="12"/>
    <n v="6"/>
    <n v="2"/>
    <n v="11"/>
    <x v="2"/>
    <s v="High"/>
  </r>
  <r>
    <n v="21"/>
    <x v="1"/>
    <s v="Travel_Rarely"/>
    <n v="391"/>
    <x v="1"/>
    <n v="15"/>
    <n v="2"/>
    <s v="Life Sciences"/>
    <n v="1"/>
    <n v="30"/>
    <n v="3"/>
    <x v="1"/>
    <n v="96"/>
    <n v="3"/>
    <n v="1"/>
    <x v="1"/>
    <n v="4"/>
    <s v="Single"/>
    <n v="1232"/>
    <n v="19281"/>
    <n v="1"/>
    <s v="Y"/>
    <x v="1"/>
    <n v="14"/>
    <n v="3"/>
    <n v="4"/>
    <n v="80"/>
    <n v="0"/>
    <n v="0"/>
    <n v="6"/>
    <n v="3"/>
    <n v="0"/>
    <n v="0"/>
    <n v="0"/>
    <n v="0"/>
    <x v="3"/>
    <s v="Low"/>
  </r>
  <r>
    <n v="34"/>
    <x v="0"/>
    <s v="Travel_Rarely"/>
    <n v="699"/>
    <x v="1"/>
    <n v="6"/>
    <n v="1"/>
    <s v="Medical"/>
    <n v="1"/>
    <n v="31"/>
    <n v="2"/>
    <x v="1"/>
    <n v="83"/>
    <n v="3"/>
    <n v="1"/>
    <x v="1"/>
    <n v="1"/>
    <s v="Single"/>
    <n v="2960"/>
    <n v="17102"/>
    <n v="2"/>
    <s v="Y"/>
    <x v="1"/>
    <n v="11"/>
    <n v="3"/>
    <n v="3"/>
    <n v="80"/>
    <n v="0"/>
    <n v="8"/>
    <n v="2"/>
    <n v="3"/>
    <n v="4"/>
    <n v="2"/>
    <n v="1"/>
    <n v="3"/>
    <x v="2"/>
    <s v="Low"/>
  </r>
  <r>
    <n v="53"/>
    <x v="1"/>
    <s v="Travel_Rarely"/>
    <n v="1282"/>
    <x v="1"/>
    <n v="5"/>
    <n v="3"/>
    <s v="Other"/>
    <n v="1"/>
    <n v="32"/>
    <n v="3"/>
    <x v="0"/>
    <n v="58"/>
    <n v="3"/>
    <n v="5"/>
    <x v="5"/>
    <n v="3"/>
    <s v="Divorced"/>
    <n v="19094"/>
    <n v="10735"/>
    <n v="4"/>
    <s v="Y"/>
    <x v="1"/>
    <n v="11"/>
    <n v="3"/>
    <n v="4"/>
    <n v="80"/>
    <n v="1"/>
    <n v="26"/>
    <n v="3"/>
    <n v="2"/>
    <n v="14"/>
    <n v="13"/>
    <n v="4"/>
    <n v="8"/>
    <x v="1"/>
    <s v="Top"/>
  </r>
  <r>
    <n v="32"/>
    <x v="0"/>
    <s v="Travel_Frequently"/>
    <n v="1125"/>
    <x v="1"/>
    <n v="16"/>
    <n v="1"/>
    <s v="Life Sciences"/>
    <n v="1"/>
    <n v="33"/>
    <n v="2"/>
    <x v="0"/>
    <n v="72"/>
    <n v="1"/>
    <n v="1"/>
    <x v="1"/>
    <n v="1"/>
    <s v="Single"/>
    <n v="3919"/>
    <n v="4681"/>
    <n v="1"/>
    <s v="Y"/>
    <x v="0"/>
    <n v="22"/>
    <n v="4"/>
    <n v="2"/>
    <n v="80"/>
    <n v="0"/>
    <n v="10"/>
    <n v="5"/>
    <n v="3"/>
    <n v="10"/>
    <n v="2"/>
    <n v="6"/>
    <n v="7"/>
    <x v="2"/>
    <s v="Mid"/>
  </r>
  <r>
    <n v="42"/>
    <x v="1"/>
    <s v="Travel_Rarely"/>
    <n v="691"/>
    <x v="0"/>
    <n v="8"/>
    <n v="4"/>
    <s v="Marketing"/>
    <n v="1"/>
    <n v="35"/>
    <n v="3"/>
    <x v="1"/>
    <n v="48"/>
    <n v="3"/>
    <n v="2"/>
    <x v="0"/>
    <n v="2"/>
    <s v="Married"/>
    <n v="6825"/>
    <n v="21173"/>
    <n v="0"/>
    <s v="Y"/>
    <x v="1"/>
    <n v="11"/>
    <n v="3"/>
    <n v="4"/>
    <n v="80"/>
    <n v="1"/>
    <n v="10"/>
    <n v="2"/>
    <n v="3"/>
    <n v="9"/>
    <n v="7"/>
    <n v="4"/>
    <n v="2"/>
    <x v="0"/>
    <s v="Mid"/>
  </r>
  <r>
    <n v="44"/>
    <x v="1"/>
    <s v="Travel_Rarely"/>
    <n v="477"/>
    <x v="1"/>
    <n v="7"/>
    <n v="4"/>
    <s v="Medical"/>
    <n v="1"/>
    <n v="36"/>
    <n v="1"/>
    <x v="0"/>
    <n v="42"/>
    <n v="2"/>
    <n v="3"/>
    <x v="4"/>
    <n v="4"/>
    <s v="Married"/>
    <n v="10248"/>
    <n v="2094"/>
    <n v="3"/>
    <s v="Y"/>
    <x v="1"/>
    <n v="14"/>
    <n v="3"/>
    <n v="4"/>
    <n v="80"/>
    <n v="1"/>
    <n v="24"/>
    <n v="4"/>
    <n v="3"/>
    <n v="22"/>
    <n v="6"/>
    <n v="5"/>
    <n v="17"/>
    <x v="0"/>
    <s v="High"/>
  </r>
  <r>
    <n v="46"/>
    <x v="1"/>
    <s v="Travel_Rarely"/>
    <n v="705"/>
    <x v="0"/>
    <n v="2"/>
    <n v="4"/>
    <s v="Marketing"/>
    <n v="1"/>
    <n v="38"/>
    <n v="2"/>
    <x v="0"/>
    <n v="83"/>
    <n v="3"/>
    <n v="5"/>
    <x v="5"/>
    <n v="1"/>
    <s v="Single"/>
    <n v="18947"/>
    <n v="22822"/>
    <n v="3"/>
    <s v="Y"/>
    <x v="1"/>
    <n v="12"/>
    <n v="3"/>
    <n v="4"/>
    <n v="80"/>
    <n v="0"/>
    <n v="22"/>
    <n v="2"/>
    <n v="2"/>
    <n v="2"/>
    <n v="2"/>
    <n v="2"/>
    <n v="1"/>
    <x v="1"/>
    <s v="Top"/>
  </r>
  <r>
    <n v="33"/>
    <x v="1"/>
    <s v="Travel_Rarely"/>
    <n v="924"/>
    <x v="1"/>
    <n v="2"/>
    <n v="3"/>
    <s v="Medical"/>
    <n v="1"/>
    <n v="39"/>
    <n v="3"/>
    <x v="1"/>
    <n v="78"/>
    <n v="3"/>
    <n v="1"/>
    <x v="2"/>
    <n v="4"/>
    <s v="Single"/>
    <n v="2496"/>
    <n v="6670"/>
    <n v="4"/>
    <s v="Y"/>
    <x v="1"/>
    <n v="11"/>
    <n v="3"/>
    <n v="4"/>
    <n v="80"/>
    <n v="0"/>
    <n v="7"/>
    <n v="3"/>
    <n v="3"/>
    <n v="1"/>
    <n v="1"/>
    <n v="0"/>
    <n v="0"/>
    <x v="2"/>
    <s v="Low"/>
  </r>
  <r>
    <n v="44"/>
    <x v="1"/>
    <s v="Travel_Rarely"/>
    <n v="1459"/>
    <x v="1"/>
    <n v="10"/>
    <n v="4"/>
    <s v="Other"/>
    <n v="1"/>
    <n v="40"/>
    <n v="4"/>
    <x v="1"/>
    <n v="41"/>
    <n v="3"/>
    <n v="2"/>
    <x v="4"/>
    <n v="4"/>
    <s v="Married"/>
    <n v="6465"/>
    <n v="19121"/>
    <n v="2"/>
    <s v="Y"/>
    <x v="0"/>
    <n v="13"/>
    <n v="3"/>
    <n v="4"/>
    <n v="80"/>
    <n v="0"/>
    <n v="9"/>
    <n v="5"/>
    <n v="4"/>
    <n v="4"/>
    <n v="2"/>
    <n v="1"/>
    <n v="3"/>
    <x v="0"/>
    <s v="Mid"/>
  </r>
  <r>
    <n v="30"/>
    <x v="1"/>
    <s v="Travel_Rarely"/>
    <n v="125"/>
    <x v="1"/>
    <n v="9"/>
    <n v="2"/>
    <s v="Medical"/>
    <n v="1"/>
    <n v="41"/>
    <n v="4"/>
    <x v="1"/>
    <n v="83"/>
    <n v="2"/>
    <n v="1"/>
    <x v="2"/>
    <n v="3"/>
    <s v="Single"/>
    <n v="2206"/>
    <n v="16117"/>
    <n v="1"/>
    <s v="Y"/>
    <x v="1"/>
    <n v="13"/>
    <n v="3"/>
    <n v="1"/>
    <n v="80"/>
    <n v="0"/>
    <n v="10"/>
    <n v="5"/>
    <n v="3"/>
    <n v="10"/>
    <n v="0"/>
    <n v="1"/>
    <n v="8"/>
    <x v="2"/>
    <s v="Low"/>
  </r>
  <r>
    <n v="39"/>
    <x v="0"/>
    <s v="Travel_Rarely"/>
    <n v="895"/>
    <x v="0"/>
    <n v="5"/>
    <n v="3"/>
    <s v="Technical Degree"/>
    <n v="1"/>
    <n v="42"/>
    <n v="4"/>
    <x v="1"/>
    <n v="56"/>
    <n v="3"/>
    <n v="2"/>
    <x v="6"/>
    <n v="4"/>
    <s v="Married"/>
    <n v="2086"/>
    <n v="3335"/>
    <n v="3"/>
    <s v="Y"/>
    <x v="1"/>
    <n v="14"/>
    <n v="3"/>
    <n v="3"/>
    <n v="80"/>
    <n v="1"/>
    <n v="19"/>
    <n v="6"/>
    <n v="4"/>
    <n v="1"/>
    <n v="0"/>
    <n v="0"/>
    <n v="0"/>
    <x v="0"/>
    <s v="Low"/>
  </r>
  <r>
    <n v="24"/>
    <x v="0"/>
    <s v="Travel_Rarely"/>
    <n v="813"/>
    <x v="1"/>
    <n v="1"/>
    <n v="3"/>
    <s v="Medical"/>
    <n v="1"/>
    <n v="45"/>
    <n v="2"/>
    <x v="1"/>
    <n v="61"/>
    <n v="3"/>
    <n v="1"/>
    <x v="1"/>
    <n v="4"/>
    <s v="Married"/>
    <n v="2293"/>
    <n v="3020"/>
    <n v="2"/>
    <s v="Y"/>
    <x v="0"/>
    <n v="16"/>
    <n v="3"/>
    <n v="1"/>
    <n v="80"/>
    <n v="1"/>
    <n v="6"/>
    <n v="2"/>
    <n v="2"/>
    <n v="2"/>
    <n v="0"/>
    <n v="2"/>
    <n v="0"/>
    <x v="3"/>
    <s v="Low"/>
  </r>
  <r>
    <n v="43"/>
    <x v="1"/>
    <s v="Travel_Rarely"/>
    <n v="1273"/>
    <x v="1"/>
    <n v="2"/>
    <n v="2"/>
    <s v="Medical"/>
    <n v="1"/>
    <n v="46"/>
    <n v="4"/>
    <x v="0"/>
    <n v="72"/>
    <n v="4"/>
    <n v="1"/>
    <x v="1"/>
    <n v="3"/>
    <s v="Divorced"/>
    <n v="2645"/>
    <n v="21923"/>
    <n v="1"/>
    <s v="Y"/>
    <x v="1"/>
    <n v="12"/>
    <n v="3"/>
    <n v="4"/>
    <n v="80"/>
    <n v="2"/>
    <n v="6"/>
    <n v="3"/>
    <n v="2"/>
    <n v="5"/>
    <n v="3"/>
    <n v="1"/>
    <n v="4"/>
    <x v="0"/>
    <s v="Low"/>
  </r>
  <r>
    <n v="50"/>
    <x v="0"/>
    <s v="Travel_Rarely"/>
    <n v="869"/>
    <x v="0"/>
    <n v="3"/>
    <n v="2"/>
    <s v="Marketing"/>
    <n v="1"/>
    <n v="47"/>
    <n v="1"/>
    <x v="1"/>
    <n v="86"/>
    <n v="2"/>
    <n v="1"/>
    <x v="6"/>
    <n v="3"/>
    <s v="Married"/>
    <n v="2683"/>
    <n v="3810"/>
    <n v="1"/>
    <s v="Y"/>
    <x v="0"/>
    <n v="14"/>
    <n v="3"/>
    <n v="3"/>
    <n v="80"/>
    <n v="0"/>
    <n v="3"/>
    <n v="2"/>
    <n v="3"/>
    <n v="3"/>
    <n v="2"/>
    <n v="0"/>
    <n v="2"/>
    <x v="1"/>
    <s v="Low"/>
  </r>
  <r>
    <n v="35"/>
    <x v="1"/>
    <s v="Travel_Rarely"/>
    <n v="890"/>
    <x v="0"/>
    <n v="2"/>
    <n v="3"/>
    <s v="Marketing"/>
    <n v="1"/>
    <n v="49"/>
    <n v="4"/>
    <x v="0"/>
    <n v="97"/>
    <n v="3"/>
    <n v="1"/>
    <x v="6"/>
    <n v="4"/>
    <s v="Married"/>
    <n v="2014"/>
    <n v="9687"/>
    <n v="1"/>
    <s v="Y"/>
    <x v="1"/>
    <n v="13"/>
    <n v="3"/>
    <n v="1"/>
    <n v="80"/>
    <n v="0"/>
    <n v="2"/>
    <n v="3"/>
    <n v="3"/>
    <n v="2"/>
    <n v="2"/>
    <n v="2"/>
    <n v="2"/>
    <x v="2"/>
    <s v="Low"/>
  </r>
  <r>
    <n v="36"/>
    <x v="1"/>
    <s v="Travel_Rarely"/>
    <n v="852"/>
    <x v="1"/>
    <n v="5"/>
    <n v="4"/>
    <s v="Life Sciences"/>
    <n v="1"/>
    <n v="51"/>
    <n v="2"/>
    <x v="0"/>
    <n v="82"/>
    <n v="2"/>
    <n v="1"/>
    <x v="1"/>
    <n v="1"/>
    <s v="Married"/>
    <n v="3419"/>
    <n v="13072"/>
    <n v="9"/>
    <s v="Y"/>
    <x v="0"/>
    <n v="14"/>
    <n v="3"/>
    <n v="4"/>
    <n v="80"/>
    <n v="1"/>
    <n v="6"/>
    <n v="3"/>
    <n v="4"/>
    <n v="1"/>
    <n v="1"/>
    <n v="0"/>
    <n v="0"/>
    <x v="0"/>
    <s v="Mid"/>
  </r>
  <r>
    <n v="33"/>
    <x v="1"/>
    <s v="Travel_Frequently"/>
    <n v="1141"/>
    <x v="0"/>
    <n v="1"/>
    <n v="3"/>
    <s v="Life Sciences"/>
    <n v="1"/>
    <n v="52"/>
    <n v="3"/>
    <x v="0"/>
    <n v="42"/>
    <n v="4"/>
    <n v="2"/>
    <x v="0"/>
    <n v="1"/>
    <s v="Married"/>
    <n v="5376"/>
    <n v="3193"/>
    <n v="2"/>
    <s v="Y"/>
    <x v="1"/>
    <n v="19"/>
    <n v="3"/>
    <n v="1"/>
    <n v="80"/>
    <n v="2"/>
    <n v="10"/>
    <n v="3"/>
    <n v="3"/>
    <n v="5"/>
    <n v="3"/>
    <n v="1"/>
    <n v="3"/>
    <x v="2"/>
    <s v="Mid"/>
  </r>
  <r>
    <n v="35"/>
    <x v="1"/>
    <s v="Travel_Rarely"/>
    <n v="464"/>
    <x v="1"/>
    <n v="4"/>
    <n v="2"/>
    <s v="Other"/>
    <n v="1"/>
    <n v="53"/>
    <n v="3"/>
    <x v="1"/>
    <n v="75"/>
    <n v="3"/>
    <n v="1"/>
    <x v="2"/>
    <n v="4"/>
    <s v="Divorced"/>
    <n v="1951"/>
    <n v="10910"/>
    <n v="1"/>
    <s v="Y"/>
    <x v="1"/>
    <n v="12"/>
    <n v="3"/>
    <n v="3"/>
    <n v="80"/>
    <n v="1"/>
    <n v="1"/>
    <n v="3"/>
    <n v="3"/>
    <n v="1"/>
    <n v="0"/>
    <n v="0"/>
    <n v="0"/>
    <x v="2"/>
    <s v="Low"/>
  </r>
  <r>
    <n v="27"/>
    <x v="1"/>
    <s v="Travel_Rarely"/>
    <n v="1240"/>
    <x v="1"/>
    <n v="2"/>
    <n v="4"/>
    <s v="Life Sciences"/>
    <n v="1"/>
    <n v="54"/>
    <n v="4"/>
    <x v="0"/>
    <n v="33"/>
    <n v="3"/>
    <n v="1"/>
    <x v="2"/>
    <n v="1"/>
    <s v="Divorced"/>
    <n v="2341"/>
    <n v="19715"/>
    <n v="1"/>
    <s v="Y"/>
    <x v="1"/>
    <n v="13"/>
    <n v="3"/>
    <n v="4"/>
    <n v="80"/>
    <n v="1"/>
    <n v="1"/>
    <n v="6"/>
    <n v="3"/>
    <n v="1"/>
    <n v="0"/>
    <n v="0"/>
    <n v="0"/>
    <x v="2"/>
    <s v="Low"/>
  </r>
  <r>
    <n v="26"/>
    <x v="0"/>
    <s v="Travel_Rarely"/>
    <n v="1357"/>
    <x v="1"/>
    <n v="25"/>
    <n v="3"/>
    <s v="Life Sciences"/>
    <n v="1"/>
    <n v="55"/>
    <n v="1"/>
    <x v="1"/>
    <n v="48"/>
    <n v="1"/>
    <n v="1"/>
    <x v="2"/>
    <n v="3"/>
    <s v="Single"/>
    <n v="2293"/>
    <n v="10558"/>
    <n v="1"/>
    <s v="Y"/>
    <x v="1"/>
    <n v="12"/>
    <n v="3"/>
    <n v="3"/>
    <n v="80"/>
    <n v="0"/>
    <n v="1"/>
    <n v="2"/>
    <n v="2"/>
    <n v="1"/>
    <n v="0"/>
    <n v="0"/>
    <n v="1"/>
    <x v="2"/>
    <s v="Low"/>
  </r>
  <r>
    <n v="27"/>
    <x v="1"/>
    <s v="Travel_Frequently"/>
    <n v="994"/>
    <x v="0"/>
    <n v="8"/>
    <n v="3"/>
    <s v="Life Sciences"/>
    <n v="1"/>
    <n v="56"/>
    <n v="4"/>
    <x v="1"/>
    <n v="37"/>
    <n v="3"/>
    <n v="3"/>
    <x v="0"/>
    <n v="3"/>
    <s v="Single"/>
    <n v="8726"/>
    <n v="2975"/>
    <n v="1"/>
    <s v="Y"/>
    <x v="1"/>
    <n v="15"/>
    <n v="3"/>
    <n v="4"/>
    <n v="80"/>
    <n v="0"/>
    <n v="9"/>
    <n v="0"/>
    <n v="3"/>
    <n v="9"/>
    <n v="8"/>
    <n v="1"/>
    <n v="7"/>
    <x v="2"/>
    <s v="High"/>
  </r>
  <r>
    <n v="30"/>
    <x v="1"/>
    <s v="Travel_Frequently"/>
    <n v="721"/>
    <x v="1"/>
    <n v="1"/>
    <n v="2"/>
    <s v="Medical"/>
    <n v="1"/>
    <n v="57"/>
    <n v="3"/>
    <x v="0"/>
    <n v="58"/>
    <n v="3"/>
    <n v="2"/>
    <x v="2"/>
    <n v="4"/>
    <s v="Single"/>
    <n v="4011"/>
    <n v="10781"/>
    <n v="1"/>
    <s v="Y"/>
    <x v="1"/>
    <n v="23"/>
    <n v="4"/>
    <n v="4"/>
    <n v="80"/>
    <n v="0"/>
    <n v="12"/>
    <n v="2"/>
    <n v="3"/>
    <n v="12"/>
    <n v="8"/>
    <n v="3"/>
    <n v="7"/>
    <x v="2"/>
    <s v="Mid"/>
  </r>
  <r>
    <n v="41"/>
    <x v="0"/>
    <s v="Travel_Rarely"/>
    <n v="1360"/>
    <x v="1"/>
    <n v="12"/>
    <n v="3"/>
    <s v="Technical Degree"/>
    <n v="1"/>
    <n v="58"/>
    <n v="2"/>
    <x v="0"/>
    <n v="49"/>
    <n v="3"/>
    <n v="5"/>
    <x v="7"/>
    <n v="3"/>
    <s v="Married"/>
    <n v="19545"/>
    <n v="16280"/>
    <n v="1"/>
    <s v="Y"/>
    <x v="1"/>
    <n v="12"/>
    <n v="3"/>
    <n v="4"/>
    <n v="80"/>
    <n v="0"/>
    <n v="23"/>
    <n v="0"/>
    <n v="3"/>
    <n v="22"/>
    <n v="15"/>
    <n v="15"/>
    <n v="8"/>
    <x v="0"/>
    <s v="Top"/>
  </r>
  <r>
    <n v="34"/>
    <x v="1"/>
    <s v="Non-Travel"/>
    <n v="1065"/>
    <x v="0"/>
    <n v="23"/>
    <n v="4"/>
    <s v="Marketing"/>
    <n v="1"/>
    <n v="60"/>
    <n v="2"/>
    <x v="1"/>
    <n v="72"/>
    <n v="3"/>
    <n v="2"/>
    <x v="0"/>
    <n v="3"/>
    <s v="Single"/>
    <n v="4568"/>
    <n v="10034"/>
    <n v="0"/>
    <s v="Y"/>
    <x v="1"/>
    <n v="20"/>
    <n v="4"/>
    <n v="3"/>
    <n v="80"/>
    <n v="0"/>
    <n v="10"/>
    <n v="2"/>
    <n v="3"/>
    <n v="9"/>
    <n v="5"/>
    <n v="8"/>
    <n v="7"/>
    <x v="2"/>
    <s v="Mid"/>
  </r>
  <r>
    <n v="37"/>
    <x v="1"/>
    <s v="Travel_Rarely"/>
    <n v="408"/>
    <x v="1"/>
    <n v="19"/>
    <n v="2"/>
    <s v="Life Sciences"/>
    <n v="1"/>
    <n v="61"/>
    <n v="2"/>
    <x v="1"/>
    <n v="73"/>
    <n v="3"/>
    <n v="1"/>
    <x v="1"/>
    <n v="2"/>
    <s v="Married"/>
    <n v="3022"/>
    <n v="10227"/>
    <n v="4"/>
    <s v="Y"/>
    <x v="1"/>
    <n v="21"/>
    <n v="4"/>
    <n v="1"/>
    <n v="80"/>
    <n v="0"/>
    <n v="8"/>
    <n v="1"/>
    <n v="3"/>
    <n v="1"/>
    <n v="0"/>
    <n v="0"/>
    <n v="0"/>
    <x v="0"/>
    <s v="Mid"/>
  </r>
  <r>
    <n v="46"/>
    <x v="1"/>
    <s v="Travel_Frequently"/>
    <n v="1211"/>
    <x v="0"/>
    <n v="5"/>
    <n v="4"/>
    <s v="Marketing"/>
    <n v="1"/>
    <n v="62"/>
    <n v="1"/>
    <x v="1"/>
    <n v="98"/>
    <n v="3"/>
    <n v="2"/>
    <x v="0"/>
    <n v="4"/>
    <s v="Single"/>
    <n v="5772"/>
    <n v="20445"/>
    <n v="4"/>
    <s v="Y"/>
    <x v="0"/>
    <n v="21"/>
    <n v="4"/>
    <n v="3"/>
    <n v="80"/>
    <n v="0"/>
    <n v="14"/>
    <n v="4"/>
    <n v="3"/>
    <n v="9"/>
    <n v="6"/>
    <n v="0"/>
    <n v="8"/>
    <x v="1"/>
    <s v="Mid"/>
  </r>
  <r>
    <n v="35"/>
    <x v="1"/>
    <s v="Travel_Rarely"/>
    <n v="1229"/>
    <x v="1"/>
    <n v="8"/>
    <n v="1"/>
    <s v="Life Sciences"/>
    <n v="1"/>
    <n v="63"/>
    <n v="4"/>
    <x v="1"/>
    <n v="36"/>
    <n v="4"/>
    <n v="1"/>
    <x v="2"/>
    <n v="4"/>
    <s v="Married"/>
    <n v="2269"/>
    <n v="4892"/>
    <n v="1"/>
    <s v="Y"/>
    <x v="1"/>
    <n v="19"/>
    <n v="3"/>
    <n v="4"/>
    <n v="80"/>
    <n v="0"/>
    <n v="1"/>
    <n v="2"/>
    <n v="3"/>
    <n v="1"/>
    <n v="0"/>
    <n v="0"/>
    <n v="1"/>
    <x v="2"/>
    <s v="Low"/>
  </r>
  <r>
    <n v="48"/>
    <x v="0"/>
    <s v="Travel_Rarely"/>
    <n v="626"/>
    <x v="1"/>
    <n v="1"/>
    <n v="2"/>
    <s v="Life Sciences"/>
    <n v="1"/>
    <n v="64"/>
    <n v="1"/>
    <x v="1"/>
    <n v="98"/>
    <n v="2"/>
    <n v="3"/>
    <x v="2"/>
    <n v="3"/>
    <s v="Single"/>
    <n v="5381"/>
    <n v="19294"/>
    <n v="9"/>
    <s v="Y"/>
    <x v="0"/>
    <n v="13"/>
    <n v="3"/>
    <n v="4"/>
    <n v="80"/>
    <n v="0"/>
    <n v="23"/>
    <n v="2"/>
    <n v="3"/>
    <n v="1"/>
    <n v="0"/>
    <n v="0"/>
    <n v="0"/>
    <x v="1"/>
    <s v="Mid"/>
  </r>
  <r>
    <n v="28"/>
    <x v="0"/>
    <s v="Travel_Rarely"/>
    <n v="1434"/>
    <x v="1"/>
    <n v="5"/>
    <n v="4"/>
    <s v="Technical Degree"/>
    <n v="1"/>
    <n v="65"/>
    <n v="3"/>
    <x v="1"/>
    <n v="50"/>
    <n v="3"/>
    <n v="1"/>
    <x v="2"/>
    <n v="3"/>
    <s v="Single"/>
    <n v="3441"/>
    <n v="11179"/>
    <n v="1"/>
    <s v="Y"/>
    <x v="0"/>
    <n v="13"/>
    <n v="3"/>
    <n v="3"/>
    <n v="80"/>
    <n v="0"/>
    <n v="2"/>
    <n v="3"/>
    <n v="2"/>
    <n v="2"/>
    <n v="2"/>
    <n v="2"/>
    <n v="2"/>
    <x v="2"/>
    <s v="Mid"/>
  </r>
  <r>
    <n v="44"/>
    <x v="1"/>
    <s v="Travel_Rarely"/>
    <n v="1488"/>
    <x v="0"/>
    <n v="1"/>
    <n v="5"/>
    <s v="Marketing"/>
    <n v="1"/>
    <n v="68"/>
    <n v="2"/>
    <x v="0"/>
    <n v="75"/>
    <n v="3"/>
    <n v="2"/>
    <x v="0"/>
    <n v="1"/>
    <s v="Divorced"/>
    <n v="5454"/>
    <n v="4009"/>
    <n v="5"/>
    <s v="Y"/>
    <x v="0"/>
    <n v="21"/>
    <n v="4"/>
    <n v="3"/>
    <n v="80"/>
    <n v="1"/>
    <n v="9"/>
    <n v="2"/>
    <n v="2"/>
    <n v="4"/>
    <n v="3"/>
    <n v="1"/>
    <n v="3"/>
    <x v="0"/>
    <s v="Mid"/>
  </r>
  <r>
    <n v="35"/>
    <x v="1"/>
    <s v="Non-Travel"/>
    <n v="1097"/>
    <x v="1"/>
    <n v="11"/>
    <n v="2"/>
    <s v="Medical"/>
    <n v="1"/>
    <n v="70"/>
    <n v="3"/>
    <x v="1"/>
    <n v="79"/>
    <n v="2"/>
    <n v="3"/>
    <x v="4"/>
    <n v="1"/>
    <s v="Married"/>
    <n v="9884"/>
    <n v="8302"/>
    <n v="2"/>
    <s v="Y"/>
    <x v="0"/>
    <n v="13"/>
    <n v="3"/>
    <n v="3"/>
    <n v="80"/>
    <n v="1"/>
    <n v="10"/>
    <n v="3"/>
    <n v="3"/>
    <n v="4"/>
    <n v="0"/>
    <n v="2"/>
    <n v="3"/>
    <x v="2"/>
    <s v="High"/>
  </r>
  <r>
    <n v="26"/>
    <x v="1"/>
    <s v="Travel_Rarely"/>
    <n v="1443"/>
    <x v="0"/>
    <n v="23"/>
    <n v="3"/>
    <s v="Marketing"/>
    <n v="1"/>
    <n v="72"/>
    <n v="3"/>
    <x v="0"/>
    <n v="47"/>
    <n v="2"/>
    <n v="2"/>
    <x v="0"/>
    <n v="4"/>
    <s v="Married"/>
    <n v="4157"/>
    <n v="21436"/>
    <n v="7"/>
    <s v="Y"/>
    <x v="0"/>
    <n v="19"/>
    <n v="3"/>
    <n v="3"/>
    <n v="80"/>
    <n v="1"/>
    <n v="5"/>
    <n v="2"/>
    <n v="2"/>
    <n v="2"/>
    <n v="2"/>
    <n v="0"/>
    <n v="0"/>
    <x v="2"/>
    <s v="Mid"/>
  </r>
  <r>
    <n v="33"/>
    <x v="1"/>
    <s v="Travel_Frequently"/>
    <n v="515"/>
    <x v="1"/>
    <n v="1"/>
    <n v="2"/>
    <s v="Life Sciences"/>
    <n v="1"/>
    <n v="73"/>
    <n v="1"/>
    <x v="0"/>
    <n v="98"/>
    <n v="3"/>
    <n v="3"/>
    <x v="7"/>
    <n v="4"/>
    <s v="Single"/>
    <n v="13458"/>
    <n v="15146"/>
    <n v="1"/>
    <s v="Y"/>
    <x v="0"/>
    <n v="12"/>
    <n v="3"/>
    <n v="3"/>
    <n v="80"/>
    <n v="0"/>
    <n v="15"/>
    <n v="1"/>
    <n v="3"/>
    <n v="15"/>
    <n v="14"/>
    <n v="8"/>
    <n v="12"/>
    <x v="2"/>
    <s v="Top"/>
  </r>
  <r>
    <n v="35"/>
    <x v="1"/>
    <s v="Travel_Frequently"/>
    <n v="853"/>
    <x v="0"/>
    <n v="18"/>
    <n v="5"/>
    <s v="Life Sciences"/>
    <n v="1"/>
    <n v="74"/>
    <n v="2"/>
    <x v="1"/>
    <n v="71"/>
    <n v="3"/>
    <n v="3"/>
    <x v="0"/>
    <n v="1"/>
    <s v="Married"/>
    <n v="9069"/>
    <n v="11031"/>
    <n v="1"/>
    <s v="Y"/>
    <x v="1"/>
    <n v="22"/>
    <n v="4"/>
    <n v="4"/>
    <n v="80"/>
    <n v="1"/>
    <n v="9"/>
    <n v="3"/>
    <n v="2"/>
    <n v="9"/>
    <n v="8"/>
    <n v="1"/>
    <n v="8"/>
    <x v="2"/>
    <s v="High"/>
  </r>
  <r>
    <n v="35"/>
    <x v="1"/>
    <s v="Travel_Rarely"/>
    <n v="1142"/>
    <x v="1"/>
    <n v="23"/>
    <n v="4"/>
    <s v="Medical"/>
    <n v="1"/>
    <n v="75"/>
    <n v="3"/>
    <x v="0"/>
    <n v="30"/>
    <n v="3"/>
    <n v="1"/>
    <x v="2"/>
    <n v="1"/>
    <s v="Married"/>
    <n v="4014"/>
    <n v="16002"/>
    <n v="3"/>
    <s v="Y"/>
    <x v="0"/>
    <n v="15"/>
    <n v="3"/>
    <n v="3"/>
    <n v="80"/>
    <n v="1"/>
    <n v="4"/>
    <n v="3"/>
    <n v="3"/>
    <n v="2"/>
    <n v="2"/>
    <n v="2"/>
    <n v="2"/>
    <x v="2"/>
    <s v="Mid"/>
  </r>
  <r>
    <n v="31"/>
    <x v="1"/>
    <s v="Travel_Rarely"/>
    <n v="655"/>
    <x v="1"/>
    <n v="7"/>
    <n v="4"/>
    <s v="Life Sciences"/>
    <n v="1"/>
    <n v="76"/>
    <n v="4"/>
    <x v="1"/>
    <n v="48"/>
    <n v="3"/>
    <n v="2"/>
    <x v="2"/>
    <n v="4"/>
    <s v="Divorced"/>
    <n v="5915"/>
    <n v="9528"/>
    <n v="3"/>
    <s v="Y"/>
    <x v="1"/>
    <n v="22"/>
    <n v="4"/>
    <n v="4"/>
    <n v="80"/>
    <n v="1"/>
    <n v="10"/>
    <n v="3"/>
    <n v="2"/>
    <n v="7"/>
    <n v="7"/>
    <n v="1"/>
    <n v="7"/>
    <x v="2"/>
    <s v="Mid"/>
  </r>
  <r>
    <n v="37"/>
    <x v="1"/>
    <s v="Travel_Rarely"/>
    <n v="1115"/>
    <x v="1"/>
    <n v="1"/>
    <n v="4"/>
    <s v="Life Sciences"/>
    <n v="1"/>
    <n v="77"/>
    <n v="1"/>
    <x v="1"/>
    <n v="51"/>
    <n v="2"/>
    <n v="2"/>
    <x v="3"/>
    <n v="3"/>
    <s v="Divorced"/>
    <n v="5993"/>
    <n v="2689"/>
    <n v="1"/>
    <s v="Y"/>
    <x v="1"/>
    <n v="18"/>
    <n v="3"/>
    <n v="3"/>
    <n v="80"/>
    <n v="1"/>
    <n v="7"/>
    <n v="2"/>
    <n v="4"/>
    <n v="7"/>
    <n v="5"/>
    <n v="0"/>
    <n v="7"/>
    <x v="0"/>
    <s v="Mid"/>
  </r>
  <r>
    <n v="32"/>
    <x v="1"/>
    <s v="Travel_Rarely"/>
    <n v="427"/>
    <x v="1"/>
    <n v="1"/>
    <n v="3"/>
    <s v="Medical"/>
    <n v="1"/>
    <n v="78"/>
    <n v="1"/>
    <x v="1"/>
    <n v="33"/>
    <n v="3"/>
    <n v="2"/>
    <x v="3"/>
    <n v="4"/>
    <s v="Married"/>
    <n v="6162"/>
    <n v="10877"/>
    <n v="1"/>
    <s v="Y"/>
    <x v="0"/>
    <n v="22"/>
    <n v="4"/>
    <n v="2"/>
    <n v="80"/>
    <n v="1"/>
    <n v="9"/>
    <n v="3"/>
    <n v="3"/>
    <n v="9"/>
    <n v="8"/>
    <n v="7"/>
    <n v="8"/>
    <x v="2"/>
    <s v="Mid"/>
  </r>
  <r>
    <n v="38"/>
    <x v="1"/>
    <s v="Travel_Frequently"/>
    <n v="653"/>
    <x v="1"/>
    <n v="29"/>
    <n v="5"/>
    <s v="Life Sciences"/>
    <n v="1"/>
    <n v="79"/>
    <n v="4"/>
    <x v="0"/>
    <n v="50"/>
    <n v="3"/>
    <n v="2"/>
    <x v="2"/>
    <n v="4"/>
    <s v="Single"/>
    <n v="2406"/>
    <n v="5456"/>
    <n v="1"/>
    <s v="Y"/>
    <x v="1"/>
    <n v="11"/>
    <n v="3"/>
    <n v="4"/>
    <n v="80"/>
    <n v="0"/>
    <n v="10"/>
    <n v="2"/>
    <n v="3"/>
    <n v="10"/>
    <n v="3"/>
    <n v="9"/>
    <n v="9"/>
    <x v="0"/>
    <s v="Low"/>
  </r>
  <r>
    <n v="50"/>
    <x v="1"/>
    <s v="Travel_Rarely"/>
    <n v="989"/>
    <x v="1"/>
    <n v="7"/>
    <n v="2"/>
    <s v="Medical"/>
    <n v="1"/>
    <n v="80"/>
    <n v="2"/>
    <x v="0"/>
    <n v="43"/>
    <n v="2"/>
    <n v="5"/>
    <x v="7"/>
    <n v="3"/>
    <s v="Divorced"/>
    <n v="18740"/>
    <n v="16701"/>
    <n v="5"/>
    <s v="Y"/>
    <x v="0"/>
    <n v="12"/>
    <n v="3"/>
    <n v="4"/>
    <n v="80"/>
    <n v="1"/>
    <n v="29"/>
    <n v="2"/>
    <n v="2"/>
    <n v="27"/>
    <n v="3"/>
    <n v="13"/>
    <n v="8"/>
    <x v="1"/>
    <s v="Top"/>
  </r>
  <r>
    <n v="59"/>
    <x v="1"/>
    <s v="Travel_Rarely"/>
    <n v="1435"/>
    <x v="0"/>
    <n v="25"/>
    <n v="3"/>
    <s v="Life Sciences"/>
    <n v="1"/>
    <n v="81"/>
    <n v="1"/>
    <x v="0"/>
    <n v="99"/>
    <n v="3"/>
    <n v="3"/>
    <x v="0"/>
    <n v="1"/>
    <s v="Single"/>
    <n v="7637"/>
    <n v="2354"/>
    <n v="7"/>
    <s v="Y"/>
    <x v="1"/>
    <n v="11"/>
    <n v="3"/>
    <n v="4"/>
    <n v="80"/>
    <n v="0"/>
    <n v="28"/>
    <n v="3"/>
    <n v="2"/>
    <n v="21"/>
    <n v="16"/>
    <n v="7"/>
    <n v="9"/>
    <x v="1"/>
    <s v="High"/>
  </r>
  <r>
    <n v="36"/>
    <x v="1"/>
    <s v="Travel_Rarely"/>
    <n v="1223"/>
    <x v="1"/>
    <n v="8"/>
    <n v="3"/>
    <s v="Technical Degree"/>
    <n v="1"/>
    <n v="83"/>
    <n v="3"/>
    <x v="0"/>
    <n v="59"/>
    <n v="3"/>
    <n v="3"/>
    <x v="4"/>
    <n v="3"/>
    <s v="Divorced"/>
    <n v="10096"/>
    <n v="8202"/>
    <n v="1"/>
    <s v="Y"/>
    <x v="1"/>
    <n v="13"/>
    <n v="3"/>
    <n v="2"/>
    <n v="80"/>
    <n v="3"/>
    <n v="17"/>
    <n v="2"/>
    <n v="3"/>
    <n v="17"/>
    <n v="14"/>
    <n v="12"/>
    <n v="8"/>
    <x v="0"/>
    <s v="High"/>
  </r>
  <r>
    <n v="55"/>
    <x v="1"/>
    <s v="Travel_Rarely"/>
    <n v="836"/>
    <x v="1"/>
    <n v="8"/>
    <n v="3"/>
    <s v="Medical"/>
    <n v="1"/>
    <n v="84"/>
    <n v="4"/>
    <x v="0"/>
    <n v="33"/>
    <n v="3"/>
    <n v="4"/>
    <x v="5"/>
    <n v="3"/>
    <s v="Divorced"/>
    <n v="14756"/>
    <n v="19730"/>
    <n v="2"/>
    <s v="Y"/>
    <x v="0"/>
    <n v="14"/>
    <n v="3"/>
    <n v="3"/>
    <n v="80"/>
    <n v="3"/>
    <n v="21"/>
    <n v="2"/>
    <n v="3"/>
    <n v="5"/>
    <n v="0"/>
    <n v="0"/>
    <n v="2"/>
    <x v="1"/>
    <s v="Top"/>
  </r>
  <r>
    <n v="36"/>
    <x v="1"/>
    <s v="Travel_Frequently"/>
    <n v="1195"/>
    <x v="1"/>
    <n v="11"/>
    <n v="3"/>
    <s v="Life Sciences"/>
    <n v="1"/>
    <n v="85"/>
    <n v="2"/>
    <x v="1"/>
    <n v="95"/>
    <n v="2"/>
    <n v="2"/>
    <x v="3"/>
    <n v="2"/>
    <s v="Single"/>
    <n v="6499"/>
    <n v="22656"/>
    <n v="1"/>
    <s v="Y"/>
    <x v="1"/>
    <n v="13"/>
    <n v="3"/>
    <n v="3"/>
    <n v="80"/>
    <n v="0"/>
    <n v="6"/>
    <n v="3"/>
    <n v="3"/>
    <n v="6"/>
    <n v="5"/>
    <n v="0"/>
    <n v="3"/>
    <x v="0"/>
    <s v="Mid"/>
  </r>
  <r>
    <n v="45"/>
    <x v="1"/>
    <s v="Travel_Rarely"/>
    <n v="1339"/>
    <x v="1"/>
    <n v="7"/>
    <n v="3"/>
    <s v="Life Sciences"/>
    <n v="1"/>
    <n v="86"/>
    <n v="2"/>
    <x v="1"/>
    <n v="59"/>
    <n v="3"/>
    <n v="3"/>
    <x v="1"/>
    <n v="1"/>
    <s v="Divorced"/>
    <n v="9724"/>
    <n v="18787"/>
    <n v="2"/>
    <s v="Y"/>
    <x v="1"/>
    <n v="17"/>
    <n v="3"/>
    <n v="3"/>
    <n v="80"/>
    <n v="1"/>
    <n v="25"/>
    <n v="2"/>
    <n v="3"/>
    <n v="1"/>
    <n v="0"/>
    <n v="0"/>
    <n v="0"/>
    <x v="0"/>
    <s v="High"/>
  </r>
  <r>
    <n v="35"/>
    <x v="1"/>
    <s v="Travel_Frequently"/>
    <n v="664"/>
    <x v="1"/>
    <n v="1"/>
    <n v="3"/>
    <s v="Medical"/>
    <n v="1"/>
    <n v="88"/>
    <n v="2"/>
    <x v="1"/>
    <n v="79"/>
    <n v="3"/>
    <n v="1"/>
    <x v="1"/>
    <n v="1"/>
    <s v="Married"/>
    <n v="2194"/>
    <n v="5868"/>
    <n v="4"/>
    <s v="Y"/>
    <x v="1"/>
    <n v="13"/>
    <n v="3"/>
    <n v="4"/>
    <n v="80"/>
    <n v="1"/>
    <n v="5"/>
    <n v="2"/>
    <n v="2"/>
    <n v="3"/>
    <n v="2"/>
    <n v="1"/>
    <n v="2"/>
    <x v="2"/>
    <s v="Low"/>
  </r>
  <r>
    <n v="36"/>
    <x v="0"/>
    <s v="Travel_Rarely"/>
    <n v="318"/>
    <x v="1"/>
    <n v="9"/>
    <n v="3"/>
    <s v="Medical"/>
    <n v="1"/>
    <n v="90"/>
    <n v="4"/>
    <x v="1"/>
    <n v="79"/>
    <n v="2"/>
    <n v="1"/>
    <x v="1"/>
    <n v="3"/>
    <s v="Married"/>
    <n v="3388"/>
    <n v="21777"/>
    <n v="0"/>
    <s v="Y"/>
    <x v="0"/>
    <n v="17"/>
    <n v="3"/>
    <n v="1"/>
    <n v="80"/>
    <n v="1"/>
    <n v="2"/>
    <n v="0"/>
    <n v="2"/>
    <n v="1"/>
    <n v="0"/>
    <n v="0"/>
    <n v="0"/>
    <x v="0"/>
    <s v="Mid"/>
  </r>
  <r>
    <n v="59"/>
    <x v="1"/>
    <s v="Travel_Frequently"/>
    <n v="1225"/>
    <x v="0"/>
    <n v="1"/>
    <n v="1"/>
    <s v="Life Sciences"/>
    <n v="1"/>
    <n v="91"/>
    <n v="1"/>
    <x v="0"/>
    <n v="57"/>
    <n v="2"/>
    <n v="2"/>
    <x v="0"/>
    <n v="3"/>
    <s v="Single"/>
    <n v="5473"/>
    <n v="24668"/>
    <n v="7"/>
    <s v="Y"/>
    <x v="1"/>
    <n v="11"/>
    <n v="3"/>
    <n v="4"/>
    <n v="80"/>
    <n v="0"/>
    <n v="20"/>
    <n v="2"/>
    <n v="2"/>
    <n v="4"/>
    <n v="3"/>
    <n v="1"/>
    <n v="3"/>
    <x v="1"/>
    <s v="Mid"/>
  </r>
  <r>
    <n v="29"/>
    <x v="1"/>
    <s v="Travel_Rarely"/>
    <n v="1328"/>
    <x v="1"/>
    <n v="2"/>
    <n v="3"/>
    <s v="Life Sciences"/>
    <n v="1"/>
    <n v="94"/>
    <n v="3"/>
    <x v="1"/>
    <n v="76"/>
    <n v="3"/>
    <n v="1"/>
    <x v="1"/>
    <n v="2"/>
    <s v="Married"/>
    <n v="2703"/>
    <n v="4956"/>
    <n v="0"/>
    <s v="Y"/>
    <x v="1"/>
    <n v="23"/>
    <n v="4"/>
    <n v="4"/>
    <n v="80"/>
    <n v="1"/>
    <n v="6"/>
    <n v="3"/>
    <n v="3"/>
    <n v="5"/>
    <n v="4"/>
    <n v="0"/>
    <n v="4"/>
    <x v="2"/>
    <s v="Low"/>
  </r>
  <r>
    <n v="31"/>
    <x v="1"/>
    <s v="Travel_Rarely"/>
    <n v="1082"/>
    <x v="1"/>
    <n v="1"/>
    <n v="4"/>
    <s v="Medical"/>
    <n v="1"/>
    <n v="95"/>
    <n v="3"/>
    <x v="1"/>
    <n v="87"/>
    <n v="3"/>
    <n v="1"/>
    <x v="1"/>
    <n v="2"/>
    <s v="Single"/>
    <n v="2501"/>
    <n v="18775"/>
    <n v="1"/>
    <s v="Y"/>
    <x v="1"/>
    <n v="17"/>
    <n v="3"/>
    <n v="2"/>
    <n v="80"/>
    <n v="0"/>
    <n v="1"/>
    <n v="4"/>
    <n v="3"/>
    <n v="1"/>
    <n v="1"/>
    <n v="1"/>
    <n v="0"/>
    <x v="2"/>
    <s v="Low"/>
  </r>
  <r>
    <n v="32"/>
    <x v="1"/>
    <s v="Travel_Rarely"/>
    <n v="548"/>
    <x v="1"/>
    <n v="1"/>
    <n v="3"/>
    <s v="Life Sciences"/>
    <n v="1"/>
    <n v="96"/>
    <n v="2"/>
    <x v="1"/>
    <n v="66"/>
    <n v="3"/>
    <n v="2"/>
    <x v="1"/>
    <n v="2"/>
    <s v="Married"/>
    <n v="6220"/>
    <n v="7346"/>
    <n v="1"/>
    <s v="Y"/>
    <x v="1"/>
    <n v="17"/>
    <n v="3"/>
    <n v="2"/>
    <n v="80"/>
    <n v="2"/>
    <n v="10"/>
    <n v="3"/>
    <n v="3"/>
    <n v="10"/>
    <n v="4"/>
    <n v="0"/>
    <n v="9"/>
    <x v="2"/>
    <s v="Mid"/>
  </r>
  <r>
    <n v="36"/>
    <x v="1"/>
    <s v="Travel_Rarely"/>
    <n v="132"/>
    <x v="1"/>
    <n v="6"/>
    <n v="3"/>
    <s v="Life Sciences"/>
    <n v="1"/>
    <n v="97"/>
    <n v="2"/>
    <x v="0"/>
    <n v="55"/>
    <n v="4"/>
    <n v="1"/>
    <x v="2"/>
    <n v="4"/>
    <s v="Married"/>
    <n v="3038"/>
    <n v="22002"/>
    <n v="3"/>
    <s v="Y"/>
    <x v="1"/>
    <n v="12"/>
    <n v="3"/>
    <n v="2"/>
    <n v="80"/>
    <n v="0"/>
    <n v="5"/>
    <n v="3"/>
    <n v="3"/>
    <n v="1"/>
    <n v="0"/>
    <n v="0"/>
    <n v="0"/>
    <x v="0"/>
    <s v="Mid"/>
  </r>
  <r>
    <n v="31"/>
    <x v="1"/>
    <s v="Travel_Rarely"/>
    <n v="746"/>
    <x v="1"/>
    <n v="8"/>
    <n v="4"/>
    <s v="Life Sciences"/>
    <n v="1"/>
    <n v="98"/>
    <n v="3"/>
    <x v="0"/>
    <n v="61"/>
    <n v="3"/>
    <n v="2"/>
    <x v="3"/>
    <n v="4"/>
    <s v="Single"/>
    <n v="4424"/>
    <n v="20682"/>
    <n v="1"/>
    <s v="Y"/>
    <x v="1"/>
    <n v="23"/>
    <n v="4"/>
    <n v="4"/>
    <n v="80"/>
    <n v="0"/>
    <n v="11"/>
    <n v="2"/>
    <n v="3"/>
    <n v="11"/>
    <n v="7"/>
    <n v="1"/>
    <n v="8"/>
    <x v="2"/>
    <s v="Mid"/>
  </r>
  <r>
    <n v="35"/>
    <x v="1"/>
    <s v="Travel_Rarely"/>
    <n v="776"/>
    <x v="0"/>
    <n v="1"/>
    <n v="4"/>
    <s v="Marketing"/>
    <n v="1"/>
    <n v="100"/>
    <n v="3"/>
    <x v="1"/>
    <n v="32"/>
    <n v="2"/>
    <n v="2"/>
    <x v="0"/>
    <n v="1"/>
    <s v="Single"/>
    <n v="4312"/>
    <n v="23016"/>
    <n v="0"/>
    <s v="Y"/>
    <x v="1"/>
    <n v="14"/>
    <n v="3"/>
    <n v="2"/>
    <n v="80"/>
    <n v="0"/>
    <n v="16"/>
    <n v="2"/>
    <n v="3"/>
    <n v="15"/>
    <n v="13"/>
    <n v="2"/>
    <n v="8"/>
    <x v="2"/>
    <s v="Mid"/>
  </r>
  <r>
    <n v="45"/>
    <x v="1"/>
    <s v="Travel_Rarely"/>
    <n v="193"/>
    <x v="1"/>
    <n v="6"/>
    <n v="4"/>
    <s v="Other"/>
    <n v="1"/>
    <n v="101"/>
    <n v="4"/>
    <x v="1"/>
    <n v="52"/>
    <n v="3"/>
    <n v="3"/>
    <x v="7"/>
    <n v="1"/>
    <s v="Married"/>
    <n v="13245"/>
    <n v="15067"/>
    <n v="4"/>
    <s v="Y"/>
    <x v="0"/>
    <n v="14"/>
    <n v="3"/>
    <n v="2"/>
    <n v="80"/>
    <n v="0"/>
    <n v="17"/>
    <n v="3"/>
    <n v="4"/>
    <n v="0"/>
    <n v="0"/>
    <n v="0"/>
    <n v="0"/>
    <x v="0"/>
    <s v="Top"/>
  </r>
  <r>
    <n v="37"/>
    <x v="1"/>
    <s v="Travel_Rarely"/>
    <n v="397"/>
    <x v="1"/>
    <n v="7"/>
    <n v="4"/>
    <s v="Medical"/>
    <n v="1"/>
    <n v="102"/>
    <n v="1"/>
    <x v="1"/>
    <n v="30"/>
    <n v="3"/>
    <n v="3"/>
    <x v="7"/>
    <n v="3"/>
    <s v="Single"/>
    <n v="13664"/>
    <n v="25258"/>
    <n v="4"/>
    <s v="Y"/>
    <x v="1"/>
    <n v="13"/>
    <n v="3"/>
    <n v="1"/>
    <n v="80"/>
    <n v="0"/>
    <n v="16"/>
    <n v="3"/>
    <n v="4"/>
    <n v="5"/>
    <n v="2"/>
    <n v="0"/>
    <n v="2"/>
    <x v="0"/>
    <s v="Top"/>
  </r>
  <r>
    <n v="46"/>
    <x v="1"/>
    <s v="Travel_Rarely"/>
    <n v="945"/>
    <x v="2"/>
    <n v="5"/>
    <n v="2"/>
    <s v="Medical"/>
    <n v="1"/>
    <n v="103"/>
    <n v="2"/>
    <x v="1"/>
    <n v="80"/>
    <n v="3"/>
    <n v="2"/>
    <x v="8"/>
    <n v="2"/>
    <s v="Divorced"/>
    <n v="5021"/>
    <n v="10425"/>
    <n v="8"/>
    <s v="Y"/>
    <x v="0"/>
    <n v="22"/>
    <n v="4"/>
    <n v="4"/>
    <n v="80"/>
    <n v="1"/>
    <n v="16"/>
    <n v="2"/>
    <n v="3"/>
    <n v="4"/>
    <n v="2"/>
    <n v="0"/>
    <n v="2"/>
    <x v="1"/>
    <s v="Mid"/>
  </r>
  <r>
    <n v="30"/>
    <x v="1"/>
    <s v="Travel_Rarely"/>
    <n v="852"/>
    <x v="1"/>
    <n v="1"/>
    <n v="1"/>
    <s v="Life Sciences"/>
    <n v="1"/>
    <n v="104"/>
    <n v="4"/>
    <x v="1"/>
    <n v="55"/>
    <n v="2"/>
    <n v="2"/>
    <x v="2"/>
    <n v="4"/>
    <s v="Married"/>
    <n v="5126"/>
    <n v="15998"/>
    <n v="1"/>
    <s v="Y"/>
    <x v="0"/>
    <n v="12"/>
    <n v="3"/>
    <n v="3"/>
    <n v="80"/>
    <n v="2"/>
    <n v="10"/>
    <n v="1"/>
    <n v="2"/>
    <n v="10"/>
    <n v="8"/>
    <n v="3"/>
    <n v="0"/>
    <x v="2"/>
    <s v="Mid"/>
  </r>
  <r>
    <n v="35"/>
    <x v="1"/>
    <s v="Travel_Rarely"/>
    <n v="1214"/>
    <x v="1"/>
    <n v="1"/>
    <n v="3"/>
    <s v="Medical"/>
    <n v="1"/>
    <n v="105"/>
    <n v="2"/>
    <x v="1"/>
    <n v="30"/>
    <n v="2"/>
    <n v="1"/>
    <x v="1"/>
    <n v="3"/>
    <s v="Single"/>
    <n v="2859"/>
    <n v="26278"/>
    <n v="1"/>
    <s v="Y"/>
    <x v="1"/>
    <n v="18"/>
    <n v="3"/>
    <n v="1"/>
    <n v="80"/>
    <n v="0"/>
    <n v="6"/>
    <n v="3"/>
    <n v="3"/>
    <n v="6"/>
    <n v="4"/>
    <n v="0"/>
    <n v="4"/>
    <x v="2"/>
    <s v="Low"/>
  </r>
  <r>
    <n v="55"/>
    <x v="1"/>
    <s v="Travel_Rarely"/>
    <n v="111"/>
    <x v="0"/>
    <n v="1"/>
    <n v="2"/>
    <s v="Life Sciences"/>
    <n v="1"/>
    <n v="106"/>
    <n v="1"/>
    <x v="1"/>
    <n v="70"/>
    <n v="3"/>
    <n v="3"/>
    <x v="0"/>
    <n v="4"/>
    <s v="Married"/>
    <n v="10239"/>
    <n v="18092"/>
    <n v="3"/>
    <s v="Y"/>
    <x v="1"/>
    <n v="14"/>
    <n v="3"/>
    <n v="4"/>
    <n v="80"/>
    <n v="1"/>
    <n v="24"/>
    <n v="4"/>
    <n v="3"/>
    <n v="1"/>
    <n v="0"/>
    <n v="1"/>
    <n v="0"/>
    <x v="1"/>
    <s v="High"/>
  </r>
  <r>
    <n v="38"/>
    <x v="1"/>
    <s v="Non-Travel"/>
    <n v="573"/>
    <x v="1"/>
    <n v="6"/>
    <n v="3"/>
    <s v="Medical"/>
    <n v="1"/>
    <n v="107"/>
    <n v="2"/>
    <x v="0"/>
    <n v="79"/>
    <n v="1"/>
    <n v="2"/>
    <x v="1"/>
    <n v="4"/>
    <s v="Divorced"/>
    <n v="5329"/>
    <n v="15717"/>
    <n v="7"/>
    <s v="Y"/>
    <x v="0"/>
    <n v="12"/>
    <n v="3"/>
    <n v="4"/>
    <n v="80"/>
    <n v="3"/>
    <n v="17"/>
    <n v="3"/>
    <n v="3"/>
    <n v="13"/>
    <n v="11"/>
    <n v="1"/>
    <n v="9"/>
    <x v="0"/>
    <s v="Mid"/>
  </r>
  <r>
    <n v="34"/>
    <x v="1"/>
    <s v="Travel_Rarely"/>
    <n v="1153"/>
    <x v="1"/>
    <n v="1"/>
    <n v="2"/>
    <s v="Medical"/>
    <n v="1"/>
    <n v="110"/>
    <n v="1"/>
    <x v="1"/>
    <n v="94"/>
    <n v="3"/>
    <n v="2"/>
    <x v="3"/>
    <n v="2"/>
    <s v="Married"/>
    <n v="4325"/>
    <n v="17736"/>
    <n v="1"/>
    <s v="Y"/>
    <x v="1"/>
    <n v="15"/>
    <n v="3"/>
    <n v="3"/>
    <n v="80"/>
    <n v="0"/>
    <n v="5"/>
    <n v="2"/>
    <n v="3"/>
    <n v="5"/>
    <n v="2"/>
    <n v="1"/>
    <n v="3"/>
    <x v="2"/>
    <s v="Mid"/>
  </r>
  <r>
    <n v="56"/>
    <x v="1"/>
    <s v="Travel_Rarely"/>
    <n v="1400"/>
    <x v="1"/>
    <n v="7"/>
    <n v="3"/>
    <s v="Life Sciences"/>
    <n v="1"/>
    <n v="112"/>
    <n v="4"/>
    <x v="1"/>
    <n v="49"/>
    <n v="1"/>
    <n v="3"/>
    <x v="3"/>
    <n v="4"/>
    <s v="Single"/>
    <n v="7260"/>
    <n v="21698"/>
    <n v="4"/>
    <s v="Y"/>
    <x v="1"/>
    <n v="11"/>
    <n v="3"/>
    <n v="1"/>
    <n v="80"/>
    <n v="0"/>
    <n v="37"/>
    <n v="3"/>
    <n v="2"/>
    <n v="6"/>
    <n v="4"/>
    <n v="0"/>
    <n v="2"/>
    <x v="1"/>
    <s v="High"/>
  </r>
  <r>
    <n v="23"/>
    <x v="1"/>
    <s v="Travel_Rarely"/>
    <n v="541"/>
    <x v="0"/>
    <n v="2"/>
    <n v="1"/>
    <s v="Technical Degree"/>
    <n v="1"/>
    <n v="113"/>
    <n v="3"/>
    <x v="1"/>
    <n v="62"/>
    <n v="3"/>
    <n v="1"/>
    <x v="6"/>
    <n v="1"/>
    <s v="Divorced"/>
    <n v="2322"/>
    <n v="9518"/>
    <n v="3"/>
    <s v="Y"/>
    <x v="1"/>
    <n v="13"/>
    <n v="3"/>
    <n v="3"/>
    <n v="80"/>
    <n v="1"/>
    <n v="3"/>
    <n v="3"/>
    <n v="3"/>
    <n v="0"/>
    <n v="0"/>
    <n v="0"/>
    <n v="0"/>
    <x v="3"/>
    <s v="Low"/>
  </r>
  <r>
    <n v="51"/>
    <x v="1"/>
    <s v="Travel_Rarely"/>
    <n v="432"/>
    <x v="1"/>
    <n v="9"/>
    <n v="4"/>
    <s v="Life Sciences"/>
    <n v="1"/>
    <n v="116"/>
    <n v="4"/>
    <x v="1"/>
    <n v="96"/>
    <n v="3"/>
    <n v="1"/>
    <x v="2"/>
    <n v="4"/>
    <s v="Married"/>
    <n v="2075"/>
    <n v="18725"/>
    <n v="3"/>
    <s v="Y"/>
    <x v="1"/>
    <n v="23"/>
    <n v="4"/>
    <n v="2"/>
    <n v="80"/>
    <n v="2"/>
    <n v="10"/>
    <n v="4"/>
    <n v="3"/>
    <n v="4"/>
    <n v="2"/>
    <n v="0"/>
    <n v="3"/>
    <x v="1"/>
    <s v="Low"/>
  </r>
  <r>
    <n v="30"/>
    <x v="1"/>
    <s v="Travel_Rarely"/>
    <n v="288"/>
    <x v="1"/>
    <n v="2"/>
    <n v="3"/>
    <s v="Life Sciences"/>
    <n v="1"/>
    <n v="117"/>
    <n v="3"/>
    <x v="1"/>
    <n v="99"/>
    <n v="2"/>
    <n v="2"/>
    <x v="4"/>
    <n v="4"/>
    <s v="Married"/>
    <n v="4152"/>
    <n v="15830"/>
    <n v="1"/>
    <s v="Y"/>
    <x v="1"/>
    <n v="19"/>
    <n v="3"/>
    <n v="1"/>
    <n v="80"/>
    <n v="3"/>
    <n v="11"/>
    <n v="3"/>
    <n v="3"/>
    <n v="11"/>
    <n v="10"/>
    <n v="10"/>
    <n v="8"/>
    <x v="2"/>
    <s v="Mid"/>
  </r>
  <r>
    <n v="46"/>
    <x v="0"/>
    <s v="Travel_Rarely"/>
    <n v="669"/>
    <x v="0"/>
    <n v="9"/>
    <n v="2"/>
    <s v="Medical"/>
    <n v="1"/>
    <n v="118"/>
    <n v="3"/>
    <x v="1"/>
    <n v="64"/>
    <n v="2"/>
    <n v="3"/>
    <x v="0"/>
    <n v="4"/>
    <s v="Single"/>
    <n v="9619"/>
    <n v="13596"/>
    <n v="1"/>
    <s v="Y"/>
    <x v="1"/>
    <n v="16"/>
    <n v="3"/>
    <n v="4"/>
    <n v="80"/>
    <n v="0"/>
    <n v="9"/>
    <n v="3"/>
    <n v="3"/>
    <n v="9"/>
    <n v="8"/>
    <n v="4"/>
    <n v="7"/>
    <x v="1"/>
    <s v="High"/>
  </r>
  <r>
    <n v="40"/>
    <x v="1"/>
    <s v="Travel_Frequently"/>
    <n v="530"/>
    <x v="1"/>
    <n v="1"/>
    <n v="4"/>
    <s v="Life Sciences"/>
    <n v="1"/>
    <n v="119"/>
    <n v="3"/>
    <x v="1"/>
    <n v="78"/>
    <n v="2"/>
    <n v="4"/>
    <x v="4"/>
    <n v="2"/>
    <s v="Married"/>
    <n v="13503"/>
    <n v="14115"/>
    <n v="1"/>
    <s v="Y"/>
    <x v="1"/>
    <n v="22"/>
    <n v="4"/>
    <n v="4"/>
    <n v="80"/>
    <n v="1"/>
    <n v="22"/>
    <n v="3"/>
    <n v="2"/>
    <n v="22"/>
    <n v="3"/>
    <n v="11"/>
    <n v="11"/>
    <x v="0"/>
    <s v="Top"/>
  </r>
  <r>
    <n v="51"/>
    <x v="1"/>
    <s v="Travel_Rarely"/>
    <n v="632"/>
    <x v="0"/>
    <n v="21"/>
    <n v="4"/>
    <s v="Marketing"/>
    <n v="1"/>
    <n v="120"/>
    <n v="3"/>
    <x v="1"/>
    <n v="71"/>
    <n v="3"/>
    <n v="2"/>
    <x v="0"/>
    <n v="4"/>
    <s v="Single"/>
    <n v="5441"/>
    <n v="8423"/>
    <n v="0"/>
    <s v="Y"/>
    <x v="0"/>
    <n v="22"/>
    <n v="4"/>
    <n v="4"/>
    <n v="80"/>
    <n v="0"/>
    <n v="11"/>
    <n v="2"/>
    <n v="1"/>
    <n v="10"/>
    <n v="7"/>
    <n v="1"/>
    <n v="0"/>
    <x v="1"/>
    <s v="Mid"/>
  </r>
  <r>
    <n v="30"/>
    <x v="1"/>
    <s v="Travel_Rarely"/>
    <n v="1334"/>
    <x v="0"/>
    <n v="4"/>
    <n v="2"/>
    <s v="Medical"/>
    <n v="1"/>
    <n v="121"/>
    <n v="3"/>
    <x v="0"/>
    <n v="63"/>
    <n v="2"/>
    <n v="2"/>
    <x v="0"/>
    <n v="2"/>
    <s v="Divorced"/>
    <n v="5209"/>
    <n v="19760"/>
    <n v="1"/>
    <s v="Y"/>
    <x v="0"/>
    <n v="12"/>
    <n v="3"/>
    <n v="2"/>
    <n v="80"/>
    <n v="3"/>
    <n v="11"/>
    <n v="4"/>
    <n v="2"/>
    <n v="11"/>
    <n v="8"/>
    <n v="2"/>
    <n v="7"/>
    <x v="2"/>
    <s v="Mid"/>
  </r>
  <r>
    <n v="46"/>
    <x v="1"/>
    <s v="Travel_Frequently"/>
    <n v="638"/>
    <x v="1"/>
    <n v="1"/>
    <n v="3"/>
    <s v="Medical"/>
    <n v="1"/>
    <n v="124"/>
    <n v="3"/>
    <x v="1"/>
    <n v="40"/>
    <n v="2"/>
    <n v="3"/>
    <x v="4"/>
    <n v="1"/>
    <s v="Married"/>
    <n v="10673"/>
    <n v="3142"/>
    <n v="2"/>
    <s v="Y"/>
    <x v="0"/>
    <n v="13"/>
    <n v="3"/>
    <n v="3"/>
    <n v="80"/>
    <n v="1"/>
    <n v="21"/>
    <n v="5"/>
    <n v="2"/>
    <n v="10"/>
    <n v="9"/>
    <n v="9"/>
    <n v="5"/>
    <x v="1"/>
    <s v="High"/>
  </r>
  <r>
    <n v="32"/>
    <x v="1"/>
    <s v="Travel_Rarely"/>
    <n v="1093"/>
    <x v="0"/>
    <n v="6"/>
    <n v="4"/>
    <s v="Medical"/>
    <n v="1"/>
    <n v="125"/>
    <n v="2"/>
    <x v="1"/>
    <n v="87"/>
    <n v="3"/>
    <n v="2"/>
    <x v="0"/>
    <n v="3"/>
    <s v="Single"/>
    <n v="5010"/>
    <n v="24301"/>
    <n v="1"/>
    <s v="Y"/>
    <x v="1"/>
    <n v="16"/>
    <n v="3"/>
    <n v="1"/>
    <n v="80"/>
    <n v="0"/>
    <n v="12"/>
    <n v="0"/>
    <n v="3"/>
    <n v="11"/>
    <n v="8"/>
    <n v="5"/>
    <n v="7"/>
    <x v="2"/>
    <s v="Mid"/>
  </r>
  <r>
    <n v="54"/>
    <x v="1"/>
    <s v="Travel_Rarely"/>
    <n v="1217"/>
    <x v="1"/>
    <n v="2"/>
    <n v="4"/>
    <s v="Technical Degree"/>
    <n v="1"/>
    <n v="126"/>
    <n v="1"/>
    <x v="0"/>
    <n v="60"/>
    <n v="3"/>
    <n v="3"/>
    <x v="7"/>
    <n v="3"/>
    <s v="Married"/>
    <n v="13549"/>
    <n v="24001"/>
    <n v="9"/>
    <s v="Y"/>
    <x v="1"/>
    <n v="12"/>
    <n v="3"/>
    <n v="1"/>
    <n v="80"/>
    <n v="1"/>
    <n v="16"/>
    <n v="5"/>
    <n v="1"/>
    <n v="4"/>
    <n v="3"/>
    <n v="0"/>
    <n v="3"/>
    <x v="1"/>
    <s v="Top"/>
  </r>
  <r>
    <n v="24"/>
    <x v="1"/>
    <s v="Travel_Rarely"/>
    <n v="1353"/>
    <x v="0"/>
    <n v="3"/>
    <n v="2"/>
    <s v="Other"/>
    <n v="1"/>
    <n v="128"/>
    <n v="1"/>
    <x v="0"/>
    <n v="33"/>
    <n v="3"/>
    <n v="2"/>
    <x v="0"/>
    <n v="3"/>
    <s v="Married"/>
    <n v="4999"/>
    <n v="17519"/>
    <n v="0"/>
    <s v="Y"/>
    <x v="1"/>
    <n v="21"/>
    <n v="4"/>
    <n v="1"/>
    <n v="80"/>
    <n v="1"/>
    <n v="4"/>
    <n v="2"/>
    <n v="2"/>
    <n v="3"/>
    <n v="2"/>
    <n v="0"/>
    <n v="2"/>
    <x v="3"/>
    <s v="Mid"/>
  </r>
  <r>
    <n v="28"/>
    <x v="1"/>
    <s v="Non-Travel"/>
    <n v="120"/>
    <x v="0"/>
    <n v="4"/>
    <n v="3"/>
    <s v="Medical"/>
    <n v="1"/>
    <n v="129"/>
    <n v="2"/>
    <x v="1"/>
    <n v="43"/>
    <n v="3"/>
    <n v="2"/>
    <x v="0"/>
    <n v="3"/>
    <s v="Married"/>
    <n v="4221"/>
    <n v="8863"/>
    <n v="1"/>
    <s v="Y"/>
    <x v="1"/>
    <n v="15"/>
    <n v="3"/>
    <n v="2"/>
    <n v="80"/>
    <n v="0"/>
    <n v="5"/>
    <n v="3"/>
    <n v="4"/>
    <n v="5"/>
    <n v="4"/>
    <n v="0"/>
    <n v="4"/>
    <x v="2"/>
    <s v="Mid"/>
  </r>
  <r>
    <n v="58"/>
    <x v="1"/>
    <s v="Travel_Rarely"/>
    <n v="682"/>
    <x v="0"/>
    <n v="10"/>
    <n v="4"/>
    <s v="Medical"/>
    <n v="1"/>
    <n v="131"/>
    <n v="4"/>
    <x v="1"/>
    <n v="37"/>
    <n v="3"/>
    <n v="4"/>
    <x v="0"/>
    <n v="3"/>
    <s v="Single"/>
    <n v="13872"/>
    <n v="24409"/>
    <n v="0"/>
    <s v="Y"/>
    <x v="1"/>
    <n v="13"/>
    <n v="3"/>
    <n v="3"/>
    <n v="80"/>
    <n v="0"/>
    <n v="38"/>
    <n v="1"/>
    <n v="2"/>
    <n v="37"/>
    <n v="10"/>
    <n v="1"/>
    <n v="8"/>
    <x v="1"/>
    <s v="Top"/>
  </r>
  <r>
    <n v="44"/>
    <x v="1"/>
    <s v="Non-Travel"/>
    <n v="489"/>
    <x v="1"/>
    <n v="23"/>
    <n v="3"/>
    <s v="Medical"/>
    <n v="1"/>
    <n v="132"/>
    <n v="2"/>
    <x v="1"/>
    <n v="67"/>
    <n v="3"/>
    <n v="2"/>
    <x v="2"/>
    <n v="2"/>
    <s v="Married"/>
    <n v="2042"/>
    <n v="25043"/>
    <n v="4"/>
    <s v="Y"/>
    <x v="1"/>
    <n v="12"/>
    <n v="3"/>
    <n v="3"/>
    <n v="80"/>
    <n v="1"/>
    <n v="17"/>
    <n v="3"/>
    <n v="4"/>
    <n v="3"/>
    <n v="2"/>
    <n v="1"/>
    <n v="2"/>
    <x v="0"/>
    <s v="Low"/>
  </r>
  <r>
    <n v="37"/>
    <x v="0"/>
    <s v="Travel_Rarely"/>
    <n v="807"/>
    <x v="2"/>
    <n v="6"/>
    <n v="4"/>
    <s v="Human Resources"/>
    <n v="1"/>
    <n v="133"/>
    <n v="3"/>
    <x v="1"/>
    <n v="63"/>
    <n v="3"/>
    <n v="1"/>
    <x v="8"/>
    <n v="1"/>
    <s v="Divorced"/>
    <n v="2073"/>
    <n v="23648"/>
    <n v="4"/>
    <s v="Y"/>
    <x v="0"/>
    <n v="22"/>
    <n v="4"/>
    <n v="4"/>
    <n v="80"/>
    <n v="0"/>
    <n v="7"/>
    <n v="3"/>
    <n v="3"/>
    <n v="3"/>
    <n v="2"/>
    <n v="0"/>
    <n v="2"/>
    <x v="0"/>
    <s v="Low"/>
  </r>
  <r>
    <n v="32"/>
    <x v="1"/>
    <s v="Travel_Rarely"/>
    <n v="827"/>
    <x v="1"/>
    <n v="1"/>
    <n v="1"/>
    <s v="Life Sciences"/>
    <n v="1"/>
    <n v="134"/>
    <n v="4"/>
    <x v="1"/>
    <n v="71"/>
    <n v="3"/>
    <n v="1"/>
    <x v="1"/>
    <n v="1"/>
    <s v="Single"/>
    <n v="2956"/>
    <n v="15178"/>
    <n v="1"/>
    <s v="Y"/>
    <x v="1"/>
    <n v="13"/>
    <n v="3"/>
    <n v="4"/>
    <n v="80"/>
    <n v="0"/>
    <n v="1"/>
    <n v="2"/>
    <n v="3"/>
    <n v="1"/>
    <n v="0"/>
    <n v="0"/>
    <n v="0"/>
    <x v="2"/>
    <s v="Low"/>
  </r>
  <r>
    <n v="20"/>
    <x v="0"/>
    <s v="Travel_Frequently"/>
    <n v="871"/>
    <x v="1"/>
    <n v="6"/>
    <n v="3"/>
    <s v="Life Sciences"/>
    <n v="1"/>
    <n v="137"/>
    <n v="4"/>
    <x v="0"/>
    <n v="66"/>
    <n v="2"/>
    <n v="1"/>
    <x v="2"/>
    <n v="4"/>
    <s v="Single"/>
    <n v="2926"/>
    <n v="19783"/>
    <n v="1"/>
    <s v="Y"/>
    <x v="0"/>
    <n v="18"/>
    <n v="3"/>
    <n v="2"/>
    <n v="80"/>
    <n v="0"/>
    <n v="1"/>
    <n v="5"/>
    <n v="3"/>
    <n v="1"/>
    <n v="0"/>
    <n v="1"/>
    <n v="0"/>
    <x v="3"/>
    <s v="Low"/>
  </r>
  <r>
    <n v="34"/>
    <x v="1"/>
    <s v="Travel_Rarely"/>
    <n v="665"/>
    <x v="1"/>
    <n v="6"/>
    <n v="4"/>
    <s v="Other"/>
    <n v="1"/>
    <n v="138"/>
    <n v="1"/>
    <x v="0"/>
    <n v="41"/>
    <n v="3"/>
    <n v="2"/>
    <x v="1"/>
    <n v="3"/>
    <s v="Single"/>
    <n v="4809"/>
    <n v="12482"/>
    <n v="1"/>
    <s v="Y"/>
    <x v="1"/>
    <n v="14"/>
    <n v="3"/>
    <n v="3"/>
    <n v="80"/>
    <n v="0"/>
    <n v="16"/>
    <n v="3"/>
    <n v="3"/>
    <n v="16"/>
    <n v="13"/>
    <n v="2"/>
    <n v="10"/>
    <x v="2"/>
    <s v="Mid"/>
  </r>
  <r>
    <n v="37"/>
    <x v="1"/>
    <s v="Non-Travel"/>
    <n v="1040"/>
    <x v="1"/>
    <n v="2"/>
    <n v="2"/>
    <s v="Life Sciences"/>
    <n v="1"/>
    <n v="139"/>
    <n v="3"/>
    <x v="1"/>
    <n v="100"/>
    <n v="2"/>
    <n v="2"/>
    <x v="4"/>
    <n v="4"/>
    <s v="Divorced"/>
    <n v="5163"/>
    <n v="15850"/>
    <n v="5"/>
    <s v="Y"/>
    <x v="1"/>
    <n v="14"/>
    <n v="3"/>
    <n v="4"/>
    <n v="80"/>
    <n v="1"/>
    <n v="17"/>
    <n v="2"/>
    <n v="4"/>
    <n v="1"/>
    <n v="0"/>
    <n v="0"/>
    <n v="0"/>
    <x v="0"/>
    <s v="Mid"/>
  </r>
  <r>
    <n v="59"/>
    <x v="1"/>
    <s v="Non-Travel"/>
    <n v="1420"/>
    <x v="2"/>
    <n v="2"/>
    <n v="4"/>
    <s v="Human Resources"/>
    <n v="1"/>
    <n v="140"/>
    <n v="3"/>
    <x v="0"/>
    <n v="32"/>
    <n v="2"/>
    <n v="5"/>
    <x v="5"/>
    <n v="4"/>
    <s v="Married"/>
    <n v="18844"/>
    <n v="21922"/>
    <n v="9"/>
    <s v="Y"/>
    <x v="1"/>
    <n v="21"/>
    <n v="4"/>
    <n v="4"/>
    <n v="80"/>
    <n v="1"/>
    <n v="30"/>
    <n v="3"/>
    <n v="3"/>
    <n v="3"/>
    <n v="2"/>
    <n v="2"/>
    <n v="2"/>
    <x v="1"/>
    <s v="Top"/>
  </r>
  <r>
    <n v="50"/>
    <x v="1"/>
    <s v="Travel_Frequently"/>
    <n v="1115"/>
    <x v="1"/>
    <n v="1"/>
    <n v="3"/>
    <s v="Life Sciences"/>
    <n v="1"/>
    <n v="141"/>
    <n v="1"/>
    <x v="0"/>
    <n v="73"/>
    <n v="3"/>
    <n v="5"/>
    <x v="7"/>
    <n v="2"/>
    <s v="Married"/>
    <n v="18172"/>
    <n v="9755"/>
    <n v="3"/>
    <s v="Y"/>
    <x v="0"/>
    <n v="19"/>
    <n v="3"/>
    <n v="1"/>
    <n v="80"/>
    <n v="0"/>
    <n v="28"/>
    <n v="1"/>
    <n v="2"/>
    <n v="8"/>
    <n v="3"/>
    <n v="0"/>
    <n v="7"/>
    <x v="1"/>
    <s v="Top"/>
  </r>
  <r>
    <n v="25"/>
    <x v="0"/>
    <s v="Travel_Rarely"/>
    <n v="240"/>
    <x v="0"/>
    <n v="5"/>
    <n v="3"/>
    <s v="Marketing"/>
    <n v="1"/>
    <n v="142"/>
    <n v="3"/>
    <x v="1"/>
    <n v="46"/>
    <n v="2"/>
    <n v="2"/>
    <x v="0"/>
    <n v="3"/>
    <s v="Single"/>
    <n v="5744"/>
    <n v="26959"/>
    <n v="1"/>
    <s v="Y"/>
    <x v="0"/>
    <n v="11"/>
    <n v="3"/>
    <n v="4"/>
    <n v="80"/>
    <n v="0"/>
    <n v="6"/>
    <n v="1"/>
    <n v="3"/>
    <n v="6"/>
    <n v="4"/>
    <n v="0"/>
    <n v="3"/>
    <x v="3"/>
    <s v="Mid"/>
  </r>
  <r>
    <n v="25"/>
    <x v="1"/>
    <s v="Travel_Rarely"/>
    <n v="1280"/>
    <x v="1"/>
    <n v="7"/>
    <n v="1"/>
    <s v="Medical"/>
    <n v="1"/>
    <n v="143"/>
    <n v="4"/>
    <x v="1"/>
    <n v="64"/>
    <n v="2"/>
    <n v="1"/>
    <x v="1"/>
    <n v="4"/>
    <s v="Married"/>
    <n v="2889"/>
    <n v="26897"/>
    <n v="1"/>
    <s v="Y"/>
    <x v="1"/>
    <n v="11"/>
    <n v="3"/>
    <n v="3"/>
    <n v="80"/>
    <n v="2"/>
    <n v="2"/>
    <n v="2"/>
    <n v="3"/>
    <n v="2"/>
    <n v="2"/>
    <n v="2"/>
    <n v="1"/>
    <x v="3"/>
    <s v="Low"/>
  </r>
  <r>
    <n v="22"/>
    <x v="1"/>
    <s v="Travel_Rarely"/>
    <n v="534"/>
    <x v="1"/>
    <n v="15"/>
    <n v="3"/>
    <s v="Medical"/>
    <n v="1"/>
    <n v="144"/>
    <n v="2"/>
    <x v="0"/>
    <n v="59"/>
    <n v="3"/>
    <n v="1"/>
    <x v="2"/>
    <n v="4"/>
    <s v="Single"/>
    <n v="2871"/>
    <n v="23785"/>
    <n v="1"/>
    <s v="Y"/>
    <x v="1"/>
    <n v="15"/>
    <n v="3"/>
    <n v="3"/>
    <n v="80"/>
    <n v="0"/>
    <n v="1"/>
    <n v="5"/>
    <n v="3"/>
    <n v="0"/>
    <n v="0"/>
    <n v="0"/>
    <n v="0"/>
    <x v="3"/>
    <s v="Low"/>
  </r>
  <r>
    <n v="51"/>
    <x v="1"/>
    <s v="Travel_Frequently"/>
    <n v="1456"/>
    <x v="1"/>
    <n v="1"/>
    <n v="4"/>
    <s v="Medical"/>
    <n v="1"/>
    <n v="145"/>
    <n v="1"/>
    <x v="0"/>
    <n v="30"/>
    <n v="2"/>
    <n v="3"/>
    <x v="4"/>
    <n v="1"/>
    <s v="Single"/>
    <n v="7484"/>
    <n v="25796"/>
    <n v="3"/>
    <s v="Y"/>
    <x v="1"/>
    <n v="20"/>
    <n v="4"/>
    <n v="3"/>
    <n v="80"/>
    <n v="0"/>
    <n v="23"/>
    <n v="1"/>
    <n v="2"/>
    <n v="13"/>
    <n v="12"/>
    <n v="12"/>
    <n v="8"/>
    <x v="1"/>
    <s v="High"/>
  </r>
  <r>
    <n v="34"/>
    <x v="0"/>
    <s v="Travel_Frequently"/>
    <n v="658"/>
    <x v="1"/>
    <n v="7"/>
    <n v="3"/>
    <s v="Life Sciences"/>
    <n v="1"/>
    <n v="147"/>
    <n v="1"/>
    <x v="1"/>
    <n v="66"/>
    <n v="1"/>
    <n v="2"/>
    <x v="2"/>
    <n v="3"/>
    <s v="Single"/>
    <n v="6074"/>
    <n v="22887"/>
    <n v="1"/>
    <s v="Y"/>
    <x v="0"/>
    <n v="24"/>
    <n v="4"/>
    <n v="4"/>
    <n v="80"/>
    <n v="0"/>
    <n v="9"/>
    <n v="3"/>
    <n v="3"/>
    <n v="9"/>
    <n v="7"/>
    <n v="0"/>
    <n v="6"/>
    <x v="2"/>
    <s v="Mid"/>
  </r>
  <r>
    <n v="54"/>
    <x v="1"/>
    <s v="Non-Travel"/>
    <n v="142"/>
    <x v="2"/>
    <n v="26"/>
    <n v="3"/>
    <s v="Human Resources"/>
    <n v="1"/>
    <n v="148"/>
    <n v="4"/>
    <x v="0"/>
    <n v="30"/>
    <n v="4"/>
    <n v="4"/>
    <x v="5"/>
    <n v="4"/>
    <s v="Single"/>
    <n v="17328"/>
    <n v="13871"/>
    <n v="2"/>
    <s v="Y"/>
    <x v="0"/>
    <n v="12"/>
    <n v="3"/>
    <n v="3"/>
    <n v="80"/>
    <n v="0"/>
    <n v="23"/>
    <n v="3"/>
    <n v="3"/>
    <n v="5"/>
    <n v="3"/>
    <n v="4"/>
    <n v="4"/>
    <x v="1"/>
    <s v="Top"/>
  </r>
  <r>
    <n v="24"/>
    <x v="1"/>
    <s v="Travel_Rarely"/>
    <n v="1127"/>
    <x v="1"/>
    <n v="18"/>
    <n v="1"/>
    <s v="Life Sciences"/>
    <n v="1"/>
    <n v="150"/>
    <n v="2"/>
    <x v="1"/>
    <n v="52"/>
    <n v="3"/>
    <n v="1"/>
    <x v="2"/>
    <n v="3"/>
    <s v="Married"/>
    <n v="2774"/>
    <n v="13257"/>
    <n v="0"/>
    <s v="Y"/>
    <x v="1"/>
    <n v="12"/>
    <n v="3"/>
    <n v="3"/>
    <n v="80"/>
    <n v="1"/>
    <n v="6"/>
    <n v="2"/>
    <n v="3"/>
    <n v="5"/>
    <n v="3"/>
    <n v="1"/>
    <n v="2"/>
    <x v="3"/>
    <s v="Low"/>
  </r>
  <r>
    <n v="34"/>
    <x v="1"/>
    <s v="Travel_Rarely"/>
    <n v="1031"/>
    <x v="1"/>
    <n v="6"/>
    <n v="4"/>
    <s v="Life Sciences"/>
    <n v="1"/>
    <n v="151"/>
    <n v="3"/>
    <x v="0"/>
    <n v="45"/>
    <n v="2"/>
    <n v="2"/>
    <x v="1"/>
    <n v="2"/>
    <s v="Divorced"/>
    <n v="4505"/>
    <n v="15000"/>
    <n v="6"/>
    <s v="Y"/>
    <x v="1"/>
    <n v="15"/>
    <n v="3"/>
    <n v="3"/>
    <n v="80"/>
    <n v="1"/>
    <n v="12"/>
    <n v="3"/>
    <n v="3"/>
    <n v="1"/>
    <n v="0"/>
    <n v="0"/>
    <n v="0"/>
    <x v="2"/>
    <s v="Mid"/>
  </r>
  <r>
    <n v="37"/>
    <x v="1"/>
    <s v="Travel_Rarely"/>
    <n v="1189"/>
    <x v="0"/>
    <n v="3"/>
    <n v="3"/>
    <s v="Life Sciences"/>
    <n v="1"/>
    <n v="152"/>
    <n v="3"/>
    <x v="1"/>
    <n v="87"/>
    <n v="3"/>
    <n v="3"/>
    <x v="0"/>
    <n v="4"/>
    <s v="Single"/>
    <n v="7428"/>
    <n v="14506"/>
    <n v="2"/>
    <s v="Y"/>
    <x v="1"/>
    <n v="12"/>
    <n v="3"/>
    <n v="1"/>
    <n v="80"/>
    <n v="0"/>
    <n v="12"/>
    <n v="3"/>
    <n v="3"/>
    <n v="5"/>
    <n v="3"/>
    <n v="1"/>
    <n v="3"/>
    <x v="0"/>
    <s v="High"/>
  </r>
  <r>
    <n v="34"/>
    <x v="1"/>
    <s v="Travel_Rarely"/>
    <n v="1354"/>
    <x v="1"/>
    <n v="5"/>
    <n v="3"/>
    <s v="Medical"/>
    <n v="1"/>
    <n v="153"/>
    <n v="3"/>
    <x v="0"/>
    <n v="45"/>
    <n v="2"/>
    <n v="3"/>
    <x v="5"/>
    <n v="1"/>
    <s v="Single"/>
    <n v="11631"/>
    <n v="5615"/>
    <n v="2"/>
    <s v="Y"/>
    <x v="1"/>
    <n v="12"/>
    <n v="3"/>
    <n v="4"/>
    <n v="80"/>
    <n v="0"/>
    <n v="14"/>
    <n v="6"/>
    <n v="3"/>
    <n v="11"/>
    <n v="10"/>
    <n v="5"/>
    <n v="8"/>
    <x v="2"/>
    <s v="High"/>
  </r>
  <r>
    <n v="36"/>
    <x v="1"/>
    <s v="Travel_Frequently"/>
    <n v="1467"/>
    <x v="0"/>
    <n v="11"/>
    <n v="2"/>
    <s v="Technical Degree"/>
    <n v="1"/>
    <n v="154"/>
    <n v="2"/>
    <x v="0"/>
    <n v="92"/>
    <n v="3"/>
    <n v="3"/>
    <x v="0"/>
    <n v="4"/>
    <s v="Married"/>
    <n v="9738"/>
    <n v="22952"/>
    <n v="0"/>
    <s v="Y"/>
    <x v="1"/>
    <n v="14"/>
    <n v="3"/>
    <n v="3"/>
    <n v="80"/>
    <n v="1"/>
    <n v="10"/>
    <n v="6"/>
    <n v="3"/>
    <n v="9"/>
    <n v="7"/>
    <n v="2"/>
    <n v="8"/>
    <x v="0"/>
    <s v="High"/>
  </r>
  <r>
    <n v="36"/>
    <x v="1"/>
    <s v="Travel_Rarely"/>
    <n v="922"/>
    <x v="1"/>
    <n v="3"/>
    <n v="2"/>
    <s v="Life Sciences"/>
    <n v="1"/>
    <n v="155"/>
    <n v="1"/>
    <x v="0"/>
    <n v="39"/>
    <n v="3"/>
    <n v="1"/>
    <x v="2"/>
    <n v="4"/>
    <s v="Divorced"/>
    <n v="2835"/>
    <n v="2561"/>
    <n v="5"/>
    <s v="Y"/>
    <x v="1"/>
    <n v="22"/>
    <n v="4"/>
    <n v="1"/>
    <n v="80"/>
    <n v="1"/>
    <n v="7"/>
    <n v="2"/>
    <n v="3"/>
    <n v="1"/>
    <n v="0"/>
    <n v="0"/>
    <n v="0"/>
    <x v="0"/>
    <s v="Low"/>
  </r>
  <r>
    <n v="43"/>
    <x v="1"/>
    <s v="Travel_Frequently"/>
    <n v="394"/>
    <x v="0"/>
    <n v="26"/>
    <n v="2"/>
    <s v="Life Sciences"/>
    <n v="1"/>
    <n v="158"/>
    <n v="3"/>
    <x v="1"/>
    <n v="92"/>
    <n v="3"/>
    <n v="4"/>
    <x v="5"/>
    <n v="4"/>
    <s v="Married"/>
    <n v="16959"/>
    <n v="19494"/>
    <n v="1"/>
    <s v="Y"/>
    <x v="0"/>
    <n v="12"/>
    <n v="3"/>
    <n v="4"/>
    <n v="80"/>
    <n v="2"/>
    <n v="25"/>
    <n v="3"/>
    <n v="4"/>
    <n v="25"/>
    <n v="12"/>
    <n v="4"/>
    <n v="12"/>
    <x v="0"/>
    <s v="Top"/>
  </r>
  <r>
    <n v="30"/>
    <x v="1"/>
    <s v="Travel_Frequently"/>
    <n v="1312"/>
    <x v="1"/>
    <n v="23"/>
    <n v="3"/>
    <s v="Life Sciences"/>
    <n v="1"/>
    <n v="159"/>
    <n v="1"/>
    <x v="1"/>
    <n v="96"/>
    <n v="1"/>
    <n v="1"/>
    <x v="1"/>
    <n v="3"/>
    <s v="Divorced"/>
    <n v="2613"/>
    <n v="22310"/>
    <n v="1"/>
    <s v="Y"/>
    <x v="1"/>
    <n v="25"/>
    <n v="4"/>
    <n v="3"/>
    <n v="80"/>
    <n v="3"/>
    <n v="10"/>
    <n v="2"/>
    <n v="2"/>
    <n v="10"/>
    <n v="7"/>
    <n v="0"/>
    <n v="9"/>
    <x v="2"/>
    <s v="Low"/>
  </r>
  <r>
    <n v="33"/>
    <x v="1"/>
    <s v="Non-Travel"/>
    <n v="750"/>
    <x v="0"/>
    <n v="22"/>
    <n v="2"/>
    <s v="Marketing"/>
    <n v="1"/>
    <n v="160"/>
    <n v="3"/>
    <x v="1"/>
    <n v="95"/>
    <n v="3"/>
    <n v="2"/>
    <x v="0"/>
    <n v="2"/>
    <s v="Married"/>
    <n v="6146"/>
    <n v="15480"/>
    <n v="0"/>
    <s v="Y"/>
    <x v="1"/>
    <n v="13"/>
    <n v="3"/>
    <n v="1"/>
    <n v="80"/>
    <n v="1"/>
    <n v="8"/>
    <n v="2"/>
    <n v="4"/>
    <n v="7"/>
    <n v="7"/>
    <n v="0"/>
    <n v="7"/>
    <x v="2"/>
    <s v="Mid"/>
  </r>
  <r>
    <n v="56"/>
    <x v="0"/>
    <s v="Travel_Rarely"/>
    <n v="441"/>
    <x v="1"/>
    <n v="14"/>
    <n v="4"/>
    <s v="Life Sciences"/>
    <n v="1"/>
    <n v="161"/>
    <n v="2"/>
    <x v="0"/>
    <n v="72"/>
    <n v="3"/>
    <n v="1"/>
    <x v="1"/>
    <n v="2"/>
    <s v="Married"/>
    <n v="4963"/>
    <n v="4510"/>
    <n v="9"/>
    <s v="Y"/>
    <x v="0"/>
    <n v="18"/>
    <n v="3"/>
    <n v="1"/>
    <n v="80"/>
    <n v="3"/>
    <n v="7"/>
    <n v="2"/>
    <n v="3"/>
    <n v="5"/>
    <n v="4"/>
    <n v="4"/>
    <n v="3"/>
    <x v="1"/>
    <s v="Mid"/>
  </r>
  <r>
    <n v="51"/>
    <x v="1"/>
    <s v="Travel_Rarely"/>
    <n v="684"/>
    <x v="1"/>
    <n v="6"/>
    <n v="3"/>
    <s v="Life Sciences"/>
    <n v="1"/>
    <n v="162"/>
    <n v="1"/>
    <x v="1"/>
    <n v="51"/>
    <n v="3"/>
    <n v="5"/>
    <x v="7"/>
    <n v="3"/>
    <s v="Single"/>
    <n v="19537"/>
    <n v="6462"/>
    <n v="7"/>
    <s v="Y"/>
    <x v="1"/>
    <n v="13"/>
    <n v="3"/>
    <n v="3"/>
    <n v="80"/>
    <n v="0"/>
    <n v="23"/>
    <n v="5"/>
    <n v="3"/>
    <n v="20"/>
    <n v="18"/>
    <n v="15"/>
    <n v="15"/>
    <x v="1"/>
    <s v="Top"/>
  </r>
  <r>
    <n v="31"/>
    <x v="0"/>
    <s v="Travel_Rarely"/>
    <n v="249"/>
    <x v="0"/>
    <n v="6"/>
    <n v="4"/>
    <s v="Life Sciences"/>
    <n v="1"/>
    <n v="163"/>
    <n v="2"/>
    <x v="1"/>
    <n v="76"/>
    <n v="1"/>
    <n v="2"/>
    <x v="0"/>
    <n v="3"/>
    <s v="Married"/>
    <n v="6172"/>
    <n v="20739"/>
    <n v="4"/>
    <s v="Y"/>
    <x v="0"/>
    <n v="18"/>
    <n v="3"/>
    <n v="2"/>
    <n v="80"/>
    <n v="0"/>
    <n v="12"/>
    <n v="3"/>
    <n v="2"/>
    <n v="7"/>
    <n v="7"/>
    <n v="7"/>
    <n v="7"/>
    <x v="2"/>
    <s v="Mid"/>
  </r>
  <r>
    <n v="26"/>
    <x v="1"/>
    <s v="Travel_Rarely"/>
    <n v="841"/>
    <x v="1"/>
    <n v="6"/>
    <n v="3"/>
    <s v="Other"/>
    <n v="1"/>
    <n v="164"/>
    <n v="3"/>
    <x v="0"/>
    <n v="46"/>
    <n v="2"/>
    <n v="1"/>
    <x v="1"/>
    <n v="2"/>
    <s v="Married"/>
    <n v="2368"/>
    <n v="23300"/>
    <n v="1"/>
    <s v="Y"/>
    <x v="1"/>
    <n v="19"/>
    <n v="3"/>
    <n v="3"/>
    <n v="80"/>
    <n v="0"/>
    <n v="5"/>
    <n v="3"/>
    <n v="2"/>
    <n v="5"/>
    <n v="4"/>
    <n v="4"/>
    <n v="3"/>
    <x v="2"/>
    <s v="Low"/>
  </r>
  <r>
    <n v="58"/>
    <x v="0"/>
    <s v="Travel_Rarely"/>
    <n v="147"/>
    <x v="1"/>
    <n v="23"/>
    <n v="4"/>
    <s v="Medical"/>
    <n v="1"/>
    <n v="165"/>
    <n v="4"/>
    <x v="0"/>
    <n v="94"/>
    <n v="3"/>
    <n v="3"/>
    <x v="4"/>
    <n v="4"/>
    <s v="Married"/>
    <n v="10312"/>
    <n v="3465"/>
    <n v="1"/>
    <s v="Y"/>
    <x v="1"/>
    <n v="12"/>
    <n v="3"/>
    <n v="4"/>
    <n v="80"/>
    <n v="1"/>
    <n v="40"/>
    <n v="3"/>
    <n v="2"/>
    <n v="40"/>
    <n v="10"/>
    <n v="15"/>
    <n v="6"/>
    <x v="1"/>
    <s v="High"/>
  </r>
  <r>
    <n v="19"/>
    <x v="0"/>
    <s v="Travel_Rarely"/>
    <n v="528"/>
    <x v="0"/>
    <n v="22"/>
    <n v="1"/>
    <s v="Marketing"/>
    <n v="1"/>
    <n v="167"/>
    <n v="4"/>
    <x v="1"/>
    <n v="50"/>
    <n v="3"/>
    <n v="1"/>
    <x v="6"/>
    <n v="3"/>
    <s v="Single"/>
    <n v="1675"/>
    <n v="26820"/>
    <n v="1"/>
    <s v="Y"/>
    <x v="0"/>
    <n v="19"/>
    <n v="3"/>
    <n v="4"/>
    <n v="80"/>
    <n v="0"/>
    <n v="0"/>
    <n v="2"/>
    <n v="2"/>
    <n v="0"/>
    <n v="0"/>
    <n v="0"/>
    <n v="0"/>
    <x v="3"/>
    <s v="Low"/>
  </r>
  <r>
    <n v="22"/>
    <x v="1"/>
    <s v="Travel_Rarely"/>
    <n v="594"/>
    <x v="1"/>
    <n v="2"/>
    <n v="1"/>
    <s v="Technical Degree"/>
    <n v="1"/>
    <n v="169"/>
    <n v="3"/>
    <x v="1"/>
    <n v="100"/>
    <n v="3"/>
    <n v="1"/>
    <x v="2"/>
    <n v="4"/>
    <s v="Married"/>
    <n v="2523"/>
    <n v="19299"/>
    <n v="0"/>
    <s v="Y"/>
    <x v="1"/>
    <n v="14"/>
    <n v="3"/>
    <n v="3"/>
    <n v="80"/>
    <n v="1"/>
    <n v="3"/>
    <n v="2"/>
    <n v="3"/>
    <n v="2"/>
    <n v="1"/>
    <n v="2"/>
    <n v="1"/>
    <x v="3"/>
    <s v="Low"/>
  </r>
  <r>
    <n v="49"/>
    <x v="1"/>
    <s v="Travel_Rarely"/>
    <n v="470"/>
    <x v="1"/>
    <n v="20"/>
    <n v="4"/>
    <s v="Medical"/>
    <n v="1"/>
    <n v="170"/>
    <n v="3"/>
    <x v="0"/>
    <n v="96"/>
    <n v="3"/>
    <n v="2"/>
    <x v="3"/>
    <n v="1"/>
    <s v="Married"/>
    <n v="6567"/>
    <n v="5549"/>
    <n v="1"/>
    <s v="Y"/>
    <x v="1"/>
    <n v="14"/>
    <n v="3"/>
    <n v="3"/>
    <n v="80"/>
    <n v="0"/>
    <n v="16"/>
    <n v="2"/>
    <n v="2"/>
    <n v="15"/>
    <n v="11"/>
    <n v="5"/>
    <n v="11"/>
    <x v="1"/>
    <s v="Mid"/>
  </r>
  <r>
    <n v="43"/>
    <x v="1"/>
    <s v="Travel_Frequently"/>
    <n v="957"/>
    <x v="1"/>
    <n v="28"/>
    <n v="3"/>
    <s v="Medical"/>
    <n v="1"/>
    <n v="171"/>
    <n v="2"/>
    <x v="0"/>
    <n v="72"/>
    <n v="4"/>
    <n v="1"/>
    <x v="1"/>
    <n v="3"/>
    <s v="Single"/>
    <n v="4739"/>
    <n v="16090"/>
    <n v="4"/>
    <s v="Y"/>
    <x v="1"/>
    <n v="12"/>
    <n v="3"/>
    <n v="4"/>
    <n v="80"/>
    <n v="0"/>
    <n v="18"/>
    <n v="2"/>
    <n v="3"/>
    <n v="3"/>
    <n v="2"/>
    <n v="1"/>
    <n v="2"/>
    <x v="0"/>
    <s v="Mid"/>
  </r>
  <r>
    <n v="50"/>
    <x v="1"/>
    <s v="Travel_Frequently"/>
    <n v="809"/>
    <x v="0"/>
    <n v="12"/>
    <n v="3"/>
    <s v="Marketing"/>
    <n v="1"/>
    <n v="174"/>
    <n v="3"/>
    <x v="0"/>
    <n v="77"/>
    <n v="3"/>
    <n v="3"/>
    <x v="0"/>
    <n v="4"/>
    <s v="Single"/>
    <n v="9208"/>
    <n v="6645"/>
    <n v="4"/>
    <s v="Y"/>
    <x v="1"/>
    <n v="11"/>
    <n v="3"/>
    <n v="4"/>
    <n v="80"/>
    <n v="0"/>
    <n v="16"/>
    <n v="3"/>
    <n v="3"/>
    <n v="2"/>
    <n v="2"/>
    <n v="2"/>
    <n v="1"/>
    <x v="1"/>
    <s v="High"/>
  </r>
  <r>
    <n v="31"/>
    <x v="0"/>
    <s v="Travel_Rarely"/>
    <n v="542"/>
    <x v="0"/>
    <n v="20"/>
    <n v="3"/>
    <s v="Life Sciences"/>
    <n v="1"/>
    <n v="175"/>
    <n v="2"/>
    <x v="0"/>
    <n v="71"/>
    <n v="1"/>
    <n v="2"/>
    <x v="0"/>
    <n v="3"/>
    <s v="Married"/>
    <n v="4559"/>
    <n v="24788"/>
    <n v="3"/>
    <s v="Y"/>
    <x v="0"/>
    <n v="11"/>
    <n v="3"/>
    <n v="3"/>
    <n v="80"/>
    <n v="1"/>
    <n v="4"/>
    <n v="2"/>
    <n v="3"/>
    <n v="2"/>
    <n v="2"/>
    <n v="2"/>
    <n v="2"/>
    <x v="2"/>
    <s v="Mid"/>
  </r>
  <r>
    <n v="41"/>
    <x v="1"/>
    <s v="Travel_Rarely"/>
    <n v="802"/>
    <x v="0"/>
    <n v="9"/>
    <n v="1"/>
    <s v="Life Sciences"/>
    <n v="1"/>
    <n v="176"/>
    <n v="3"/>
    <x v="1"/>
    <n v="96"/>
    <n v="3"/>
    <n v="3"/>
    <x v="0"/>
    <n v="3"/>
    <s v="Divorced"/>
    <n v="8189"/>
    <n v="21196"/>
    <n v="3"/>
    <s v="Y"/>
    <x v="0"/>
    <n v="13"/>
    <n v="3"/>
    <n v="3"/>
    <n v="80"/>
    <n v="1"/>
    <n v="12"/>
    <n v="2"/>
    <n v="3"/>
    <n v="9"/>
    <n v="7"/>
    <n v="0"/>
    <n v="7"/>
    <x v="0"/>
    <s v="High"/>
  </r>
  <r>
    <n v="26"/>
    <x v="1"/>
    <s v="Travel_Rarely"/>
    <n v="1355"/>
    <x v="2"/>
    <n v="25"/>
    <n v="1"/>
    <s v="Life Sciences"/>
    <n v="1"/>
    <n v="177"/>
    <n v="3"/>
    <x v="0"/>
    <n v="61"/>
    <n v="3"/>
    <n v="1"/>
    <x v="8"/>
    <n v="3"/>
    <s v="Married"/>
    <n v="2942"/>
    <n v="8916"/>
    <n v="1"/>
    <s v="Y"/>
    <x v="1"/>
    <n v="23"/>
    <n v="4"/>
    <n v="4"/>
    <n v="80"/>
    <n v="1"/>
    <n v="8"/>
    <n v="3"/>
    <n v="3"/>
    <n v="8"/>
    <n v="7"/>
    <n v="5"/>
    <n v="7"/>
    <x v="2"/>
    <s v="Low"/>
  </r>
  <r>
    <n v="36"/>
    <x v="1"/>
    <s v="Travel_Rarely"/>
    <n v="216"/>
    <x v="1"/>
    <n v="6"/>
    <n v="2"/>
    <s v="Medical"/>
    <n v="1"/>
    <n v="178"/>
    <n v="2"/>
    <x v="1"/>
    <n v="84"/>
    <n v="3"/>
    <n v="2"/>
    <x v="3"/>
    <n v="2"/>
    <s v="Divorced"/>
    <n v="4941"/>
    <n v="2819"/>
    <n v="6"/>
    <s v="Y"/>
    <x v="1"/>
    <n v="20"/>
    <n v="4"/>
    <n v="4"/>
    <n v="80"/>
    <n v="2"/>
    <n v="7"/>
    <n v="0"/>
    <n v="3"/>
    <n v="3"/>
    <n v="2"/>
    <n v="0"/>
    <n v="1"/>
    <x v="0"/>
    <s v="Mid"/>
  </r>
  <r>
    <n v="51"/>
    <x v="0"/>
    <s v="Travel_Frequently"/>
    <n v="1150"/>
    <x v="1"/>
    <n v="8"/>
    <n v="4"/>
    <s v="Life Sciences"/>
    <n v="1"/>
    <n v="179"/>
    <n v="1"/>
    <x v="1"/>
    <n v="53"/>
    <n v="1"/>
    <n v="3"/>
    <x v="3"/>
    <n v="4"/>
    <s v="Single"/>
    <n v="10650"/>
    <n v="25150"/>
    <n v="2"/>
    <s v="Y"/>
    <x v="1"/>
    <n v="15"/>
    <n v="3"/>
    <n v="4"/>
    <n v="80"/>
    <n v="0"/>
    <n v="18"/>
    <n v="2"/>
    <n v="3"/>
    <n v="4"/>
    <n v="2"/>
    <n v="0"/>
    <n v="3"/>
    <x v="1"/>
    <s v="High"/>
  </r>
  <r>
    <n v="39"/>
    <x v="1"/>
    <s v="Travel_Rarely"/>
    <n v="1329"/>
    <x v="0"/>
    <n v="4"/>
    <n v="4"/>
    <s v="Life Sciences"/>
    <n v="1"/>
    <n v="182"/>
    <n v="4"/>
    <x v="0"/>
    <n v="47"/>
    <n v="2"/>
    <n v="2"/>
    <x v="0"/>
    <n v="3"/>
    <s v="Married"/>
    <n v="5902"/>
    <n v="14590"/>
    <n v="4"/>
    <s v="Y"/>
    <x v="1"/>
    <n v="14"/>
    <n v="3"/>
    <n v="3"/>
    <n v="80"/>
    <n v="1"/>
    <n v="17"/>
    <n v="1"/>
    <n v="4"/>
    <n v="15"/>
    <n v="11"/>
    <n v="5"/>
    <n v="9"/>
    <x v="0"/>
    <s v="Mid"/>
  </r>
  <r>
    <n v="25"/>
    <x v="1"/>
    <s v="Travel_Rarely"/>
    <n v="959"/>
    <x v="0"/>
    <n v="28"/>
    <n v="3"/>
    <s v="Life Sciences"/>
    <n v="1"/>
    <n v="183"/>
    <n v="1"/>
    <x v="1"/>
    <n v="41"/>
    <n v="2"/>
    <n v="2"/>
    <x v="0"/>
    <n v="3"/>
    <s v="Married"/>
    <n v="8639"/>
    <n v="24835"/>
    <n v="2"/>
    <s v="Y"/>
    <x v="1"/>
    <n v="18"/>
    <n v="3"/>
    <n v="4"/>
    <n v="80"/>
    <n v="0"/>
    <n v="6"/>
    <n v="3"/>
    <n v="3"/>
    <n v="2"/>
    <n v="2"/>
    <n v="2"/>
    <n v="2"/>
    <x v="3"/>
    <s v="High"/>
  </r>
  <r>
    <n v="30"/>
    <x v="1"/>
    <s v="Travel_Rarely"/>
    <n v="1240"/>
    <x v="2"/>
    <n v="9"/>
    <n v="3"/>
    <s v="Human Resources"/>
    <n v="1"/>
    <n v="184"/>
    <n v="3"/>
    <x v="1"/>
    <n v="48"/>
    <n v="3"/>
    <n v="2"/>
    <x v="8"/>
    <n v="4"/>
    <s v="Married"/>
    <n v="6347"/>
    <n v="13982"/>
    <n v="0"/>
    <s v="Y"/>
    <x v="0"/>
    <n v="19"/>
    <n v="3"/>
    <n v="4"/>
    <n v="80"/>
    <n v="0"/>
    <n v="12"/>
    <n v="2"/>
    <n v="1"/>
    <n v="11"/>
    <n v="9"/>
    <n v="4"/>
    <n v="7"/>
    <x v="2"/>
    <s v="Mid"/>
  </r>
  <r>
    <n v="32"/>
    <x v="0"/>
    <s v="Travel_Rarely"/>
    <n v="1033"/>
    <x v="1"/>
    <n v="9"/>
    <n v="3"/>
    <s v="Medical"/>
    <n v="1"/>
    <n v="190"/>
    <n v="1"/>
    <x v="0"/>
    <n v="41"/>
    <n v="3"/>
    <n v="1"/>
    <x v="2"/>
    <n v="1"/>
    <s v="Single"/>
    <n v="4200"/>
    <n v="10224"/>
    <n v="7"/>
    <s v="Y"/>
    <x v="1"/>
    <n v="22"/>
    <n v="4"/>
    <n v="1"/>
    <n v="80"/>
    <n v="0"/>
    <n v="10"/>
    <n v="2"/>
    <n v="4"/>
    <n v="5"/>
    <n v="4"/>
    <n v="0"/>
    <n v="4"/>
    <x v="2"/>
    <s v="Mid"/>
  </r>
  <r>
    <n v="45"/>
    <x v="1"/>
    <s v="Travel_Rarely"/>
    <n v="1316"/>
    <x v="1"/>
    <n v="29"/>
    <n v="3"/>
    <s v="Medical"/>
    <n v="1"/>
    <n v="192"/>
    <n v="3"/>
    <x v="1"/>
    <n v="83"/>
    <n v="3"/>
    <n v="1"/>
    <x v="1"/>
    <n v="4"/>
    <s v="Single"/>
    <n v="3452"/>
    <n v="9752"/>
    <n v="5"/>
    <s v="Y"/>
    <x v="1"/>
    <n v="13"/>
    <n v="3"/>
    <n v="2"/>
    <n v="80"/>
    <n v="0"/>
    <n v="9"/>
    <n v="2"/>
    <n v="2"/>
    <n v="6"/>
    <n v="5"/>
    <n v="0"/>
    <n v="3"/>
    <x v="0"/>
    <s v="Mid"/>
  </r>
  <r>
    <n v="38"/>
    <x v="1"/>
    <s v="Travel_Rarely"/>
    <n v="364"/>
    <x v="1"/>
    <n v="3"/>
    <n v="5"/>
    <s v="Technical Degree"/>
    <n v="1"/>
    <n v="193"/>
    <n v="4"/>
    <x v="0"/>
    <n v="32"/>
    <n v="3"/>
    <n v="2"/>
    <x v="1"/>
    <n v="3"/>
    <s v="Single"/>
    <n v="4317"/>
    <n v="2302"/>
    <n v="3"/>
    <s v="Y"/>
    <x v="0"/>
    <n v="20"/>
    <n v="4"/>
    <n v="2"/>
    <n v="80"/>
    <n v="0"/>
    <n v="19"/>
    <n v="2"/>
    <n v="3"/>
    <n v="3"/>
    <n v="2"/>
    <n v="2"/>
    <n v="2"/>
    <x v="0"/>
    <s v="Mid"/>
  </r>
  <r>
    <n v="30"/>
    <x v="1"/>
    <s v="Travel_Rarely"/>
    <n v="438"/>
    <x v="1"/>
    <n v="18"/>
    <n v="3"/>
    <s v="Life Sciences"/>
    <n v="1"/>
    <n v="194"/>
    <n v="1"/>
    <x v="0"/>
    <n v="75"/>
    <n v="3"/>
    <n v="1"/>
    <x v="1"/>
    <n v="3"/>
    <s v="Single"/>
    <n v="2632"/>
    <n v="23910"/>
    <n v="1"/>
    <s v="Y"/>
    <x v="1"/>
    <n v="14"/>
    <n v="3"/>
    <n v="3"/>
    <n v="80"/>
    <n v="0"/>
    <n v="5"/>
    <n v="4"/>
    <n v="2"/>
    <n v="5"/>
    <n v="4"/>
    <n v="0"/>
    <n v="4"/>
    <x v="2"/>
    <s v="Low"/>
  </r>
  <r>
    <n v="32"/>
    <x v="1"/>
    <s v="Travel_Frequently"/>
    <n v="689"/>
    <x v="0"/>
    <n v="9"/>
    <n v="2"/>
    <s v="Medical"/>
    <n v="1"/>
    <n v="195"/>
    <n v="4"/>
    <x v="1"/>
    <n v="35"/>
    <n v="1"/>
    <n v="2"/>
    <x v="0"/>
    <n v="4"/>
    <s v="Divorced"/>
    <n v="4668"/>
    <n v="22812"/>
    <n v="0"/>
    <s v="Y"/>
    <x v="1"/>
    <n v="17"/>
    <n v="3"/>
    <n v="4"/>
    <n v="80"/>
    <n v="3"/>
    <n v="9"/>
    <n v="2"/>
    <n v="4"/>
    <n v="8"/>
    <n v="7"/>
    <n v="0"/>
    <n v="7"/>
    <x v="2"/>
    <s v="Mid"/>
  </r>
  <r>
    <n v="30"/>
    <x v="1"/>
    <s v="Travel_Rarely"/>
    <n v="201"/>
    <x v="1"/>
    <n v="5"/>
    <n v="3"/>
    <s v="Technical Degree"/>
    <n v="1"/>
    <n v="197"/>
    <n v="4"/>
    <x v="0"/>
    <n v="84"/>
    <n v="3"/>
    <n v="1"/>
    <x v="1"/>
    <n v="1"/>
    <s v="Divorced"/>
    <n v="3204"/>
    <n v="10415"/>
    <n v="5"/>
    <s v="Y"/>
    <x v="1"/>
    <n v="14"/>
    <n v="3"/>
    <n v="4"/>
    <n v="80"/>
    <n v="1"/>
    <n v="8"/>
    <n v="3"/>
    <n v="3"/>
    <n v="3"/>
    <n v="2"/>
    <n v="2"/>
    <n v="2"/>
    <x v="2"/>
    <s v="Mid"/>
  </r>
  <r>
    <n v="30"/>
    <x v="1"/>
    <s v="Travel_Rarely"/>
    <n v="1427"/>
    <x v="1"/>
    <n v="2"/>
    <n v="1"/>
    <s v="Medical"/>
    <n v="1"/>
    <n v="198"/>
    <n v="2"/>
    <x v="1"/>
    <n v="35"/>
    <n v="2"/>
    <n v="1"/>
    <x v="2"/>
    <n v="4"/>
    <s v="Single"/>
    <n v="2720"/>
    <n v="11162"/>
    <n v="0"/>
    <s v="Y"/>
    <x v="1"/>
    <n v="13"/>
    <n v="3"/>
    <n v="4"/>
    <n v="80"/>
    <n v="0"/>
    <n v="6"/>
    <n v="3"/>
    <n v="3"/>
    <n v="5"/>
    <n v="3"/>
    <n v="1"/>
    <n v="2"/>
    <x v="2"/>
    <s v="Low"/>
  </r>
  <r>
    <n v="41"/>
    <x v="1"/>
    <s v="Travel_Frequently"/>
    <n v="857"/>
    <x v="1"/>
    <n v="10"/>
    <n v="3"/>
    <s v="Life Sciences"/>
    <n v="1"/>
    <n v="199"/>
    <n v="4"/>
    <x v="1"/>
    <n v="91"/>
    <n v="2"/>
    <n v="4"/>
    <x v="5"/>
    <n v="1"/>
    <s v="Divorced"/>
    <n v="17181"/>
    <n v="12888"/>
    <n v="4"/>
    <s v="Y"/>
    <x v="1"/>
    <n v="13"/>
    <n v="3"/>
    <n v="2"/>
    <n v="80"/>
    <n v="1"/>
    <n v="21"/>
    <n v="2"/>
    <n v="2"/>
    <n v="7"/>
    <n v="6"/>
    <n v="7"/>
    <n v="7"/>
    <x v="0"/>
    <s v="Top"/>
  </r>
  <r>
    <n v="41"/>
    <x v="1"/>
    <s v="Travel_Rarely"/>
    <n v="933"/>
    <x v="1"/>
    <n v="9"/>
    <n v="4"/>
    <s v="Life Sciences"/>
    <n v="1"/>
    <n v="200"/>
    <n v="3"/>
    <x v="1"/>
    <n v="94"/>
    <n v="3"/>
    <n v="1"/>
    <x v="2"/>
    <n v="1"/>
    <s v="Married"/>
    <n v="2238"/>
    <n v="6961"/>
    <n v="2"/>
    <s v="Y"/>
    <x v="1"/>
    <n v="21"/>
    <n v="4"/>
    <n v="4"/>
    <n v="80"/>
    <n v="1"/>
    <n v="7"/>
    <n v="2"/>
    <n v="3"/>
    <n v="5"/>
    <n v="0"/>
    <n v="1"/>
    <n v="4"/>
    <x v="0"/>
    <s v="Low"/>
  </r>
  <r>
    <n v="19"/>
    <x v="1"/>
    <s v="Travel_Rarely"/>
    <n v="1181"/>
    <x v="1"/>
    <n v="3"/>
    <n v="1"/>
    <s v="Medical"/>
    <n v="1"/>
    <n v="201"/>
    <n v="2"/>
    <x v="0"/>
    <n v="79"/>
    <n v="3"/>
    <n v="1"/>
    <x v="2"/>
    <n v="2"/>
    <s v="Single"/>
    <n v="1483"/>
    <n v="16102"/>
    <n v="1"/>
    <s v="Y"/>
    <x v="1"/>
    <n v="14"/>
    <n v="3"/>
    <n v="4"/>
    <n v="80"/>
    <n v="0"/>
    <n v="1"/>
    <n v="3"/>
    <n v="3"/>
    <n v="1"/>
    <n v="0"/>
    <n v="0"/>
    <n v="0"/>
    <x v="3"/>
    <s v="Low"/>
  </r>
  <r>
    <n v="40"/>
    <x v="1"/>
    <s v="Travel_Frequently"/>
    <n v="1395"/>
    <x v="1"/>
    <n v="26"/>
    <n v="3"/>
    <s v="Medical"/>
    <n v="1"/>
    <n v="202"/>
    <n v="2"/>
    <x v="0"/>
    <n v="54"/>
    <n v="3"/>
    <n v="2"/>
    <x v="1"/>
    <n v="2"/>
    <s v="Divorced"/>
    <n v="5605"/>
    <n v="8504"/>
    <n v="1"/>
    <s v="Y"/>
    <x v="1"/>
    <n v="11"/>
    <n v="3"/>
    <n v="1"/>
    <n v="80"/>
    <n v="1"/>
    <n v="20"/>
    <n v="2"/>
    <n v="3"/>
    <n v="20"/>
    <n v="7"/>
    <n v="2"/>
    <n v="13"/>
    <x v="0"/>
    <s v="Mid"/>
  </r>
  <r>
    <n v="35"/>
    <x v="1"/>
    <s v="Travel_Rarely"/>
    <n v="662"/>
    <x v="0"/>
    <n v="1"/>
    <n v="5"/>
    <s v="Marketing"/>
    <n v="1"/>
    <n v="204"/>
    <n v="3"/>
    <x v="1"/>
    <n v="94"/>
    <n v="3"/>
    <n v="3"/>
    <x v="0"/>
    <n v="2"/>
    <s v="Married"/>
    <n v="7295"/>
    <n v="11439"/>
    <n v="1"/>
    <s v="Y"/>
    <x v="1"/>
    <n v="13"/>
    <n v="3"/>
    <n v="1"/>
    <n v="80"/>
    <n v="2"/>
    <n v="10"/>
    <n v="3"/>
    <n v="3"/>
    <n v="10"/>
    <n v="8"/>
    <n v="0"/>
    <n v="6"/>
    <x v="2"/>
    <s v="High"/>
  </r>
  <r>
    <n v="53"/>
    <x v="1"/>
    <s v="Travel_Rarely"/>
    <n v="1436"/>
    <x v="0"/>
    <n v="6"/>
    <n v="2"/>
    <s v="Marketing"/>
    <n v="1"/>
    <n v="205"/>
    <n v="2"/>
    <x v="1"/>
    <n v="34"/>
    <n v="3"/>
    <n v="2"/>
    <x v="6"/>
    <n v="3"/>
    <s v="Married"/>
    <n v="2306"/>
    <n v="16047"/>
    <n v="2"/>
    <s v="Y"/>
    <x v="0"/>
    <n v="20"/>
    <n v="4"/>
    <n v="4"/>
    <n v="80"/>
    <n v="1"/>
    <n v="13"/>
    <n v="3"/>
    <n v="1"/>
    <n v="7"/>
    <n v="7"/>
    <n v="4"/>
    <n v="5"/>
    <x v="1"/>
    <s v="Low"/>
  </r>
  <r>
    <n v="45"/>
    <x v="1"/>
    <s v="Travel_Rarely"/>
    <n v="194"/>
    <x v="1"/>
    <n v="9"/>
    <n v="3"/>
    <s v="Life Sciences"/>
    <n v="1"/>
    <n v="206"/>
    <n v="2"/>
    <x v="1"/>
    <n v="60"/>
    <n v="3"/>
    <n v="2"/>
    <x v="2"/>
    <n v="2"/>
    <s v="Divorced"/>
    <n v="2348"/>
    <n v="10901"/>
    <n v="8"/>
    <s v="Y"/>
    <x v="1"/>
    <n v="18"/>
    <n v="3"/>
    <n v="3"/>
    <n v="80"/>
    <n v="1"/>
    <n v="20"/>
    <n v="2"/>
    <n v="1"/>
    <n v="17"/>
    <n v="9"/>
    <n v="0"/>
    <n v="15"/>
    <x v="0"/>
    <s v="Low"/>
  </r>
  <r>
    <n v="32"/>
    <x v="1"/>
    <s v="Travel_Frequently"/>
    <n v="967"/>
    <x v="0"/>
    <n v="8"/>
    <n v="3"/>
    <s v="Marketing"/>
    <n v="1"/>
    <n v="207"/>
    <n v="2"/>
    <x v="0"/>
    <n v="43"/>
    <n v="3"/>
    <n v="3"/>
    <x v="0"/>
    <n v="4"/>
    <s v="Single"/>
    <n v="8998"/>
    <n v="15589"/>
    <n v="1"/>
    <s v="Y"/>
    <x v="1"/>
    <n v="14"/>
    <n v="3"/>
    <n v="4"/>
    <n v="80"/>
    <n v="0"/>
    <n v="9"/>
    <n v="2"/>
    <n v="3"/>
    <n v="9"/>
    <n v="8"/>
    <n v="3"/>
    <n v="7"/>
    <x v="2"/>
    <s v="High"/>
  </r>
  <r>
    <n v="29"/>
    <x v="1"/>
    <s v="Non-Travel"/>
    <n v="1496"/>
    <x v="1"/>
    <n v="1"/>
    <n v="1"/>
    <s v="Technical Degree"/>
    <n v="1"/>
    <n v="208"/>
    <n v="4"/>
    <x v="1"/>
    <n v="41"/>
    <n v="3"/>
    <n v="2"/>
    <x v="3"/>
    <n v="3"/>
    <s v="Married"/>
    <n v="4319"/>
    <n v="26283"/>
    <n v="1"/>
    <s v="Y"/>
    <x v="1"/>
    <n v="13"/>
    <n v="3"/>
    <n v="1"/>
    <n v="80"/>
    <n v="1"/>
    <n v="10"/>
    <n v="1"/>
    <n v="3"/>
    <n v="10"/>
    <n v="7"/>
    <n v="0"/>
    <n v="9"/>
    <x v="2"/>
    <s v="Mid"/>
  </r>
  <r>
    <n v="51"/>
    <x v="1"/>
    <s v="Travel_Rarely"/>
    <n v="1169"/>
    <x v="1"/>
    <n v="7"/>
    <n v="4"/>
    <s v="Medical"/>
    <n v="1"/>
    <n v="211"/>
    <n v="2"/>
    <x v="1"/>
    <n v="34"/>
    <n v="2"/>
    <n v="2"/>
    <x v="3"/>
    <n v="3"/>
    <s v="Married"/>
    <n v="6132"/>
    <n v="13983"/>
    <n v="2"/>
    <s v="Y"/>
    <x v="1"/>
    <n v="17"/>
    <n v="3"/>
    <n v="3"/>
    <n v="80"/>
    <n v="0"/>
    <n v="10"/>
    <n v="2"/>
    <n v="3"/>
    <n v="1"/>
    <n v="0"/>
    <n v="0"/>
    <n v="0"/>
    <x v="1"/>
    <s v="Mid"/>
  </r>
  <r>
    <n v="58"/>
    <x v="1"/>
    <s v="Travel_Rarely"/>
    <n v="1145"/>
    <x v="1"/>
    <n v="9"/>
    <n v="3"/>
    <s v="Medical"/>
    <n v="1"/>
    <n v="214"/>
    <n v="2"/>
    <x v="0"/>
    <n v="75"/>
    <n v="2"/>
    <n v="1"/>
    <x v="1"/>
    <n v="2"/>
    <s v="Married"/>
    <n v="3346"/>
    <n v="11873"/>
    <n v="4"/>
    <s v="Y"/>
    <x v="0"/>
    <n v="20"/>
    <n v="4"/>
    <n v="2"/>
    <n v="80"/>
    <n v="1"/>
    <n v="9"/>
    <n v="3"/>
    <n v="2"/>
    <n v="1"/>
    <n v="0"/>
    <n v="0"/>
    <n v="0"/>
    <x v="1"/>
    <s v="Mid"/>
  </r>
  <r>
    <n v="40"/>
    <x v="1"/>
    <s v="Travel_Rarely"/>
    <n v="630"/>
    <x v="0"/>
    <n v="4"/>
    <n v="4"/>
    <s v="Marketing"/>
    <n v="1"/>
    <n v="215"/>
    <n v="3"/>
    <x v="1"/>
    <n v="67"/>
    <n v="2"/>
    <n v="3"/>
    <x v="0"/>
    <n v="4"/>
    <s v="Married"/>
    <n v="10855"/>
    <n v="8552"/>
    <n v="7"/>
    <s v="Y"/>
    <x v="1"/>
    <n v="11"/>
    <n v="3"/>
    <n v="1"/>
    <n v="80"/>
    <n v="1"/>
    <n v="15"/>
    <n v="2"/>
    <n v="2"/>
    <n v="12"/>
    <n v="11"/>
    <n v="2"/>
    <n v="11"/>
    <x v="0"/>
    <s v="High"/>
  </r>
  <r>
    <n v="34"/>
    <x v="1"/>
    <s v="Travel_Frequently"/>
    <n v="303"/>
    <x v="0"/>
    <n v="2"/>
    <n v="4"/>
    <s v="Marketing"/>
    <n v="1"/>
    <n v="216"/>
    <n v="3"/>
    <x v="0"/>
    <n v="75"/>
    <n v="3"/>
    <n v="1"/>
    <x v="6"/>
    <n v="3"/>
    <s v="Married"/>
    <n v="2231"/>
    <n v="11314"/>
    <n v="6"/>
    <s v="Y"/>
    <x v="1"/>
    <n v="18"/>
    <n v="3"/>
    <n v="4"/>
    <n v="80"/>
    <n v="1"/>
    <n v="6"/>
    <n v="3"/>
    <n v="3"/>
    <n v="4"/>
    <n v="3"/>
    <n v="1"/>
    <n v="2"/>
    <x v="2"/>
    <s v="Low"/>
  </r>
  <r>
    <n v="22"/>
    <x v="1"/>
    <s v="Travel_Rarely"/>
    <n v="1256"/>
    <x v="1"/>
    <n v="19"/>
    <n v="1"/>
    <s v="Medical"/>
    <n v="1"/>
    <n v="217"/>
    <n v="3"/>
    <x v="1"/>
    <n v="80"/>
    <n v="3"/>
    <n v="1"/>
    <x v="1"/>
    <n v="4"/>
    <s v="Married"/>
    <n v="2323"/>
    <n v="11992"/>
    <n v="1"/>
    <s v="Y"/>
    <x v="1"/>
    <n v="24"/>
    <n v="4"/>
    <n v="1"/>
    <n v="80"/>
    <n v="2"/>
    <n v="2"/>
    <n v="6"/>
    <n v="3"/>
    <n v="2"/>
    <n v="2"/>
    <n v="2"/>
    <n v="2"/>
    <x v="3"/>
    <s v="Low"/>
  </r>
  <r>
    <n v="27"/>
    <x v="1"/>
    <s v="Non-Travel"/>
    <n v="691"/>
    <x v="1"/>
    <n v="9"/>
    <n v="3"/>
    <s v="Medical"/>
    <n v="1"/>
    <n v="218"/>
    <n v="4"/>
    <x v="1"/>
    <n v="57"/>
    <n v="3"/>
    <n v="1"/>
    <x v="1"/>
    <n v="2"/>
    <s v="Divorced"/>
    <n v="2024"/>
    <n v="5970"/>
    <n v="6"/>
    <s v="Y"/>
    <x v="1"/>
    <n v="18"/>
    <n v="3"/>
    <n v="4"/>
    <n v="80"/>
    <n v="1"/>
    <n v="6"/>
    <n v="1"/>
    <n v="1"/>
    <n v="2"/>
    <n v="2"/>
    <n v="2"/>
    <n v="2"/>
    <x v="2"/>
    <s v="Low"/>
  </r>
  <r>
    <n v="28"/>
    <x v="1"/>
    <s v="Travel_Rarely"/>
    <n v="440"/>
    <x v="1"/>
    <n v="21"/>
    <n v="3"/>
    <s v="Medical"/>
    <n v="1"/>
    <n v="221"/>
    <n v="3"/>
    <x v="1"/>
    <n v="42"/>
    <n v="3"/>
    <n v="1"/>
    <x v="1"/>
    <n v="4"/>
    <s v="Married"/>
    <n v="2713"/>
    <n v="6672"/>
    <n v="1"/>
    <s v="Y"/>
    <x v="1"/>
    <n v="11"/>
    <n v="3"/>
    <n v="3"/>
    <n v="80"/>
    <n v="1"/>
    <n v="5"/>
    <n v="2"/>
    <n v="1"/>
    <n v="5"/>
    <n v="2"/>
    <n v="0"/>
    <n v="2"/>
    <x v="2"/>
    <s v="Low"/>
  </r>
  <r>
    <n v="57"/>
    <x v="1"/>
    <s v="Travel_Rarely"/>
    <n v="334"/>
    <x v="1"/>
    <n v="24"/>
    <n v="2"/>
    <s v="Life Sciences"/>
    <n v="1"/>
    <n v="223"/>
    <n v="3"/>
    <x v="1"/>
    <n v="83"/>
    <n v="4"/>
    <n v="3"/>
    <x v="4"/>
    <n v="4"/>
    <s v="Divorced"/>
    <n v="9439"/>
    <n v="23402"/>
    <n v="3"/>
    <s v="Y"/>
    <x v="0"/>
    <n v="16"/>
    <n v="3"/>
    <n v="2"/>
    <n v="80"/>
    <n v="1"/>
    <n v="12"/>
    <n v="2"/>
    <n v="1"/>
    <n v="5"/>
    <n v="3"/>
    <n v="1"/>
    <n v="4"/>
    <x v="1"/>
    <s v="High"/>
  </r>
  <r>
    <n v="27"/>
    <x v="1"/>
    <s v="Non-Travel"/>
    <n v="1450"/>
    <x v="1"/>
    <n v="3"/>
    <n v="3"/>
    <s v="Medical"/>
    <n v="1"/>
    <n v="224"/>
    <n v="3"/>
    <x v="1"/>
    <n v="79"/>
    <n v="2"/>
    <n v="1"/>
    <x v="1"/>
    <n v="3"/>
    <s v="Divorced"/>
    <n v="2566"/>
    <n v="25326"/>
    <n v="1"/>
    <s v="Y"/>
    <x v="0"/>
    <n v="15"/>
    <n v="3"/>
    <n v="4"/>
    <n v="80"/>
    <n v="1"/>
    <n v="1"/>
    <n v="2"/>
    <n v="2"/>
    <n v="1"/>
    <n v="1"/>
    <n v="0"/>
    <n v="1"/>
    <x v="2"/>
    <s v="Low"/>
  </r>
  <r>
    <n v="50"/>
    <x v="1"/>
    <s v="Travel_Rarely"/>
    <n v="1452"/>
    <x v="1"/>
    <n v="11"/>
    <n v="3"/>
    <s v="Life Sciences"/>
    <n v="1"/>
    <n v="226"/>
    <n v="3"/>
    <x v="0"/>
    <n v="53"/>
    <n v="3"/>
    <n v="5"/>
    <x v="5"/>
    <n v="2"/>
    <s v="Single"/>
    <n v="19926"/>
    <n v="17053"/>
    <n v="3"/>
    <s v="Y"/>
    <x v="1"/>
    <n v="15"/>
    <n v="3"/>
    <n v="2"/>
    <n v="80"/>
    <n v="0"/>
    <n v="21"/>
    <n v="5"/>
    <n v="3"/>
    <n v="5"/>
    <n v="4"/>
    <n v="4"/>
    <n v="4"/>
    <x v="1"/>
    <s v="Top"/>
  </r>
  <r>
    <n v="41"/>
    <x v="1"/>
    <s v="Travel_Rarely"/>
    <n v="465"/>
    <x v="1"/>
    <n v="14"/>
    <n v="3"/>
    <s v="Life Sciences"/>
    <n v="1"/>
    <n v="227"/>
    <n v="1"/>
    <x v="1"/>
    <n v="56"/>
    <n v="3"/>
    <n v="1"/>
    <x v="1"/>
    <n v="3"/>
    <s v="Divorced"/>
    <n v="2451"/>
    <n v="4609"/>
    <n v="4"/>
    <s v="Y"/>
    <x v="1"/>
    <n v="12"/>
    <n v="3"/>
    <n v="1"/>
    <n v="80"/>
    <n v="1"/>
    <n v="13"/>
    <n v="2"/>
    <n v="3"/>
    <n v="9"/>
    <n v="8"/>
    <n v="1"/>
    <n v="8"/>
    <x v="0"/>
    <s v="Low"/>
  </r>
  <r>
    <n v="30"/>
    <x v="1"/>
    <s v="Travel_Rarely"/>
    <n v="1339"/>
    <x v="0"/>
    <n v="5"/>
    <n v="3"/>
    <s v="Life Sciences"/>
    <n v="1"/>
    <n v="228"/>
    <n v="2"/>
    <x v="0"/>
    <n v="41"/>
    <n v="3"/>
    <n v="3"/>
    <x v="0"/>
    <n v="4"/>
    <s v="Married"/>
    <n v="9419"/>
    <n v="8053"/>
    <n v="2"/>
    <s v="Y"/>
    <x v="1"/>
    <n v="12"/>
    <n v="3"/>
    <n v="3"/>
    <n v="80"/>
    <n v="1"/>
    <n v="12"/>
    <n v="2"/>
    <n v="3"/>
    <n v="10"/>
    <n v="9"/>
    <n v="7"/>
    <n v="4"/>
    <x v="2"/>
    <s v="High"/>
  </r>
  <r>
    <n v="38"/>
    <x v="1"/>
    <s v="Travel_Rarely"/>
    <n v="702"/>
    <x v="0"/>
    <n v="1"/>
    <n v="4"/>
    <s v="Life Sciences"/>
    <n v="1"/>
    <n v="230"/>
    <n v="1"/>
    <x v="0"/>
    <n v="59"/>
    <n v="2"/>
    <n v="2"/>
    <x v="0"/>
    <n v="4"/>
    <s v="Single"/>
    <n v="8686"/>
    <n v="12930"/>
    <n v="4"/>
    <s v="Y"/>
    <x v="1"/>
    <n v="22"/>
    <n v="4"/>
    <n v="3"/>
    <n v="80"/>
    <n v="0"/>
    <n v="12"/>
    <n v="2"/>
    <n v="4"/>
    <n v="8"/>
    <n v="3"/>
    <n v="0"/>
    <n v="7"/>
    <x v="0"/>
    <s v="High"/>
  </r>
  <r>
    <n v="32"/>
    <x v="1"/>
    <s v="Travel_Rarely"/>
    <n v="120"/>
    <x v="1"/>
    <n v="6"/>
    <n v="5"/>
    <s v="Life Sciences"/>
    <n v="1"/>
    <n v="231"/>
    <n v="3"/>
    <x v="1"/>
    <n v="43"/>
    <n v="3"/>
    <n v="1"/>
    <x v="1"/>
    <n v="3"/>
    <s v="Single"/>
    <n v="3038"/>
    <n v="12430"/>
    <n v="3"/>
    <s v="Y"/>
    <x v="1"/>
    <n v="20"/>
    <n v="4"/>
    <n v="1"/>
    <n v="80"/>
    <n v="0"/>
    <n v="8"/>
    <n v="2"/>
    <n v="3"/>
    <n v="5"/>
    <n v="4"/>
    <n v="1"/>
    <n v="4"/>
    <x v="2"/>
    <s v="Mid"/>
  </r>
  <r>
    <n v="27"/>
    <x v="1"/>
    <s v="Travel_Rarely"/>
    <n v="1157"/>
    <x v="1"/>
    <n v="17"/>
    <n v="3"/>
    <s v="Technical Degree"/>
    <n v="1"/>
    <n v="233"/>
    <n v="3"/>
    <x v="1"/>
    <n v="51"/>
    <n v="3"/>
    <n v="1"/>
    <x v="1"/>
    <n v="2"/>
    <s v="Married"/>
    <n v="3058"/>
    <n v="13364"/>
    <n v="0"/>
    <s v="Y"/>
    <x v="0"/>
    <n v="16"/>
    <n v="3"/>
    <n v="4"/>
    <n v="80"/>
    <n v="1"/>
    <n v="6"/>
    <n v="3"/>
    <n v="2"/>
    <n v="5"/>
    <n v="2"/>
    <n v="1"/>
    <n v="1"/>
    <x v="2"/>
    <s v="Mid"/>
  </r>
  <r>
    <n v="19"/>
    <x v="0"/>
    <s v="Travel_Frequently"/>
    <n v="602"/>
    <x v="0"/>
    <n v="1"/>
    <n v="1"/>
    <s v="Technical Degree"/>
    <n v="1"/>
    <n v="235"/>
    <n v="3"/>
    <x v="0"/>
    <n v="100"/>
    <n v="1"/>
    <n v="1"/>
    <x v="6"/>
    <n v="1"/>
    <s v="Single"/>
    <n v="2325"/>
    <n v="20989"/>
    <n v="0"/>
    <s v="Y"/>
    <x v="1"/>
    <n v="21"/>
    <n v="4"/>
    <n v="1"/>
    <n v="80"/>
    <n v="0"/>
    <n v="1"/>
    <n v="5"/>
    <n v="4"/>
    <n v="0"/>
    <n v="0"/>
    <n v="0"/>
    <n v="0"/>
    <x v="3"/>
    <s v="Low"/>
  </r>
  <r>
    <n v="36"/>
    <x v="1"/>
    <s v="Travel_Frequently"/>
    <n v="1480"/>
    <x v="1"/>
    <n v="3"/>
    <n v="2"/>
    <s v="Medical"/>
    <n v="1"/>
    <n v="238"/>
    <n v="4"/>
    <x v="1"/>
    <n v="30"/>
    <n v="3"/>
    <n v="1"/>
    <x v="2"/>
    <n v="2"/>
    <s v="Single"/>
    <n v="2088"/>
    <n v="15062"/>
    <n v="4"/>
    <s v="Y"/>
    <x v="1"/>
    <n v="12"/>
    <n v="3"/>
    <n v="3"/>
    <n v="80"/>
    <n v="0"/>
    <n v="13"/>
    <n v="3"/>
    <n v="2"/>
    <n v="8"/>
    <n v="7"/>
    <n v="7"/>
    <n v="2"/>
    <x v="0"/>
    <s v="Low"/>
  </r>
  <r>
    <n v="30"/>
    <x v="1"/>
    <s v="Non-Travel"/>
    <n v="111"/>
    <x v="1"/>
    <n v="9"/>
    <n v="3"/>
    <s v="Medical"/>
    <n v="1"/>
    <n v="239"/>
    <n v="3"/>
    <x v="1"/>
    <n v="66"/>
    <n v="3"/>
    <n v="2"/>
    <x v="2"/>
    <n v="1"/>
    <s v="Divorced"/>
    <n v="3072"/>
    <n v="11012"/>
    <n v="1"/>
    <s v="Y"/>
    <x v="1"/>
    <n v="11"/>
    <n v="3"/>
    <n v="3"/>
    <n v="80"/>
    <n v="2"/>
    <n v="12"/>
    <n v="4"/>
    <n v="3"/>
    <n v="12"/>
    <n v="9"/>
    <n v="6"/>
    <n v="10"/>
    <x v="2"/>
    <s v="Mid"/>
  </r>
  <r>
    <n v="45"/>
    <x v="1"/>
    <s v="Travel_Rarely"/>
    <n v="1268"/>
    <x v="0"/>
    <n v="4"/>
    <n v="2"/>
    <s v="Life Sciences"/>
    <n v="1"/>
    <n v="240"/>
    <n v="3"/>
    <x v="0"/>
    <n v="30"/>
    <n v="3"/>
    <n v="2"/>
    <x v="0"/>
    <n v="1"/>
    <s v="Divorced"/>
    <n v="5006"/>
    <n v="6319"/>
    <n v="4"/>
    <s v="Y"/>
    <x v="0"/>
    <n v="11"/>
    <n v="3"/>
    <n v="1"/>
    <n v="80"/>
    <n v="1"/>
    <n v="9"/>
    <n v="3"/>
    <n v="4"/>
    <n v="5"/>
    <n v="4"/>
    <n v="0"/>
    <n v="3"/>
    <x v="0"/>
    <s v="Mid"/>
  </r>
  <r>
    <n v="56"/>
    <x v="1"/>
    <s v="Travel_Rarely"/>
    <n v="713"/>
    <x v="1"/>
    <n v="8"/>
    <n v="3"/>
    <s v="Life Sciences"/>
    <n v="1"/>
    <n v="241"/>
    <n v="3"/>
    <x v="0"/>
    <n v="67"/>
    <n v="3"/>
    <n v="1"/>
    <x v="1"/>
    <n v="1"/>
    <s v="Divorced"/>
    <n v="4257"/>
    <n v="13939"/>
    <n v="4"/>
    <s v="Y"/>
    <x v="0"/>
    <n v="18"/>
    <n v="3"/>
    <n v="3"/>
    <n v="80"/>
    <n v="1"/>
    <n v="19"/>
    <n v="3"/>
    <n v="3"/>
    <n v="2"/>
    <n v="2"/>
    <n v="2"/>
    <n v="2"/>
    <x v="1"/>
    <s v="Mid"/>
  </r>
  <r>
    <n v="33"/>
    <x v="1"/>
    <s v="Travel_Rarely"/>
    <n v="134"/>
    <x v="1"/>
    <n v="2"/>
    <n v="3"/>
    <s v="Life Sciences"/>
    <n v="1"/>
    <n v="242"/>
    <n v="3"/>
    <x v="1"/>
    <n v="90"/>
    <n v="3"/>
    <n v="1"/>
    <x v="1"/>
    <n v="4"/>
    <s v="Single"/>
    <n v="2500"/>
    <n v="10515"/>
    <n v="0"/>
    <s v="Y"/>
    <x v="1"/>
    <n v="14"/>
    <n v="3"/>
    <n v="1"/>
    <n v="80"/>
    <n v="0"/>
    <n v="4"/>
    <n v="2"/>
    <n v="4"/>
    <n v="3"/>
    <n v="1"/>
    <n v="0"/>
    <n v="2"/>
    <x v="2"/>
    <s v="Low"/>
  </r>
  <r>
    <n v="19"/>
    <x v="0"/>
    <s v="Travel_Rarely"/>
    <n v="303"/>
    <x v="1"/>
    <n v="2"/>
    <n v="3"/>
    <s v="Life Sciences"/>
    <n v="1"/>
    <n v="243"/>
    <n v="2"/>
    <x v="1"/>
    <n v="47"/>
    <n v="2"/>
    <n v="1"/>
    <x v="2"/>
    <n v="4"/>
    <s v="Single"/>
    <n v="1102"/>
    <n v="9241"/>
    <n v="1"/>
    <s v="Y"/>
    <x v="1"/>
    <n v="22"/>
    <n v="4"/>
    <n v="3"/>
    <n v="80"/>
    <n v="0"/>
    <n v="1"/>
    <n v="3"/>
    <n v="2"/>
    <n v="1"/>
    <n v="0"/>
    <n v="1"/>
    <n v="0"/>
    <x v="3"/>
    <s v="Low"/>
  </r>
  <r>
    <n v="46"/>
    <x v="1"/>
    <s v="Travel_Rarely"/>
    <n v="526"/>
    <x v="0"/>
    <n v="1"/>
    <n v="2"/>
    <s v="Marketing"/>
    <n v="1"/>
    <n v="244"/>
    <n v="2"/>
    <x v="0"/>
    <n v="92"/>
    <n v="3"/>
    <n v="3"/>
    <x v="0"/>
    <n v="1"/>
    <s v="Divorced"/>
    <n v="10453"/>
    <n v="2137"/>
    <n v="1"/>
    <s v="Y"/>
    <x v="1"/>
    <n v="25"/>
    <n v="4"/>
    <n v="3"/>
    <n v="80"/>
    <n v="3"/>
    <n v="24"/>
    <n v="2"/>
    <n v="3"/>
    <n v="24"/>
    <n v="13"/>
    <n v="15"/>
    <n v="7"/>
    <x v="1"/>
    <s v="High"/>
  </r>
  <r>
    <n v="38"/>
    <x v="1"/>
    <s v="Travel_Rarely"/>
    <n v="1380"/>
    <x v="1"/>
    <n v="9"/>
    <n v="2"/>
    <s v="Life Sciences"/>
    <n v="1"/>
    <n v="245"/>
    <n v="3"/>
    <x v="0"/>
    <n v="75"/>
    <n v="3"/>
    <n v="1"/>
    <x v="2"/>
    <n v="4"/>
    <s v="Single"/>
    <n v="2288"/>
    <n v="6319"/>
    <n v="1"/>
    <s v="Y"/>
    <x v="1"/>
    <n v="12"/>
    <n v="3"/>
    <n v="3"/>
    <n v="80"/>
    <n v="0"/>
    <n v="2"/>
    <n v="3"/>
    <n v="3"/>
    <n v="2"/>
    <n v="2"/>
    <n v="2"/>
    <n v="1"/>
    <x v="0"/>
    <s v="Low"/>
  </r>
  <r>
    <n v="31"/>
    <x v="1"/>
    <s v="Travel_Rarely"/>
    <n v="140"/>
    <x v="1"/>
    <n v="12"/>
    <n v="1"/>
    <s v="Medical"/>
    <n v="1"/>
    <n v="246"/>
    <n v="3"/>
    <x v="0"/>
    <n v="95"/>
    <n v="3"/>
    <n v="1"/>
    <x v="1"/>
    <n v="4"/>
    <s v="Married"/>
    <n v="3929"/>
    <n v="6984"/>
    <n v="8"/>
    <s v="Y"/>
    <x v="0"/>
    <n v="23"/>
    <n v="4"/>
    <n v="3"/>
    <n v="80"/>
    <n v="1"/>
    <n v="7"/>
    <n v="0"/>
    <n v="3"/>
    <n v="4"/>
    <n v="2"/>
    <n v="0"/>
    <n v="2"/>
    <x v="2"/>
    <s v="Mid"/>
  </r>
  <r>
    <n v="34"/>
    <x v="1"/>
    <s v="Travel_Rarely"/>
    <n v="629"/>
    <x v="1"/>
    <n v="27"/>
    <n v="2"/>
    <s v="Medical"/>
    <n v="1"/>
    <n v="247"/>
    <n v="4"/>
    <x v="0"/>
    <n v="95"/>
    <n v="3"/>
    <n v="1"/>
    <x v="1"/>
    <n v="2"/>
    <s v="Single"/>
    <n v="2311"/>
    <n v="5711"/>
    <n v="2"/>
    <s v="Y"/>
    <x v="1"/>
    <n v="15"/>
    <n v="3"/>
    <n v="4"/>
    <n v="80"/>
    <n v="0"/>
    <n v="9"/>
    <n v="3"/>
    <n v="3"/>
    <n v="3"/>
    <n v="2"/>
    <n v="1"/>
    <n v="2"/>
    <x v="2"/>
    <s v="Low"/>
  </r>
  <r>
    <n v="41"/>
    <x v="0"/>
    <s v="Travel_Rarely"/>
    <n v="1356"/>
    <x v="0"/>
    <n v="20"/>
    <n v="2"/>
    <s v="Marketing"/>
    <n v="1"/>
    <n v="248"/>
    <n v="2"/>
    <x v="0"/>
    <n v="70"/>
    <n v="3"/>
    <n v="1"/>
    <x v="6"/>
    <n v="2"/>
    <s v="Single"/>
    <n v="3140"/>
    <n v="21728"/>
    <n v="1"/>
    <s v="Y"/>
    <x v="0"/>
    <n v="22"/>
    <n v="4"/>
    <n v="4"/>
    <n v="80"/>
    <n v="0"/>
    <n v="4"/>
    <n v="5"/>
    <n v="2"/>
    <n v="4"/>
    <n v="3"/>
    <n v="0"/>
    <n v="2"/>
    <x v="0"/>
    <s v="Mid"/>
  </r>
  <r>
    <n v="50"/>
    <x v="1"/>
    <s v="Travel_Rarely"/>
    <n v="328"/>
    <x v="1"/>
    <n v="1"/>
    <n v="3"/>
    <s v="Medical"/>
    <n v="1"/>
    <n v="249"/>
    <n v="3"/>
    <x v="1"/>
    <n v="86"/>
    <n v="2"/>
    <n v="1"/>
    <x v="2"/>
    <n v="3"/>
    <s v="Married"/>
    <n v="3690"/>
    <n v="3425"/>
    <n v="2"/>
    <s v="Y"/>
    <x v="1"/>
    <n v="15"/>
    <n v="3"/>
    <n v="4"/>
    <n v="80"/>
    <n v="1"/>
    <n v="5"/>
    <n v="2"/>
    <n v="2"/>
    <n v="3"/>
    <n v="2"/>
    <n v="0"/>
    <n v="2"/>
    <x v="1"/>
    <s v="Mid"/>
  </r>
  <r>
    <n v="53"/>
    <x v="1"/>
    <s v="Travel_Rarely"/>
    <n v="1084"/>
    <x v="1"/>
    <n v="13"/>
    <n v="2"/>
    <s v="Medical"/>
    <n v="1"/>
    <n v="250"/>
    <n v="4"/>
    <x v="0"/>
    <n v="57"/>
    <n v="4"/>
    <n v="2"/>
    <x v="3"/>
    <n v="1"/>
    <s v="Divorced"/>
    <n v="4450"/>
    <n v="26250"/>
    <n v="1"/>
    <s v="Y"/>
    <x v="1"/>
    <n v="11"/>
    <n v="3"/>
    <n v="3"/>
    <n v="80"/>
    <n v="2"/>
    <n v="5"/>
    <n v="3"/>
    <n v="3"/>
    <n v="4"/>
    <n v="2"/>
    <n v="1"/>
    <n v="3"/>
    <x v="1"/>
    <s v="Mid"/>
  </r>
  <r>
    <n v="33"/>
    <x v="1"/>
    <s v="Travel_Rarely"/>
    <n v="931"/>
    <x v="1"/>
    <n v="14"/>
    <n v="3"/>
    <s v="Medical"/>
    <n v="1"/>
    <n v="252"/>
    <n v="4"/>
    <x v="0"/>
    <n v="72"/>
    <n v="3"/>
    <n v="1"/>
    <x v="1"/>
    <n v="2"/>
    <s v="Married"/>
    <n v="2756"/>
    <n v="4673"/>
    <n v="1"/>
    <s v="Y"/>
    <x v="1"/>
    <n v="13"/>
    <n v="3"/>
    <n v="4"/>
    <n v="80"/>
    <n v="1"/>
    <n v="8"/>
    <n v="5"/>
    <n v="3"/>
    <n v="8"/>
    <n v="7"/>
    <n v="1"/>
    <n v="6"/>
    <x v="2"/>
    <s v="Low"/>
  </r>
  <r>
    <n v="40"/>
    <x v="1"/>
    <s v="Travel_Rarely"/>
    <n v="989"/>
    <x v="1"/>
    <n v="4"/>
    <n v="1"/>
    <s v="Medical"/>
    <n v="1"/>
    <n v="253"/>
    <n v="4"/>
    <x v="0"/>
    <n v="46"/>
    <n v="3"/>
    <n v="5"/>
    <x v="5"/>
    <n v="3"/>
    <s v="Married"/>
    <n v="19033"/>
    <n v="6499"/>
    <n v="1"/>
    <s v="Y"/>
    <x v="1"/>
    <n v="14"/>
    <n v="3"/>
    <n v="2"/>
    <n v="80"/>
    <n v="1"/>
    <n v="21"/>
    <n v="2"/>
    <n v="3"/>
    <n v="20"/>
    <n v="8"/>
    <n v="9"/>
    <n v="9"/>
    <x v="0"/>
    <s v="Top"/>
  </r>
  <r>
    <n v="55"/>
    <x v="1"/>
    <s v="Travel_Rarely"/>
    <n v="692"/>
    <x v="1"/>
    <n v="14"/>
    <n v="4"/>
    <s v="Medical"/>
    <n v="1"/>
    <n v="254"/>
    <n v="3"/>
    <x v="1"/>
    <n v="61"/>
    <n v="4"/>
    <n v="5"/>
    <x v="7"/>
    <n v="2"/>
    <s v="Single"/>
    <n v="18722"/>
    <n v="13339"/>
    <n v="8"/>
    <s v="Y"/>
    <x v="1"/>
    <n v="11"/>
    <n v="3"/>
    <n v="4"/>
    <n v="80"/>
    <n v="0"/>
    <n v="36"/>
    <n v="3"/>
    <n v="3"/>
    <n v="24"/>
    <n v="15"/>
    <n v="2"/>
    <n v="15"/>
    <x v="1"/>
    <s v="Top"/>
  </r>
  <r>
    <n v="34"/>
    <x v="1"/>
    <s v="Travel_Frequently"/>
    <n v="1069"/>
    <x v="1"/>
    <n v="2"/>
    <n v="1"/>
    <s v="Life Sciences"/>
    <n v="1"/>
    <n v="256"/>
    <n v="4"/>
    <x v="1"/>
    <n v="45"/>
    <n v="2"/>
    <n v="2"/>
    <x v="3"/>
    <n v="3"/>
    <s v="Married"/>
    <n v="9547"/>
    <n v="14074"/>
    <n v="1"/>
    <s v="Y"/>
    <x v="1"/>
    <n v="17"/>
    <n v="3"/>
    <n v="3"/>
    <n v="80"/>
    <n v="0"/>
    <n v="10"/>
    <n v="2"/>
    <n v="2"/>
    <n v="10"/>
    <n v="9"/>
    <n v="1"/>
    <n v="9"/>
    <x v="2"/>
    <s v="High"/>
  </r>
  <r>
    <n v="51"/>
    <x v="1"/>
    <s v="Travel_Rarely"/>
    <n v="313"/>
    <x v="1"/>
    <n v="3"/>
    <n v="3"/>
    <s v="Medical"/>
    <n v="1"/>
    <n v="258"/>
    <n v="4"/>
    <x v="0"/>
    <n v="98"/>
    <n v="3"/>
    <n v="4"/>
    <x v="4"/>
    <n v="2"/>
    <s v="Single"/>
    <n v="13734"/>
    <n v="7192"/>
    <n v="3"/>
    <s v="Y"/>
    <x v="1"/>
    <n v="18"/>
    <n v="3"/>
    <n v="3"/>
    <n v="80"/>
    <n v="0"/>
    <n v="21"/>
    <n v="6"/>
    <n v="3"/>
    <n v="7"/>
    <n v="7"/>
    <n v="1"/>
    <n v="0"/>
    <x v="1"/>
    <s v="Top"/>
  </r>
  <r>
    <n v="52"/>
    <x v="1"/>
    <s v="Travel_Rarely"/>
    <n v="699"/>
    <x v="1"/>
    <n v="1"/>
    <n v="4"/>
    <s v="Life Sciences"/>
    <n v="1"/>
    <n v="259"/>
    <n v="3"/>
    <x v="1"/>
    <n v="65"/>
    <n v="2"/>
    <n v="5"/>
    <x v="5"/>
    <n v="3"/>
    <s v="Married"/>
    <n v="19999"/>
    <n v="5678"/>
    <n v="0"/>
    <s v="Y"/>
    <x v="1"/>
    <n v="14"/>
    <n v="3"/>
    <n v="1"/>
    <n v="80"/>
    <n v="1"/>
    <n v="34"/>
    <n v="5"/>
    <n v="3"/>
    <n v="33"/>
    <n v="18"/>
    <n v="11"/>
    <n v="9"/>
    <x v="1"/>
    <s v="Top"/>
  </r>
  <r>
    <n v="27"/>
    <x v="1"/>
    <s v="Travel_Rarely"/>
    <n v="894"/>
    <x v="1"/>
    <n v="9"/>
    <n v="3"/>
    <s v="Medical"/>
    <n v="1"/>
    <n v="260"/>
    <n v="4"/>
    <x v="0"/>
    <n v="99"/>
    <n v="3"/>
    <n v="1"/>
    <x v="1"/>
    <n v="2"/>
    <s v="Single"/>
    <n v="2279"/>
    <n v="11781"/>
    <n v="1"/>
    <s v="Y"/>
    <x v="1"/>
    <n v="16"/>
    <n v="3"/>
    <n v="4"/>
    <n v="80"/>
    <n v="0"/>
    <n v="7"/>
    <n v="2"/>
    <n v="2"/>
    <n v="7"/>
    <n v="7"/>
    <n v="0"/>
    <n v="3"/>
    <x v="2"/>
    <s v="Low"/>
  </r>
  <r>
    <n v="35"/>
    <x v="0"/>
    <s v="Travel_Rarely"/>
    <n v="556"/>
    <x v="1"/>
    <n v="23"/>
    <n v="2"/>
    <s v="Life Sciences"/>
    <n v="1"/>
    <n v="261"/>
    <n v="2"/>
    <x v="1"/>
    <n v="50"/>
    <n v="2"/>
    <n v="2"/>
    <x v="3"/>
    <n v="3"/>
    <s v="Married"/>
    <n v="5916"/>
    <n v="15497"/>
    <n v="3"/>
    <s v="Y"/>
    <x v="0"/>
    <n v="13"/>
    <n v="3"/>
    <n v="1"/>
    <n v="80"/>
    <n v="0"/>
    <n v="8"/>
    <n v="1"/>
    <n v="3"/>
    <n v="1"/>
    <n v="0"/>
    <n v="0"/>
    <n v="1"/>
    <x v="2"/>
    <s v="Mid"/>
  </r>
  <r>
    <n v="43"/>
    <x v="1"/>
    <s v="Non-Travel"/>
    <n v="1344"/>
    <x v="1"/>
    <n v="7"/>
    <n v="3"/>
    <s v="Medical"/>
    <n v="1"/>
    <n v="262"/>
    <n v="4"/>
    <x v="1"/>
    <n v="37"/>
    <n v="4"/>
    <n v="1"/>
    <x v="1"/>
    <n v="4"/>
    <s v="Divorced"/>
    <n v="2089"/>
    <n v="5228"/>
    <n v="4"/>
    <s v="Y"/>
    <x v="1"/>
    <n v="14"/>
    <n v="3"/>
    <n v="4"/>
    <n v="80"/>
    <n v="3"/>
    <n v="7"/>
    <n v="3"/>
    <n v="4"/>
    <n v="5"/>
    <n v="4"/>
    <n v="2"/>
    <n v="2"/>
    <x v="0"/>
    <s v="Low"/>
  </r>
  <r>
    <n v="45"/>
    <x v="1"/>
    <s v="Non-Travel"/>
    <n v="1195"/>
    <x v="1"/>
    <n v="2"/>
    <n v="2"/>
    <s v="Medical"/>
    <n v="1"/>
    <n v="264"/>
    <n v="1"/>
    <x v="1"/>
    <n v="65"/>
    <n v="2"/>
    <n v="4"/>
    <x v="5"/>
    <n v="4"/>
    <s v="Married"/>
    <n v="16792"/>
    <n v="20462"/>
    <n v="9"/>
    <s v="Y"/>
    <x v="1"/>
    <n v="23"/>
    <n v="4"/>
    <n v="4"/>
    <n v="80"/>
    <n v="1"/>
    <n v="22"/>
    <n v="1"/>
    <n v="3"/>
    <n v="20"/>
    <n v="8"/>
    <n v="11"/>
    <n v="8"/>
    <x v="0"/>
    <s v="Top"/>
  </r>
  <r>
    <n v="37"/>
    <x v="1"/>
    <s v="Travel_Rarely"/>
    <n v="290"/>
    <x v="1"/>
    <n v="21"/>
    <n v="3"/>
    <s v="Life Sciences"/>
    <n v="1"/>
    <n v="267"/>
    <n v="2"/>
    <x v="1"/>
    <n v="65"/>
    <n v="4"/>
    <n v="1"/>
    <x v="1"/>
    <n v="1"/>
    <s v="Married"/>
    <n v="3564"/>
    <n v="22977"/>
    <n v="1"/>
    <s v="Y"/>
    <x v="0"/>
    <n v="12"/>
    <n v="3"/>
    <n v="1"/>
    <n v="80"/>
    <n v="1"/>
    <n v="8"/>
    <n v="3"/>
    <n v="2"/>
    <n v="8"/>
    <n v="7"/>
    <n v="1"/>
    <n v="7"/>
    <x v="0"/>
    <s v="Mid"/>
  </r>
  <r>
    <n v="35"/>
    <x v="1"/>
    <s v="Travel_Frequently"/>
    <n v="138"/>
    <x v="1"/>
    <n v="2"/>
    <n v="3"/>
    <s v="Medical"/>
    <n v="1"/>
    <n v="269"/>
    <n v="2"/>
    <x v="0"/>
    <n v="37"/>
    <n v="3"/>
    <n v="2"/>
    <x v="2"/>
    <n v="2"/>
    <s v="Single"/>
    <n v="4425"/>
    <n v="15986"/>
    <n v="5"/>
    <s v="Y"/>
    <x v="1"/>
    <n v="11"/>
    <n v="3"/>
    <n v="4"/>
    <n v="80"/>
    <n v="0"/>
    <n v="10"/>
    <n v="5"/>
    <n v="3"/>
    <n v="6"/>
    <n v="2"/>
    <n v="1"/>
    <n v="2"/>
    <x v="2"/>
    <s v="Mid"/>
  </r>
  <r>
    <n v="42"/>
    <x v="1"/>
    <s v="Non-Travel"/>
    <n v="926"/>
    <x v="1"/>
    <n v="21"/>
    <n v="2"/>
    <s v="Medical"/>
    <n v="1"/>
    <n v="270"/>
    <n v="3"/>
    <x v="0"/>
    <n v="36"/>
    <n v="3"/>
    <n v="2"/>
    <x v="3"/>
    <n v="3"/>
    <s v="Divorced"/>
    <n v="5265"/>
    <n v="16439"/>
    <n v="2"/>
    <s v="Y"/>
    <x v="1"/>
    <n v="16"/>
    <n v="3"/>
    <n v="2"/>
    <n v="80"/>
    <n v="1"/>
    <n v="11"/>
    <n v="5"/>
    <n v="3"/>
    <n v="5"/>
    <n v="3"/>
    <n v="0"/>
    <n v="2"/>
    <x v="0"/>
    <s v="Mid"/>
  </r>
  <r>
    <n v="38"/>
    <x v="1"/>
    <s v="Travel_Rarely"/>
    <n v="1261"/>
    <x v="1"/>
    <n v="2"/>
    <n v="4"/>
    <s v="Life Sciences"/>
    <n v="1"/>
    <n v="271"/>
    <n v="4"/>
    <x v="1"/>
    <n v="88"/>
    <n v="3"/>
    <n v="2"/>
    <x v="3"/>
    <n v="3"/>
    <s v="Married"/>
    <n v="6553"/>
    <n v="7259"/>
    <n v="9"/>
    <s v="Y"/>
    <x v="1"/>
    <n v="14"/>
    <n v="3"/>
    <n v="2"/>
    <n v="80"/>
    <n v="0"/>
    <n v="14"/>
    <n v="3"/>
    <n v="3"/>
    <n v="1"/>
    <n v="0"/>
    <n v="0"/>
    <n v="0"/>
    <x v="0"/>
    <s v="Mid"/>
  </r>
  <r>
    <n v="38"/>
    <x v="1"/>
    <s v="Travel_Rarely"/>
    <n v="1084"/>
    <x v="1"/>
    <n v="29"/>
    <n v="3"/>
    <s v="Technical Degree"/>
    <n v="1"/>
    <n v="273"/>
    <n v="4"/>
    <x v="1"/>
    <n v="54"/>
    <n v="3"/>
    <n v="2"/>
    <x v="3"/>
    <n v="4"/>
    <s v="Married"/>
    <n v="6261"/>
    <n v="4185"/>
    <n v="3"/>
    <s v="Y"/>
    <x v="1"/>
    <n v="18"/>
    <n v="3"/>
    <n v="1"/>
    <n v="80"/>
    <n v="1"/>
    <n v="9"/>
    <n v="3"/>
    <n v="1"/>
    <n v="7"/>
    <n v="7"/>
    <n v="1"/>
    <n v="7"/>
    <x v="0"/>
    <s v="Mid"/>
  </r>
  <r>
    <n v="27"/>
    <x v="1"/>
    <s v="Travel_Frequently"/>
    <n v="472"/>
    <x v="1"/>
    <n v="1"/>
    <n v="1"/>
    <s v="Technical Degree"/>
    <n v="1"/>
    <n v="274"/>
    <n v="3"/>
    <x v="1"/>
    <n v="60"/>
    <n v="2"/>
    <n v="2"/>
    <x v="3"/>
    <n v="1"/>
    <s v="Married"/>
    <n v="4298"/>
    <n v="9679"/>
    <n v="5"/>
    <s v="Y"/>
    <x v="1"/>
    <n v="19"/>
    <n v="3"/>
    <n v="3"/>
    <n v="80"/>
    <n v="1"/>
    <n v="6"/>
    <n v="1"/>
    <n v="3"/>
    <n v="2"/>
    <n v="2"/>
    <n v="2"/>
    <n v="0"/>
    <x v="2"/>
    <s v="Mid"/>
  </r>
  <r>
    <n v="49"/>
    <x v="1"/>
    <s v="Non-Travel"/>
    <n v="1002"/>
    <x v="1"/>
    <n v="18"/>
    <n v="4"/>
    <s v="Life Sciences"/>
    <n v="1"/>
    <n v="275"/>
    <n v="4"/>
    <x v="1"/>
    <n v="92"/>
    <n v="3"/>
    <n v="2"/>
    <x v="3"/>
    <n v="4"/>
    <s v="Divorced"/>
    <n v="6804"/>
    <n v="23793"/>
    <n v="1"/>
    <s v="Y"/>
    <x v="0"/>
    <n v="15"/>
    <n v="3"/>
    <n v="1"/>
    <n v="80"/>
    <n v="2"/>
    <n v="7"/>
    <n v="0"/>
    <n v="3"/>
    <n v="7"/>
    <n v="7"/>
    <n v="1"/>
    <n v="7"/>
    <x v="1"/>
    <s v="Mid"/>
  </r>
  <r>
    <n v="34"/>
    <x v="1"/>
    <s v="Travel_Frequently"/>
    <n v="878"/>
    <x v="1"/>
    <n v="10"/>
    <n v="4"/>
    <s v="Medical"/>
    <n v="1"/>
    <n v="277"/>
    <n v="4"/>
    <x v="1"/>
    <n v="43"/>
    <n v="3"/>
    <n v="1"/>
    <x v="1"/>
    <n v="3"/>
    <s v="Divorced"/>
    <n v="3815"/>
    <n v="5972"/>
    <n v="1"/>
    <s v="Y"/>
    <x v="0"/>
    <n v="17"/>
    <n v="3"/>
    <n v="4"/>
    <n v="80"/>
    <n v="1"/>
    <n v="5"/>
    <n v="4"/>
    <n v="4"/>
    <n v="5"/>
    <n v="3"/>
    <n v="2"/>
    <n v="0"/>
    <x v="2"/>
    <s v="Mid"/>
  </r>
  <r>
    <n v="40"/>
    <x v="1"/>
    <s v="Travel_Rarely"/>
    <n v="905"/>
    <x v="1"/>
    <n v="19"/>
    <n v="2"/>
    <s v="Medical"/>
    <n v="1"/>
    <n v="281"/>
    <n v="3"/>
    <x v="1"/>
    <n v="99"/>
    <n v="3"/>
    <n v="2"/>
    <x v="2"/>
    <n v="4"/>
    <s v="Married"/>
    <n v="2741"/>
    <n v="16523"/>
    <n v="8"/>
    <s v="Y"/>
    <x v="0"/>
    <n v="15"/>
    <n v="3"/>
    <n v="3"/>
    <n v="80"/>
    <n v="1"/>
    <n v="15"/>
    <n v="2"/>
    <n v="4"/>
    <n v="7"/>
    <n v="2"/>
    <n v="3"/>
    <n v="7"/>
    <x v="0"/>
    <s v="Low"/>
  </r>
  <r>
    <n v="38"/>
    <x v="0"/>
    <s v="Travel_Rarely"/>
    <n v="1180"/>
    <x v="1"/>
    <n v="29"/>
    <n v="1"/>
    <s v="Medical"/>
    <n v="1"/>
    <n v="282"/>
    <n v="2"/>
    <x v="1"/>
    <n v="70"/>
    <n v="3"/>
    <n v="2"/>
    <x v="4"/>
    <n v="1"/>
    <s v="Married"/>
    <n v="6673"/>
    <n v="11354"/>
    <n v="7"/>
    <s v="Y"/>
    <x v="0"/>
    <n v="19"/>
    <n v="3"/>
    <n v="2"/>
    <n v="80"/>
    <n v="0"/>
    <n v="17"/>
    <n v="2"/>
    <n v="3"/>
    <n v="1"/>
    <n v="0"/>
    <n v="0"/>
    <n v="0"/>
    <x v="0"/>
    <s v="Mid"/>
  </r>
  <r>
    <n v="29"/>
    <x v="0"/>
    <s v="Travel_Rarely"/>
    <n v="121"/>
    <x v="0"/>
    <n v="27"/>
    <n v="3"/>
    <s v="Marketing"/>
    <n v="1"/>
    <n v="283"/>
    <n v="2"/>
    <x v="0"/>
    <n v="35"/>
    <n v="3"/>
    <n v="3"/>
    <x v="0"/>
    <n v="4"/>
    <s v="Married"/>
    <n v="7639"/>
    <n v="24525"/>
    <n v="1"/>
    <s v="Y"/>
    <x v="1"/>
    <n v="22"/>
    <n v="4"/>
    <n v="4"/>
    <n v="80"/>
    <n v="3"/>
    <n v="10"/>
    <n v="3"/>
    <n v="2"/>
    <n v="10"/>
    <n v="4"/>
    <n v="1"/>
    <n v="9"/>
    <x v="2"/>
    <s v="High"/>
  </r>
  <r>
    <n v="22"/>
    <x v="1"/>
    <s v="Travel_Rarely"/>
    <n v="1136"/>
    <x v="1"/>
    <n v="5"/>
    <n v="3"/>
    <s v="Life Sciences"/>
    <n v="1"/>
    <n v="284"/>
    <n v="4"/>
    <x v="1"/>
    <n v="60"/>
    <n v="4"/>
    <n v="1"/>
    <x v="1"/>
    <n v="2"/>
    <s v="Divorced"/>
    <n v="2328"/>
    <n v="12392"/>
    <n v="1"/>
    <s v="Y"/>
    <x v="0"/>
    <n v="16"/>
    <n v="3"/>
    <n v="1"/>
    <n v="80"/>
    <n v="1"/>
    <n v="4"/>
    <n v="2"/>
    <n v="2"/>
    <n v="4"/>
    <n v="2"/>
    <n v="2"/>
    <n v="2"/>
    <x v="3"/>
    <s v="Low"/>
  </r>
  <r>
    <n v="36"/>
    <x v="1"/>
    <s v="Travel_Frequently"/>
    <n v="635"/>
    <x v="1"/>
    <n v="18"/>
    <n v="1"/>
    <s v="Medical"/>
    <n v="1"/>
    <n v="286"/>
    <n v="2"/>
    <x v="0"/>
    <n v="73"/>
    <n v="3"/>
    <n v="1"/>
    <x v="2"/>
    <n v="4"/>
    <s v="Single"/>
    <n v="2153"/>
    <n v="7703"/>
    <n v="1"/>
    <s v="Y"/>
    <x v="1"/>
    <n v="13"/>
    <n v="3"/>
    <n v="1"/>
    <n v="80"/>
    <n v="0"/>
    <n v="8"/>
    <n v="2"/>
    <n v="3"/>
    <n v="8"/>
    <n v="1"/>
    <n v="1"/>
    <n v="7"/>
    <x v="0"/>
    <s v="Low"/>
  </r>
  <r>
    <n v="40"/>
    <x v="1"/>
    <s v="Non-Travel"/>
    <n v="1151"/>
    <x v="1"/>
    <n v="9"/>
    <n v="5"/>
    <s v="Life Sciences"/>
    <n v="1"/>
    <n v="287"/>
    <n v="4"/>
    <x v="1"/>
    <n v="63"/>
    <n v="2"/>
    <n v="2"/>
    <x v="4"/>
    <n v="4"/>
    <s v="Married"/>
    <n v="4876"/>
    <n v="14242"/>
    <n v="9"/>
    <s v="Y"/>
    <x v="1"/>
    <n v="14"/>
    <n v="3"/>
    <n v="4"/>
    <n v="80"/>
    <n v="1"/>
    <n v="5"/>
    <n v="5"/>
    <n v="1"/>
    <n v="3"/>
    <n v="2"/>
    <n v="0"/>
    <n v="2"/>
    <x v="0"/>
    <s v="Mid"/>
  </r>
  <r>
    <n v="46"/>
    <x v="1"/>
    <s v="Travel_Rarely"/>
    <n v="644"/>
    <x v="1"/>
    <n v="1"/>
    <n v="4"/>
    <s v="Medical"/>
    <n v="1"/>
    <n v="288"/>
    <n v="4"/>
    <x v="1"/>
    <n v="97"/>
    <n v="3"/>
    <n v="3"/>
    <x v="4"/>
    <n v="1"/>
    <s v="Divorced"/>
    <n v="9396"/>
    <n v="12368"/>
    <n v="7"/>
    <s v="Y"/>
    <x v="1"/>
    <n v="16"/>
    <n v="3"/>
    <n v="3"/>
    <n v="80"/>
    <n v="1"/>
    <n v="17"/>
    <n v="3"/>
    <n v="3"/>
    <n v="4"/>
    <n v="2"/>
    <n v="0"/>
    <n v="3"/>
    <x v="1"/>
    <s v="High"/>
  </r>
  <r>
    <n v="32"/>
    <x v="0"/>
    <s v="Travel_Rarely"/>
    <n v="1045"/>
    <x v="0"/>
    <n v="4"/>
    <n v="4"/>
    <s v="Medical"/>
    <n v="1"/>
    <n v="291"/>
    <n v="4"/>
    <x v="1"/>
    <n v="32"/>
    <n v="1"/>
    <n v="3"/>
    <x v="0"/>
    <n v="4"/>
    <s v="Married"/>
    <n v="10400"/>
    <n v="25812"/>
    <n v="1"/>
    <s v="Y"/>
    <x v="1"/>
    <n v="11"/>
    <n v="3"/>
    <n v="3"/>
    <n v="80"/>
    <n v="0"/>
    <n v="14"/>
    <n v="2"/>
    <n v="2"/>
    <n v="14"/>
    <n v="8"/>
    <n v="9"/>
    <n v="8"/>
    <x v="2"/>
    <s v="High"/>
  </r>
  <r>
    <n v="30"/>
    <x v="1"/>
    <s v="Non-Travel"/>
    <n v="829"/>
    <x v="1"/>
    <n v="1"/>
    <n v="1"/>
    <s v="Life Sciences"/>
    <n v="1"/>
    <n v="292"/>
    <n v="3"/>
    <x v="1"/>
    <n v="88"/>
    <n v="2"/>
    <n v="3"/>
    <x v="3"/>
    <n v="3"/>
    <s v="Single"/>
    <n v="8474"/>
    <n v="20925"/>
    <n v="1"/>
    <s v="Y"/>
    <x v="1"/>
    <n v="22"/>
    <n v="4"/>
    <n v="3"/>
    <n v="80"/>
    <n v="0"/>
    <n v="12"/>
    <n v="2"/>
    <n v="3"/>
    <n v="11"/>
    <n v="8"/>
    <n v="5"/>
    <n v="8"/>
    <x v="2"/>
    <s v="High"/>
  </r>
  <r>
    <n v="27"/>
    <x v="1"/>
    <s v="Travel_Frequently"/>
    <n v="1242"/>
    <x v="0"/>
    <n v="20"/>
    <n v="3"/>
    <s v="Life Sciences"/>
    <n v="1"/>
    <n v="293"/>
    <n v="4"/>
    <x v="0"/>
    <n v="90"/>
    <n v="3"/>
    <n v="2"/>
    <x v="0"/>
    <n v="3"/>
    <s v="Single"/>
    <n v="9981"/>
    <n v="12916"/>
    <n v="1"/>
    <s v="Y"/>
    <x v="1"/>
    <n v="14"/>
    <n v="3"/>
    <n v="4"/>
    <n v="80"/>
    <n v="0"/>
    <n v="7"/>
    <n v="2"/>
    <n v="3"/>
    <n v="7"/>
    <n v="7"/>
    <n v="0"/>
    <n v="7"/>
    <x v="2"/>
    <s v="High"/>
  </r>
  <r>
    <n v="51"/>
    <x v="1"/>
    <s v="Travel_Rarely"/>
    <n v="1469"/>
    <x v="1"/>
    <n v="8"/>
    <n v="4"/>
    <s v="Life Sciences"/>
    <n v="1"/>
    <n v="296"/>
    <n v="2"/>
    <x v="1"/>
    <n v="81"/>
    <n v="2"/>
    <n v="3"/>
    <x v="7"/>
    <n v="2"/>
    <s v="Married"/>
    <n v="12490"/>
    <n v="15736"/>
    <n v="5"/>
    <s v="Y"/>
    <x v="1"/>
    <n v="16"/>
    <n v="3"/>
    <n v="4"/>
    <n v="80"/>
    <n v="2"/>
    <n v="16"/>
    <n v="5"/>
    <n v="1"/>
    <n v="10"/>
    <n v="9"/>
    <n v="4"/>
    <n v="7"/>
    <x v="1"/>
    <s v="Top"/>
  </r>
  <r>
    <n v="30"/>
    <x v="0"/>
    <s v="Travel_Rarely"/>
    <n v="1005"/>
    <x v="1"/>
    <n v="3"/>
    <n v="3"/>
    <s v="Technical Degree"/>
    <n v="1"/>
    <n v="297"/>
    <n v="4"/>
    <x v="0"/>
    <n v="88"/>
    <n v="3"/>
    <n v="1"/>
    <x v="1"/>
    <n v="1"/>
    <s v="Single"/>
    <n v="2657"/>
    <n v="8556"/>
    <n v="5"/>
    <s v="Y"/>
    <x v="0"/>
    <n v="11"/>
    <n v="3"/>
    <n v="3"/>
    <n v="80"/>
    <n v="0"/>
    <n v="8"/>
    <n v="5"/>
    <n v="3"/>
    <n v="5"/>
    <n v="2"/>
    <n v="0"/>
    <n v="4"/>
    <x v="2"/>
    <s v="Low"/>
  </r>
  <r>
    <n v="41"/>
    <x v="1"/>
    <s v="Travel_Rarely"/>
    <n v="896"/>
    <x v="0"/>
    <n v="6"/>
    <n v="3"/>
    <s v="Life Sciences"/>
    <n v="1"/>
    <n v="298"/>
    <n v="4"/>
    <x v="0"/>
    <n v="75"/>
    <n v="3"/>
    <n v="3"/>
    <x v="5"/>
    <n v="4"/>
    <s v="Single"/>
    <n v="13591"/>
    <n v="14674"/>
    <n v="3"/>
    <s v="Y"/>
    <x v="0"/>
    <n v="18"/>
    <n v="3"/>
    <n v="3"/>
    <n v="80"/>
    <n v="0"/>
    <n v="16"/>
    <n v="3"/>
    <n v="3"/>
    <n v="1"/>
    <n v="0"/>
    <n v="0"/>
    <n v="0"/>
    <x v="0"/>
    <s v="Top"/>
  </r>
  <r>
    <n v="30"/>
    <x v="0"/>
    <s v="Travel_Frequently"/>
    <n v="334"/>
    <x v="0"/>
    <n v="26"/>
    <n v="4"/>
    <s v="Marketing"/>
    <n v="1"/>
    <n v="299"/>
    <n v="3"/>
    <x v="0"/>
    <n v="52"/>
    <n v="2"/>
    <n v="2"/>
    <x v="0"/>
    <n v="1"/>
    <s v="Single"/>
    <n v="6696"/>
    <n v="22967"/>
    <n v="5"/>
    <s v="Y"/>
    <x v="1"/>
    <n v="15"/>
    <n v="3"/>
    <n v="3"/>
    <n v="80"/>
    <n v="0"/>
    <n v="9"/>
    <n v="5"/>
    <n v="2"/>
    <n v="6"/>
    <n v="3"/>
    <n v="0"/>
    <n v="1"/>
    <x v="2"/>
    <s v="Mid"/>
  </r>
  <r>
    <n v="29"/>
    <x v="0"/>
    <s v="Travel_Rarely"/>
    <n v="992"/>
    <x v="1"/>
    <n v="1"/>
    <n v="3"/>
    <s v="Technical Degree"/>
    <n v="1"/>
    <n v="300"/>
    <n v="3"/>
    <x v="1"/>
    <n v="85"/>
    <n v="3"/>
    <n v="1"/>
    <x v="1"/>
    <n v="3"/>
    <s v="Single"/>
    <n v="2058"/>
    <n v="19757"/>
    <n v="0"/>
    <s v="Y"/>
    <x v="1"/>
    <n v="14"/>
    <n v="3"/>
    <n v="4"/>
    <n v="80"/>
    <n v="0"/>
    <n v="7"/>
    <n v="1"/>
    <n v="2"/>
    <n v="6"/>
    <n v="2"/>
    <n v="1"/>
    <n v="5"/>
    <x v="2"/>
    <s v="Low"/>
  </r>
  <r>
    <n v="45"/>
    <x v="1"/>
    <s v="Non-Travel"/>
    <n v="1052"/>
    <x v="0"/>
    <n v="6"/>
    <n v="3"/>
    <s v="Medical"/>
    <n v="1"/>
    <n v="302"/>
    <n v="4"/>
    <x v="0"/>
    <n v="57"/>
    <n v="2"/>
    <n v="3"/>
    <x v="0"/>
    <n v="4"/>
    <s v="Single"/>
    <n v="8865"/>
    <n v="16840"/>
    <n v="6"/>
    <s v="Y"/>
    <x v="1"/>
    <n v="12"/>
    <n v="3"/>
    <n v="4"/>
    <n v="80"/>
    <n v="0"/>
    <n v="23"/>
    <n v="2"/>
    <n v="3"/>
    <n v="19"/>
    <n v="7"/>
    <n v="12"/>
    <n v="8"/>
    <x v="0"/>
    <s v="High"/>
  </r>
  <r>
    <n v="54"/>
    <x v="1"/>
    <s v="Travel_Rarely"/>
    <n v="1147"/>
    <x v="0"/>
    <n v="3"/>
    <n v="3"/>
    <s v="Marketing"/>
    <n v="1"/>
    <n v="303"/>
    <n v="4"/>
    <x v="0"/>
    <n v="52"/>
    <n v="3"/>
    <n v="2"/>
    <x v="0"/>
    <n v="1"/>
    <s v="Married"/>
    <n v="5940"/>
    <n v="17011"/>
    <n v="2"/>
    <s v="Y"/>
    <x v="1"/>
    <n v="14"/>
    <n v="3"/>
    <n v="4"/>
    <n v="80"/>
    <n v="1"/>
    <n v="16"/>
    <n v="4"/>
    <n v="3"/>
    <n v="6"/>
    <n v="2"/>
    <n v="0"/>
    <n v="5"/>
    <x v="1"/>
    <s v="Mid"/>
  </r>
  <r>
    <n v="36"/>
    <x v="1"/>
    <s v="Travel_Rarely"/>
    <n v="1396"/>
    <x v="1"/>
    <n v="5"/>
    <n v="2"/>
    <s v="Life Sciences"/>
    <n v="1"/>
    <n v="304"/>
    <n v="4"/>
    <x v="1"/>
    <n v="62"/>
    <n v="3"/>
    <n v="2"/>
    <x v="2"/>
    <n v="2"/>
    <s v="Single"/>
    <n v="5914"/>
    <n v="9945"/>
    <n v="8"/>
    <s v="Y"/>
    <x v="1"/>
    <n v="16"/>
    <n v="3"/>
    <n v="4"/>
    <n v="80"/>
    <n v="0"/>
    <n v="16"/>
    <n v="3"/>
    <n v="4"/>
    <n v="13"/>
    <n v="11"/>
    <n v="3"/>
    <n v="7"/>
    <x v="0"/>
    <s v="Mid"/>
  </r>
  <r>
    <n v="33"/>
    <x v="1"/>
    <s v="Travel_Rarely"/>
    <n v="147"/>
    <x v="1"/>
    <n v="4"/>
    <n v="4"/>
    <s v="Medical"/>
    <n v="1"/>
    <n v="305"/>
    <n v="3"/>
    <x v="0"/>
    <n v="47"/>
    <n v="2"/>
    <n v="1"/>
    <x v="1"/>
    <n v="2"/>
    <s v="Married"/>
    <n v="2622"/>
    <n v="13248"/>
    <n v="6"/>
    <s v="Y"/>
    <x v="1"/>
    <n v="21"/>
    <n v="4"/>
    <n v="4"/>
    <n v="80"/>
    <n v="0"/>
    <n v="7"/>
    <n v="3"/>
    <n v="3"/>
    <n v="3"/>
    <n v="2"/>
    <n v="1"/>
    <n v="1"/>
    <x v="2"/>
    <s v="Low"/>
  </r>
  <r>
    <n v="37"/>
    <x v="1"/>
    <s v="Travel_Frequently"/>
    <n v="663"/>
    <x v="1"/>
    <n v="11"/>
    <n v="3"/>
    <s v="Other"/>
    <n v="1"/>
    <n v="306"/>
    <n v="2"/>
    <x v="1"/>
    <n v="47"/>
    <n v="3"/>
    <n v="3"/>
    <x v="7"/>
    <n v="4"/>
    <s v="Divorced"/>
    <n v="12185"/>
    <n v="10056"/>
    <n v="1"/>
    <s v="Y"/>
    <x v="0"/>
    <n v="14"/>
    <n v="3"/>
    <n v="3"/>
    <n v="80"/>
    <n v="3"/>
    <n v="10"/>
    <n v="1"/>
    <n v="3"/>
    <n v="10"/>
    <n v="8"/>
    <n v="0"/>
    <n v="7"/>
    <x v="0"/>
    <s v="Top"/>
  </r>
  <r>
    <n v="38"/>
    <x v="1"/>
    <s v="Travel_Rarely"/>
    <n v="119"/>
    <x v="0"/>
    <n v="3"/>
    <n v="3"/>
    <s v="Life Sciences"/>
    <n v="1"/>
    <n v="307"/>
    <n v="1"/>
    <x v="1"/>
    <n v="76"/>
    <n v="3"/>
    <n v="3"/>
    <x v="0"/>
    <n v="3"/>
    <s v="Divorced"/>
    <n v="10609"/>
    <n v="9647"/>
    <n v="0"/>
    <s v="Y"/>
    <x v="1"/>
    <n v="12"/>
    <n v="3"/>
    <n v="3"/>
    <n v="80"/>
    <n v="2"/>
    <n v="17"/>
    <n v="6"/>
    <n v="2"/>
    <n v="16"/>
    <n v="10"/>
    <n v="5"/>
    <n v="13"/>
    <x v="0"/>
    <s v="High"/>
  </r>
  <r>
    <n v="31"/>
    <x v="1"/>
    <s v="Non-Travel"/>
    <n v="979"/>
    <x v="1"/>
    <n v="1"/>
    <n v="4"/>
    <s v="Medical"/>
    <n v="1"/>
    <n v="308"/>
    <n v="3"/>
    <x v="1"/>
    <n v="90"/>
    <n v="1"/>
    <n v="2"/>
    <x v="3"/>
    <n v="3"/>
    <s v="Married"/>
    <n v="4345"/>
    <n v="4381"/>
    <n v="0"/>
    <s v="Y"/>
    <x v="1"/>
    <n v="12"/>
    <n v="3"/>
    <n v="4"/>
    <n v="80"/>
    <n v="1"/>
    <n v="6"/>
    <n v="2"/>
    <n v="3"/>
    <n v="5"/>
    <n v="4"/>
    <n v="1"/>
    <n v="4"/>
    <x v="2"/>
    <s v="Mid"/>
  </r>
  <r>
    <n v="59"/>
    <x v="1"/>
    <s v="Travel_Rarely"/>
    <n v="142"/>
    <x v="1"/>
    <n v="3"/>
    <n v="3"/>
    <s v="Life Sciences"/>
    <n v="1"/>
    <n v="309"/>
    <n v="3"/>
    <x v="1"/>
    <n v="70"/>
    <n v="2"/>
    <n v="1"/>
    <x v="1"/>
    <n v="4"/>
    <s v="Married"/>
    <n v="2177"/>
    <n v="8456"/>
    <n v="3"/>
    <s v="Y"/>
    <x v="1"/>
    <n v="17"/>
    <n v="3"/>
    <n v="1"/>
    <n v="80"/>
    <n v="1"/>
    <n v="7"/>
    <n v="6"/>
    <n v="3"/>
    <n v="1"/>
    <n v="0"/>
    <n v="0"/>
    <n v="0"/>
    <x v="1"/>
    <s v="Low"/>
  </r>
  <r>
    <n v="37"/>
    <x v="1"/>
    <s v="Travel_Frequently"/>
    <n v="319"/>
    <x v="0"/>
    <n v="4"/>
    <n v="4"/>
    <s v="Marketing"/>
    <n v="1"/>
    <n v="311"/>
    <n v="1"/>
    <x v="1"/>
    <n v="41"/>
    <n v="3"/>
    <n v="1"/>
    <x v="6"/>
    <n v="4"/>
    <s v="Divorced"/>
    <n v="2793"/>
    <n v="2539"/>
    <n v="4"/>
    <s v="Y"/>
    <x v="1"/>
    <n v="17"/>
    <n v="3"/>
    <n v="3"/>
    <n v="80"/>
    <n v="1"/>
    <n v="13"/>
    <n v="2"/>
    <n v="3"/>
    <n v="9"/>
    <n v="8"/>
    <n v="5"/>
    <n v="8"/>
    <x v="0"/>
    <s v="Low"/>
  </r>
  <r>
    <n v="29"/>
    <x v="1"/>
    <s v="Travel_Frequently"/>
    <n v="1413"/>
    <x v="0"/>
    <n v="1"/>
    <n v="1"/>
    <s v="Medical"/>
    <n v="1"/>
    <n v="312"/>
    <n v="2"/>
    <x v="0"/>
    <n v="42"/>
    <n v="3"/>
    <n v="3"/>
    <x v="0"/>
    <n v="4"/>
    <s v="Married"/>
    <n v="7918"/>
    <n v="6599"/>
    <n v="1"/>
    <s v="Y"/>
    <x v="1"/>
    <n v="14"/>
    <n v="3"/>
    <n v="4"/>
    <n v="80"/>
    <n v="1"/>
    <n v="11"/>
    <n v="5"/>
    <n v="3"/>
    <n v="11"/>
    <n v="10"/>
    <n v="4"/>
    <n v="1"/>
    <x v="2"/>
    <s v="High"/>
  </r>
  <r>
    <n v="35"/>
    <x v="1"/>
    <s v="Travel_Frequently"/>
    <n v="944"/>
    <x v="0"/>
    <n v="1"/>
    <n v="3"/>
    <s v="Marketing"/>
    <n v="1"/>
    <n v="314"/>
    <n v="3"/>
    <x v="0"/>
    <n v="92"/>
    <n v="3"/>
    <n v="3"/>
    <x v="0"/>
    <n v="3"/>
    <s v="Single"/>
    <n v="8789"/>
    <n v="9096"/>
    <n v="1"/>
    <s v="Y"/>
    <x v="1"/>
    <n v="14"/>
    <n v="3"/>
    <n v="1"/>
    <n v="80"/>
    <n v="0"/>
    <n v="10"/>
    <n v="3"/>
    <n v="4"/>
    <n v="10"/>
    <n v="7"/>
    <n v="0"/>
    <n v="8"/>
    <x v="2"/>
    <s v="High"/>
  </r>
  <r>
    <n v="29"/>
    <x v="0"/>
    <s v="Travel_Rarely"/>
    <n v="896"/>
    <x v="1"/>
    <n v="18"/>
    <n v="1"/>
    <s v="Medical"/>
    <n v="1"/>
    <n v="315"/>
    <n v="3"/>
    <x v="1"/>
    <n v="86"/>
    <n v="2"/>
    <n v="1"/>
    <x v="1"/>
    <n v="4"/>
    <s v="Single"/>
    <n v="2389"/>
    <n v="14961"/>
    <n v="1"/>
    <s v="Y"/>
    <x v="0"/>
    <n v="13"/>
    <n v="3"/>
    <n v="3"/>
    <n v="80"/>
    <n v="0"/>
    <n v="4"/>
    <n v="3"/>
    <n v="2"/>
    <n v="4"/>
    <n v="3"/>
    <n v="0"/>
    <n v="1"/>
    <x v="2"/>
    <s v="Low"/>
  </r>
  <r>
    <n v="52"/>
    <x v="1"/>
    <s v="Travel_Rarely"/>
    <n v="1323"/>
    <x v="1"/>
    <n v="2"/>
    <n v="3"/>
    <s v="Life Sciences"/>
    <n v="1"/>
    <n v="316"/>
    <n v="3"/>
    <x v="0"/>
    <n v="89"/>
    <n v="2"/>
    <n v="1"/>
    <x v="2"/>
    <n v="4"/>
    <s v="Single"/>
    <n v="3212"/>
    <n v="3300"/>
    <n v="7"/>
    <s v="Y"/>
    <x v="1"/>
    <n v="15"/>
    <n v="3"/>
    <n v="2"/>
    <n v="80"/>
    <n v="0"/>
    <n v="6"/>
    <n v="3"/>
    <n v="2"/>
    <n v="2"/>
    <n v="2"/>
    <n v="2"/>
    <n v="2"/>
    <x v="1"/>
    <s v="Mid"/>
  </r>
  <r>
    <n v="42"/>
    <x v="1"/>
    <s v="Travel_Rarely"/>
    <n v="532"/>
    <x v="1"/>
    <n v="4"/>
    <n v="2"/>
    <s v="Technical Degree"/>
    <n v="1"/>
    <n v="319"/>
    <n v="3"/>
    <x v="1"/>
    <n v="58"/>
    <n v="3"/>
    <n v="5"/>
    <x v="5"/>
    <n v="4"/>
    <s v="Married"/>
    <n v="19232"/>
    <n v="4933"/>
    <n v="1"/>
    <s v="Y"/>
    <x v="1"/>
    <n v="11"/>
    <n v="3"/>
    <n v="4"/>
    <n v="80"/>
    <n v="0"/>
    <n v="22"/>
    <n v="3"/>
    <n v="3"/>
    <n v="22"/>
    <n v="17"/>
    <n v="11"/>
    <n v="15"/>
    <x v="0"/>
    <s v="Top"/>
  </r>
  <r>
    <n v="59"/>
    <x v="1"/>
    <s v="Travel_Rarely"/>
    <n v="818"/>
    <x v="2"/>
    <n v="6"/>
    <n v="2"/>
    <s v="Medical"/>
    <n v="1"/>
    <n v="321"/>
    <n v="2"/>
    <x v="1"/>
    <n v="52"/>
    <n v="3"/>
    <n v="1"/>
    <x v="8"/>
    <n v="3"/>
    <s v="Married"/>
    <n v="2267"/>
    <n v="25657"/>
    <n v="8"/>
    <s v="Y"/>
    <x v="1"/>
    <n v="17"/>
    <n v="3"/>
    <n v="4"/>
    <n v="80"/>
    <n v="0"/>
    <n v="7"/>
    <n v="2"/>
    <n v="2"/>
    <n v="2"/>
    <n v="2"/>
    <n v="2"/>
    <n v="2"/>
    <x v="1"/>
    <s v="Low"/>
  </r>
  <r>
    <n v="50"/>
    <x v="1"/>
    <s v="Travel_Rarely"/>
    <n v="854"/>
    <x v="0"/>
    <n v="1"/>
    <n v="4"/>
    <s v="Medical"/>
    <n v="1"/>
    <n v="323"/>
    <n v="4"/>
    <x v="0"/>
    <n v="68"/>
    <n v="3"/>
    <n v="5"/>
    <x v="5"/>
    <n v="4"/>
    <s v="Divorced"/>
    <n v="19517"/>
    <n v="24118"/>
    <n v="3"/>
    <s v="Y"/>
    <x v="1"/>
    <n v="11"/>
    <n v="3"/>
    <n v="3"/>
    <n v="80"/>
    <n v="1"/>
    <n v="32"/>
    <n v="3"/>
    <n v="2"/>
    <n v="7"/>
    <n v="0"/>
    <n v="0"/>
    <n v="6"/>
    <x v="1"/>
    <s v="Top"/>
  </r>
  <r>
    <n v="33"/>
    <x v="0"/>
    <s v="Travel_Rarely"/>
    <n v="813"/>
    <x v="1"/>
    <n v="14"/>
    <n v="3"/>
    <s v="Medical"/>
    <n v="1"/>
    <n v="325"/>
    <n v="3"/>
    <x v="1"/>
    <n v="58"/>
    <n v="3"/>
    <n v="1"/>
    <x v="2"/>
    <n v="4"/>
    <s v="Married"/>
    <n v="2436"/>
    <n v="22149"/>
    <n v="5"/>
    <s v="Y"/>
    <x v="0"/>
    <n v="13"/>
    <n v="3"/>
    <n v="3"/>
    <n v="80"/>
    <n v="1"/>
    <n v="8"/>
    <n v="2"/>
    <n v="1"/>
    <n v="5"/>
    <n v="4"/>
    <n v="0"/>
    <n v="4"/>
    <x v="2"/>
    <s v="Low"/>
  </r>
  <r>
    <n v="43"/>
    <x v="1"/>
    <s v="Travel_Rarely"/>
    <n v="1034"/>
    <x v="0"/>
    <n v="16"/>
    <n v="3"/>
    <s v="Marketing"/>
    <n v="1"/>
    <n v="327"/>
    <n v="4"/>
    <x v="0"/>
    <n v="80"/>
    <n v="3"/>
    <n v="4"/>
    <x v="5"/>
    <n v="4"/>
    <s v="Married"/>
    <n v="16064"/>
    <n v="7744"/>
    <n v="5"/>
    <s v="Y"/>
    <x v="0"/>
    <n v="22"/>
    <n v="4"/>
    <n v="3"/>
    <n v="80"/>
    <n v="1"/>
    <n v="22"/>
    <n v="3"/>
    <n v="3"/>
    <n v="17"/>
    <n v="13"/>
    <n v="1"/>
    <n v="9"/>
    <x v="0"/>
    <s v="Top"/>
  </r>
  <r>
    <n v="33"/>
    <x v="0"/>
    <s v="Travel_Rarely"/>
    <n v="465"/>
    <x v="1"/>
    <n v="2"/>
    <n v="2"/>
    <s v="Life Sciences"/>
    <n v="1"/>
    <n v="328"/>
    <n v="1"/>
    <x v="0"/>
    <n v="39"/>
    <n v="3"/>
    <n v="1"/>
    <x v="2"/>
    <n v="1"/>
    <s v="Married"/>
    <n v="2707"/>
    <n v="21509"/>
    <n v="7"/>
    <s v="Y"/>
    <x v="1"/>
    <n v="20"/>
    <n v="4"/>
    <n v="1"/>
    <n v="80"/>
    <n v="0"/>
    <n v="13"/>
    <n v="3"/>
    <n v="4"/>
    <n v="9"/>
    <n v="7"/>
    <n v="1"/>
    <n v="7"/>
    <x v="2"/>
    <s v="Low"/>
  </r>
  <r>
    <n v="52"/>
    <x v="1"/>
    <s v="Non-Travel"/>
    <n v="771"/>
    <x v="0"/>
    <n v="2"/>
    <n v="4"/>
    <s v="Life Sciences"/>
    <n v="1"/>
    <n v="329"/>
    <n v="1"/>
    <x v="1"/>
    <n v="79"/>
    <n v="2"/>
    <n v="5"/>
    <x v="5"/>
    <n v="3"/>
    <s v="Single"/>
    <n v="19068"/>
    <n v="21030"/>
    <n v="1"/>
    <s v="Y"/>
    <x v="0"/>
    <n v="18"/>
    <n v="3"/>
    <n v="4"/>
    <n v="80"/>
    <n v="0"/>
    <n v="33"/>
    <n v="2"/>
    <n v="4"/>
    <n v="33"/>
    <n v="7"/>
    <n v="15"/>
    <n v="12"/>
    <x v="1"/>
    <s v="Top"/>
  </r>
  <r>
    <n v="32"/>
    <x v="1"/>
    <s v="Travel_Rarely"/>
    <n v="1401"/>
    <x v="0"/>
    <n v="4"/>
    <n v="2"/>
    <s v="Life Sciences"/>
    <n v="1"/>
    <n v="330"/>
    <n v="3"/>
    <x v="0"/>
    <n v="56"/>
    <n v="3"/>
    <n v="1"/>
    <x v="6"/>
    <n v="2"/>
    <s v="Married"/>
    <n v="3931"/>
    <n v="20990"/>
    <n v="2"/>
    <s v="Y"/>
    <x v="1"/>
    <n v="11"/>
    <n v="3"/>
    <n v="1"/>
    <n v="80"/>
    <n v="1"/>
    <n v="6"/>
    <n v="5"/>
    <n v="3"/>
    <n v="4"/>
    <n v="3"/>
    <n v="1"/>
    <n v="2"/>
    <x v="2"/>
    <s v="Mid"/>
  </r>
  <r>
    <n v="32"/>
    <x v="0"/>
    <s v="Travel_Rarely"/>
    <n v="515"/>
    <x v="1"/>
    <n v="1"/>
    <n v="3"/>
    <s v="Life Sciences"/>
    <n v="1"/>
    <n v="331"/>
    <n v="4"/>
    <x v="1"/>
    <n v="62"/>
    <n v="2"/>
    <n v="1"/>
    <x v="2"/>
    <n v="3"/>
    <s v="Single"/>
    <n v="3730"/>
    <n v="9571"/>
    <n v="0"/>
    <s v="Y"/>
    <x v="0"/>
    <n v="14"/>
    <n v="3"/>
    <n v="4"/>
    <n v="80"/>
    <n v="0"/>
    <n v="4"/>
    <n v="2"/>
    <n v="1"/>
    <n v="3"/>
    <n v="2"/>
    <n v="1"/>
    <n v="2"/>
    <x v="2"/>
    <s v="Mid"/>
  </r>
  <r>
    <n v="39"/>
    <x v="1"/>
    <s v="Travel_Rarely"/>
    <n v="1431"/>
    <x v="1"/>
    <n v="1"/>
    <n v="4"/>
    <s v="Medical"/>
    <n v="1"/>
    <n v="332"/>
    <n v="3"/>
    <x v="0"/>
    <n v="96"/>
    <n v="3"/>
    <n v="1"/>
    <x v="2"/>
    <n v="3"/>
    <s v="Divorced"/>
    <n v="2232"/>
    <n v="15417"/>
    <n v="7"/>
    <s v="Y"/>
    <x v="1"/>
    <n v="14"/>
    <n v="3"/>
    <n v="3"/>
    <n v="80"/>
    <n v="3"/>
    <n v="7"/>
    <n v="1"/>
    <n v="3"/>
    <n v="3"/>
    <n v="2"/>
    <n v="1"/>
    <n v="2"/>
    <x v="0"/>
    <s v="Low"/>
  </r>
  <r>
    <n v="32"/>
    <x v="1"/>
    <s v="Non-Travel"/>
    <n v="976"/>
    <x v="0"/>
    <n v="26"/>
    <n v="4"/>
    <s v="Marketing"/>
    <n v="1"/>
    <n v="333"/>
    <n v="3"/>
    <x v="1"/>
    <n v="100"/>
    <n v="3"/>
    <n v="2"/>
    <x v="0"/>
    <n v="4"/>
    <s v="Married"/>
    <n v="4465"/>
    <n v="12069"/>
    <n v="0"/>
    <s v="Y"/>
    <x v="1"/>
    <n v="18"/>
    <n v="3"/>
    <n v="1"/>
    <n v="80"/>
    <n v="0"/>
    <n v="4"/>
    <n v="2"/>
    <n v="3"/>
    <n v="3"/>
    <n v="2"/>
    <n v="2"/>
    <n v="2"/>
    <x v="2"/>
    <s v="Mid"/>
  </r>
  <r>
    <n v="41"/>
    <x v="1"/>
    <s v="Travel_Rarely"/>
    <n v="1411"/>
    <x v="1"/>
    <n v="19"/>
    <n v="2"/>
    <s v="Life Sciences"/>
    <n v="1"/>
    <n v="334"/>
    <n v="3"/>
    <x v="1"/>
    <n v="36"/>
    <n v="3"/>
    <n v="2"/>
    <x v="1"/>
    <n v="1"/>
    <s v="Divorced"/>
    <n v="3072"/>
    <n v="19877"/>
    <n v="2"/>
    <s v="Y"/>
    <x v="1"/>
    <n v="16"/>
    <n v="3"/>
    <n v="1"/>
    <n v="80"/>
    <n v="2"/>
    <n v="17"/>
    <n v="2"/>
    <n v="2"/>
    <n v="1"/>
    <n v="0"/>
    <n v="0"/>
    <n v="0"/>
    <x v="0"/>
    <s v="Mid"/>
  </r>
  <r>
    <n v="40"/>
    <x v="1"/>
    <s v="Travel_Rarely"/>
    <n v="1300"/>
    <x v="1"/>
    <n v="24"/>
    <n v="2"/>
    <s v="Technical Degree"/>
    <n v="1"/>
    <n v="335"/>
    <n v="1"/>
    <x v="1"/>
    <n v="62"/>
    <n v="3"/>
    <n v="2"/>
    <x v="1"/>
    <n v="4"/>
    <s v="Divorced"/>
    <n v="3319"/>
    <n v="24447"/>
    <n v="1"/>
    <s v="Y"/>
    <x v="1"/>
    <n v="17"/>
    <n v="3"/>
    <n v="1"/>
    <n v="80"/>
    <n v="2"/>
    <n v="9"/>
    <n v="3"/>
    <n v="3"/>
    <n v="9"/>
    <n v="8"/>
    <n v="4"/>
    <n v="7"/>
    <x v="0"/>
    <s v="Mid"/>
  </r>
  <r>
    <n v="45"/>
    <x v="1"/>
    <s v="Travel_Rarely"/>
    <n v="252"/>
    <x v="1"/>
    <n v="1"/>
    <n v="3"/>
    <s v="Other"/>
    <n v="1"/>
    <n v="336"/>
    <n v="3"/>
    <x v="1"/>
    <n v="70"/>
    <n v="4"/>
    <n v="5"/>
    <x v="5"/>
    <n v="4"/>
    <s v="Married"/>
    <n v="19202"/>
    <n v="15970"/>
    <n v="0"/>
    <s v="Y"/>
    <x v="1"/>
    <n v="11"/>
    <n v="3"/>
    <n v="3"/>
    <n v="80"/>
    <n v="1"/>
    <n v="25"/>
    <n v="2"/>
    <n v="3"/>
    <n v="24"/>
    <n v="0"/>
    <n v="1"/>
    <n v="7"/>
    <x v="0"/>
    <s v="Top"/>
  </r>
  <r>
    <n v="31"/>
    <x v="1"/>
    <s v="Travel_Frequently"/>
    <n v="1327"/>
    <x v="1"/>
    <n v="3"/>
    <n v="4"/>
    <s v="Medical"/>
    <n v="1"/>
    <n v="337"/>
    <n v="2"/>
    <x v="1"/>
    <n v="73"/>
    <n v="3"/>
    <n v="3"/>
    <x v="7"/>
    <n v="3"/>
    <s v="Divorced"/>
    <n v="13675"/>
    <n v="13523"/>
    <n v="9"/>
    <s v="Y"/>
    <x v="1"/>
    <n v="12"/>
    <n v="3"/>
    <n v="1"/>
    <n v="80"/>
    <n v="1"/>
    <n v="9"/>
    <n v="3"/>
    <n v="3"/>
    <n v="2"/>
    <n v="2"/>
    <n v="2"/>
    <n v="2"/>
    <x v="2"/>
    <s v="Top"/>
  </r>
  <r>
    <n v="33"/>
    <x v="1"/>
    <s v="Travel_Rarely"/>
    <n v="832"/>
    <x v="1"/>
    <n v="5"/>
    <n v="4"/>
    <s v="Life Sciences"/>
    <n v="1"/>
    <n v="338"/>
    <n v="3"/>
    <x v="0"/>
    <n v="63"/>
    <n v="2"/>
    <n v="1"/>
    <x v="1"/>
    <n v="4"/>
    <s v="Married"/>
    <n v="2911"/>
    <n v="14776"/>
    <n v="1"/>
    <s v="Y"/>
    <x v="1"/>
    <n v="13"/>
    <n v="3"/>
    <n v="3"/>
    <n v="80"/>
    <n v="1"/>
    <n v="2"/>
    <n v="2"/>
    <n v="2"/>
    <n v="2"/>
    <n v="2"/>
    <n v="0"/>
    <n v="2"/>
    <x v="2"/>
    <s v="Low"/>
  </r>
  <r>
    <n v="34"/>
    <x v="1"/>
    <s v="Travel_Rarely"/>
    <n v="470"/>
    <x v="1"/>
    <n v="2"/>
    <n v="4"/>
    <s v="Life Sciences"/>
    <n v="1"/>
    <n v="339"/>
    <n v="4"/>
    <x v="1"/>
    <n v="84"/>
    <n v="2"/>
    <n v="2"/>
    <x v="3"/>
    <n v="1"/>
    <s v="Married"/>
    <n v="5957"/>
    <n v="23687"/>
    <n v="6"/>
    <s v="Y"/>
    <x v="1"/>
    <n v="13"/>
    <n v="3"/>
    <n v="2"/>
    <n v="80"/>
    <n v="1"/>
    <n v="13"/>
    <n v="3"/>
    <n v="3"/>
    <n v="11"/>
    <n v="9"/>
    <n v="5"/>
    <n v="9"/>
    <x v="2"/>
    <s v="Mid"/>
  </r>
  <r>
    <n v="37"/>
    <x v="1"/>
    <s v="Travel_Rarely"/>
    <n v="1017"/>
    <x v="1"/>
    <n v="1"/>
    <n v="2"/>
    <s v="Medical"/>
    <n v="1"/>
    <n v="340"/>
    <n v="3"/>
    <x v="0"/>
    <n v="83"/>
    <n v="2"/>
    <n v="1"/>
    <x v="1"/>
    <n v="1"/>
    <s v="Married"/>
    <n v="3920"/>
    <n v="18697"/>
    <n v="2"/>
    <s v="Y"/>
    <x v="1"/>
    <n v="14"/>
    <n v="3"/>
    <n v="1"/>
    <n v="80"/>
    <n v="1"/>
    <n v="17"/>
    <n v="2"/>
    <n v="2"/>
    <n v="3"/>
    <n v="1"/>
    <n v="0"/>
    <n v="2"/>
    <x v="0"/>
    <s v="Mid"/>
  </r>
  <r>
    <n v="45"/>
    <x v="1"/>
    <s v="Travel_Frequently"/>
    <n v="1199"/>
    <x v="1"/>
    <n v="7"/>
    <n v="4"/>
    <s v="Life Sciences"/>
    <n v="1"/>
    <n v="341"/>
    <n v="1"/>
    <x v="1"/>
    <n v="77"/>
    <n v="4"/>
    <n v="2"/>
    <x v="3"/>
    <n v="3"/>
    <s v="Married"/>
    <n v="6434"/>
    <n v="5118"/>
    <n v="4"/>
    <s v="Y"/>
    <x v="1"/>
    <n v="17"/>
    <n v="3"/>
    <n v="4"/>
    <n v="80"/>
    <n v="1"/>
    <n v="9"/>
    <n v="1"/>
    <n v="3"/>
    <n v="3"/>
    <n v="2"/>
    <n v="0"/>
    <n v="2"/>
    <x v="0"/>
    <s v="Mid"/>
  </r>
  <r>
    <n v="37"/>
    <x v="0"/>
    <s v="Travel_Frequently"/>
    <n v="504"/>
    <x v="1"/>
    <n v="10"/>
    <n v="3"/>
    <s v="Medical"/>
    <n v="1"/>
    <n v="342"/>
    <n v="1"/>
    <x v="1"/>
    <n v="61"/>
    <n v="3"/>
    <n v="3"/>
    <x v="3"/>
    <n v="3"/>
    <s v="Divorced"/>
    <n v="10048"/>
    <n v="22573"/>
    <n v="6"/>
    <s v="Y"/>
    <x v="1"/>
    <n v="11"/>
    <n v="3"/>
    <n v="2"/>
    <n v="80"/>
    <n v="2"/>
    <n v="17"/>
    <n v="5"/>
    <n v="3"/>
    <n v="1"/>
    <n v="0"/>
    <n v="0"/>
    <n v="0"/>
    <x v="0"/>
    <s v="High"/>
  </r>
  <r>
    <n v="39"/>
    <x v="1"/>
    <s v="Travel_Frequently"/>
    <n v="505"/>
    <x v="1"/>
    <n v="2"/>
    <n v="4"/>
    <s v="Technical Degree"/>
    <n v="1"/>
    <n v="343"/>
    <n v="3"/>
    <x v="0"/>
    <n v="64"/>
    <n v="3"/>
    <n v="3"/>
    <x v="4"/>
    <n v="3"/>
    <s v="Single"/>
    <n v="10938"/>
    <n v="6420"/>
    <n v="0"/>
    <s v="Y"/>
    <x v="1"/>
    <n v="25"/>
    <n v="4"/>
    <n v="4"/>
    <n v="80"/>
    <n v="0"/>
    <n v="20"/>
    <n v="1"/>
    <n v="3"/>
    <n v="19"/>
    <n v="6"/>
    <n v="11"/>
    <n v="8"/>
    <x v="0"/>
    <s v="High"/>
  </r>
  <r>
    <n v="29"/>
    <x v="1"/>
    <s v="Travel_Rarely"/>
    <n v="665"/>
    <x v="1"/>
    <n v="15"/>
    <n v="3"/>
    <s v="Life Sciences"/>
    <n v="1"/>
    <n v="346"/>
    <n v="3"/>
    <x v="1"/>
    <n v="60"/>
    <n v="3"/>
    <n v="1"/>
    <x v="1"/>
    <n v="4"/>
    <s v="Single"/>
    <n v="2340"/>
    <n v="22673"/>
    <n v="1"/>
    <s v="Y"/>
    <x v="1"/>
    <n v="19"/>
    <n v="3"/>
    <n v="1"/>
    <n v="80"/>
    <n v="0"/>
    <n v="6"/>
    <n v="1"/>
    <n v="3"/>
    <n v="6"/>
    <n v="5"/>
    <n v="1"/>
    <n v="5"/>
    <x v="2"/>
    <s v="Low"/>
  </r>
  <r>
    <n v="42"/>
    <x v="1"/>
    <s v="Travel_Rarely"/>
    <n v="916"/>
    <x v="1"/>
    <n v="17"/>
    <n v="2"/>
    <s v="Life Sciences"/>
    <n v="1"/>
    <n v="347"/>
    <n v="4"/>
    <x v="0"/>
    <n v="82"/>
    <n v="4"/>
    <n v="2"/>
    <x v="1"/>
    <n v="1"/>
    <s v="Single"/>
    <n v="6545"/>
    <n v="23016"/>
    <n v="3"/>
    <s v="Y"/>
    <x v="0"/>
    <n v="13"/>
    <n v="3"/>
    <n v="3"/>
    <n v="80"/>
    <n v="0"/>
    <n v="10"/>
    <n v="1"/>
    <n v="3"/>
    <n v="3"/>
    <n v="2"/>
    <n v="0"/>
    <n v="2"/>
    <x v="0"/>
    <s v="Mid"/>
  </r>
  <r>
    <n v="29"/>
    <x v="1"/>
    <s v="Travel_Rarely"/>
    <n v="1247"/>
    <x v="0"/>
    <n v="20"/>
    <n v="2"/>
    <s v="Marketing"/>
    <n v="1"/>
    <n v="349"/>
    <n v="4"/>
    <x v="1"/>
    <n v="45"/>
    <n v="3"/>
    <n v="2"/>
    <x v="0"/>
    <n v="4"/>
    <s v="Divorced"/>
    <n v="6931"/>
    <n v="10732"/>
    <n v="2"/>
    <s v="Y"/>
    <x v="1"/>
    <n v="14"/>
    <n v="3"/>
    <n v="4"/>
    <n v="80"/>
    <n v="1"/>
    <n v="10"/>
    <n v="2"/>
    <n v="3"/>
    <n v="3"/>
    <n v="2"/>
    <n v="0"/>
    <n v="2"/>
    <x v="2"/>
    <s v="Mid"/>
  </r>
  <r>
    <n v="25"/>
    <x v="1"/>
    <s v="Travel_Rarely"/>
    <n v="685"/>
    <x v="1"/>
    <n v="1"/>
    <n v="3"/>
    <s v="Life Sciences"/>
    <n v="1"/>
    <n v="350"/>
    <n v="1"/>
    <x v="0"/>
    <n v="62"/>
    <n v="3"/>
    <n v="2"/>
    <x v="3"/>
    <n v="3"/>
    <s v="Married"/>
    <n v="4898"/>
    <n v="7505"/>
    <n v="0"/>
    <s v="Y"/>
    <x v="1"/>
    <n v="12"/>
    <n v="3"/>
    <n v="4"/>
    <n v="80"/>
    <n v="2"/>
    <n v="5"/>
    <n v="3"/>
    <n v="3"/>
    <n v="4"/>
    <n v="2"/>
    <n v="1"/>
    <n v="2"/>
    <x v="3"/>
    <s v="Mid"/>
  </r>
  <r>
    <n v="42"/>
    <x v="1"/>
    <s v="Travel_Rarely"/>
    <n v="269"/>
    <x v="1"/>
    <n v="2"/>
    <n v="3"/>
    <s v="Medical"/>
    <n v="1"/>
    <n v="351"/>
    <n v="4"/>
    <x v="0"/>
    <n v="56"/>
    <n v="2"/>
    <n v="1"/>
    <x v="2"/>
    <n v="1"/>
    <s v="Divorced"/>
    <n v="2593"/>
    <n v="8007"/>
    <n v="0"/>
    <s v="Y"/>
    <x v="0"/>
    <n v="11"/>
    <n v="3"/>
    <n v="3"/>
    <n v="80"/>
    <n v="1"/>
    <n v="10"/>
    <n v="4"/>
    <n v="3"/>
    <n v="9"/>
    <n v="6"/>
    <n v="7"/>
    <n v="8"/>
    <x v="0"/>
    <s v="Low"/>
  </r>
  <r>
    <n v="40"/>
    <x v="1"/>
    <s v="Travel_Rarely"/>
    <n v="1416"/>
    <x v="1"/>
    <n v="2"/>
    <n v="2"/>
    <s v="Medical"/>
    <n v="1"/>
    <n v="352"/>
    <n v="1"/>
    <x v="1"/>
    <n v="49"/>
    <n v="3"/>
    <n v="5"/>
    <x v="7"/>
    <n v="3"/>
    <s v="Divorced"/>
    <n v="19436"/>
    <n v="5949"/>
    <n v="0"/>
    <s v="Y"/>
    <x v="1"/>
    <n v="19"/>
    <n v="3"/>
    <n v="4"/>
    <n v="80"/>
    <n v="1"/>
    <n v="22"/>
    <n v="5"/>
    <n v="3"/>
    <n v="21"/>
    <n v="7"/>
    <n v="3"/>
    <n v="9"/>
    <x v="0"/>
    <s v="Top"/>
  </r>
  <r>
    <n v="51"/>
    <x v="1"/>
    <s v="Travel_Rarely"/>
    <n v="833"/>
    <x v="1"/>
    <n v="1"/>
    <n v="3"/>
    <s v="Life Sciences"/>
    <n v="1"/>
    <n v="353"/>
    <n v="3"/>
    <x v="1"/>
    <n v="96"/>
    <n v="3"/>
    <n v="1"/>
    <x v="1"/>
    <n v="4"/>
    <s v="Married"/>
    <n v="2723"/>
    <n v="23231"/>
    <n v="1"/>
    <s v="Y"/>
    <x v="1"/>
    <n v="11"/>
    <n v="3"/>
    <n v="2"/>
    <n v="80"/>
    <n v="0"/>
    <n v="1"/>
    <n v="0"/>
    <n v="2"/>
    <n v="1"/>
    <n v="0"/>
    <n v="0"/>
    <n v="0"/>
    <x v="1"/>
    <s v="Low"/>
  </r>
  <r>
    <n v="31"/>
    <x v="0"/>
    <s v="Travel_Frequently"/>
    <n v="307"/>
    <x v="1"/>
    <n v="29"/>
    <n v="2"/>
    <s v="Medical"/>
    <n v="1"/>
    <n v="355"/>
    <n v="3"/>
    <x v="1"/>
    <n v="71"/>
    <n v="2"/>
    <n v="1"/>
    <x v="2"/>
    <n v="2"/>
    <s v="Single"/>
    <n v="3479"/>
    <n v="11652"/>
    <n v="0"/>
    <s v="Y"/>
    <x v="1"/>
    <n v="11"/>
    <n v="3"/>
    <n v="2"/>
    <n v="80"/>
    <n v="0"/>
    <n v="6"/>
    <n v="2"/>
    <n v="4"/>
    <n v="5"/>
    <n v="4"/>
    <n v="1"/>
    <n v="4"/>
    <x v="2"/>
    <s v="Mid"/>
  </r>
  <r>
    <n v="32"/>
    <x v="1"/>
    <s v="Travel_Frequently"/>
    <n v="1311"/>
    <x v="1"/>
    <n v="7"/>
    <n v="3"/>
    <s v="Life Sciences"/>
    <n v="1"/>
    <n v="359"/>
    <n v="2"/>
    <x v="1"/>
    <n v="100"/>
    <n v="4"/>
    <n v="1"/>
    <x v="2"/>
    <n v="2"/>
    <s v="Married"/>
    <n v="2794"/>
    <n v="26062"/>
    <n v="1"/>
    <s v="Y"/>
    <x v="1"/>
    <n v="20"/>
    <n v="4"/>
    <n v="3"/>
    <n v="80"/>
    <n v="0"/>
    <n v="5"/>
    <n v="3"/>
    <n v="1"/>
    <n v="5"/>
    <n v="1"/>
    <n v="0"/>
    <n v="3"/>
    <x v="2"/>
    <s v="Low"/>
  </r>
  <r>
    <n v="38"/>
    <x v="1"/>
    <s v="Non-Travel"/>
    <n v="1327"/>
    <x v="0"/>
    <n v="2"/>
    <n v="2"/>
    <s v="Life Sciences"/>
    <n v="1"/>
    <n v="361"/>
    <n v="4"/>
    <x v="1"/>
    <n v="39"/>
    <n v="2"/>
    <n v="2"/>
    <x v="0"/>
    <n v="4"/>
    <s v="Married"/>
    <n v="5249"/>
    <n v="19682"/>
    <n v="3"/>
    <s v="Y"/>
    <x v="1"/>
    <n v="18"/>
    <n v="3"/>
    <n v="4"/>
    <n v="80"/>
    <n v="1"/>
    <n v="13"/>
    <n v="0"/>
    <n v="3"/>
    <n v="8"/>
    <n v="7"/>
    <n v="7"/>
    <n v="5"/>
    <x v="0"/>
    <s v="Mid"/>
  </r>
  <r>
    <n v="32"/>
    <x v="1"/>
    <s v="Travel_Rarely"/>
    <n v="128"/>
    <x v="1"/>
    <n v="2"/>
    <n v="1"/>
    <s v="Technical Degree"/>
    <n v="1"/>
    <n v="362"/>
    <n v="4"/>
    <x v="1"/>
    <n v="84"/>
    <n v="2"/>
    <n v="2"/>
    <x v="2"/>
    <n v="1"/>
    <s v="Single"/>
    <n v="2176"/>
    <n v="19737"/>
    <n v="4"/>
    <s v="Y"/>
    <x v="1"/>
    <n v="13"/>
    <n v="3"/>
    <n v="4"/>
    <n v="80"/>
    <n v="0"/>
    <n v="9"/>
    <n v="5"/>
    <n v="3"/>
    <n v="6"/>
    <n v="2"/>
    <n v="0"/>
    <n v="4"/>
    <x v="2"/>
    <s v="Low"/>
  </r>
  <r>
    <n v="46"/>
    <x v="1"/>
    <s v="Travel_Rarely"/>
    <n v="488"/>
    <x v="0"/>
    <n v="2"/>
    <n v="3"/>
    <s v="Technical Degree"/>
    <n v="1"/>
    <n v="363"/>
    <n v="3"/>
    <x v="0"/>
    <n v="75"/>
    <n v="1"/>
    <n v="4"/>
    <x v="5"/>
    <n v="2"/>
    <s v="Married"/>
    <n v="16872"/>
    <n v="14977"/>
    <n v="3"/>
    <s v="Y"/>
    <x v="0"/>
    <n v="12"/>
    <n v="3"/>
    <n v="2"/>
    <n v="80"/>
    <n v="1"/>
    <n v="28"/>
    <n v="2"/>
    <n v="2"/>
    <n v="7"/>
    <n v="7"/>
    <n v="7"/>
    <n v="7"/>
    <x v="1"/>
    <s v="Top"/>
  </r>
  <r>
    <n v="28"/>
    <x v="0"/>
    <s v="Travel_Rarely"/>
    <n v="529"/>
    <x v="1"/>
    <n v="2"/>
    <n v="4"/>
    <s v="Life Sciences"/>
    <n v="1"/>
    <n v="364"/>
    <n v="1"/>
    <x v="1"/>
    <n v="79"/>
    <n v="3"/>
    <n v="1"/>
    <x v="2"/>
    <n v="3"/>
    <s v="Single"/>
    <n v="3485"/>
    <n v="14935"/>
    <n v="2"/>
    <s v="Y"/>
    <x v="1"/>
    <n v="11"/>
    <n v="3"/>
    <n v="3"/>
    <n v="80"/>
    <n v="0"/>
    <n v="5"/>
    <n v="5"/>
    <n v="1"/>
    <n v="0"/>
    <n v="0"/>
    <n v="0"/>
    <n v="0"/>
    <x v="2"/>
    <s v="Mid"/>
  </r>
  <r>
    <n v="29"/>
    <x v="1"/>
    <s v="Travel_Rarely"/>
    <n v="1210"/>
    <x v="0"/>
    <n v="2"/>
    <n v="3"/>
    <s v="Medical"/>
    <n v="1"/>
    <n v="366"/>
    <n v="1"/>
    <x v="1"/>
    <n v="78"/>
    <n v="2"/>
    <n v="2"/>
    <x v="0"/>
    <n v="2"/>
    <s v="Married"/>
    <n v="6644"/>
    <n v="3687"/>
    <n v="2"/>
    <s v="Y"/>
    <x v="1"/>
    <n v="19"/>
    <n v="3"/>
    <n v="2"/>
    <n v="80"/>
    <n v="2"/>
    <n v="10"/>
    <n v="2"/>
    <n v="3"/>
    <n v="0"/>
    <n v="0"/>
    <n v="0"/>
    <n v="0"/>
    <x v="2"/>
    <s v="Mid"/>
  </r>
  <r>
    <n v="31"/>
    <x v="1"/>
    <s v="Travel_Rarely"/>
    <n v="1463"/>
    <x v="1"/>
    <n v="23"/>
    <n v="3"/>
    <s v="Medical"/>
    <n v="1"/>
    <n v="367"/>
    <n v="2"/>
    <x v="1"/>
    <n v="64"/>
    <n v="2"/>
    <n v="2"/>
    <x v="4"/>
    <n v="4"/>
    <s v="Married"/>
    <n v="5582"/>
    <n v="14408"/>
    <n v="0"/>
    <s v="Y"/>
    <x v="1"/>
    <n v="21"/>
    <n v="4"/>
    <n v="2"/>
    <n v="80"/>
    <n v="1"/>
    <n v="10"/>
    <n v="2"/>
    <n v="3"/>
    <n v="9"/>
    <n v="0"/>
    <n v="7"/>
    <n v="8"/>
    <x v="2"/>
    <s v="Mid"/>
  </r>
  <r>
    <n v="25"/>
    <x v="1"/>
    <s v="Non-Travel"/>
    <n v="675"/>
    <x v="1"/>
    <n v="5"/>
    <n v="2"/>
    <s v="Life Sciences"/>
    <n v="1"/>
    <n v="369"/>
    <n v="2"/>
    <x v="1"/>
    <n v="85"/>
    <n v="4"/>
    <n v="2"/>
    <x v="4"/>
    <n v="1"/>
    <s v="Divorced"/>
    <n v="4000"/>
    <n v="18384"/>
    <n v="1"/>
    <s v="Y"/>
    <x v="1"/>
    <n v="12"/>
    <n v="3"/>
    <n v="4"/>
    <n v="80"/>
    <n v="2"/>
    <n v="6"/>
    <n v="2"/>
    <n v="3"/>
    <n v="6"/>
    <n v="3"/>
    <n v="1"/>
    <n v="5"/>
    <x v="3"/>
    <s v="Mid"/>
  </r>
  <r>
    <n v="45"/>
    <x v="1"/>
    <s v="Travel_Rarely"/>
    <n v="1385"/>
    <x v="1"/>
    <n v="20"/>
    <n v="2"/>
    <s v="Medical"/>
    <n v="1"/>
    <n v="372"/>
    <n v="3"/>
    <x v="1"/>
    <n v="79"/>
    <n v="3"/>
    <n v="4"/>
    <x v="4"/>
    <n v="4"/>
    <s v="Married"/>
    <n v="13496"/>
    <n v="7501"/>
    <n v="0"/>
    <s v="Y"/>
    <x v="0"/>
    <n v="14"/>
    <n v="3"/>
    <n v="2"/>
    <n v="80"/>
    <n v="0"/>
    <n v="21"/>
    <n v="2"/>
    <n v="3"/>
    <n v="20"/>
    <n v="7"/>
    <n v="4"/>
    <n v="10"/>
    <x v="0"/>
    <s v="Top"/>
  </r>
  <r>
    <n v="36"/>
    <x v="1"/>
    <s v="Travel_Rarely"/>
    <n v="1403"/>
    <x v="1"/>
    <n v="6"/>
    <n v="3"/>
    <s v="Life Sciences"/>
    <n v="1"/>
    <n v="373"/>
    <n v="4"/>
    <x v="1"/>
    <n v="47"/>
    <n v="3"/>
    <n v="1"/>
    <x v="2"/>
    <n v="4"/>
    <s v="Married"/>
    <n v="3210"/>
    <n v="20251"/>
    <n v="0"/>
    <s v="Y"/>
    <x v="1"/>
    <n v="11"/>
    <n v="3"/>
    <n v="3"/>
    <n v="80"/>
    <n v="1"/>
    <n v="16"/>
    <n v="4"/>
    <n v="3"/>
    <n v="15"/>
    <n v="13"/>
    <n v="10"/>
    <n v="11"/>
    <x v="0"/>
    <s v="Mid"/>
  </r>
  <r>
    <n v="55"/>
    <x v="1"/>
    <s v="Travel_Rarely"/>
    <n v="452"/>
    <x v="1"/>
    <n v="1"/>
    <n v="3"/>
    <s v="Medical"/>
    <n v="1"/>
    <n v="374"/>
    <n v="4"/>
    <x v="1"/>
    <n v="81"/>
    <n v="3"/>
    <n v="5"/>
    <x v="5"/>
    <n v="1"/>
    <s v="Single"/>
    <n v="19045"/>
    <n v="18938"/>
    <n v="0"/>
    <s v="Y"/>
    <x v="0"/>
    <n v="14"/>
    <n v="3"/>
    <n v="3"/>
    <n v="80"/>
    <n v="0"/>
    <n v="37"/>
    <n v="2"/>
    <n v="3"/>
    <n v="36"/>
    <n v="10"/>
    <n v="4"/>
    <n v="13"/>
    <x v="1"/>
    <s v="Top"/>
  </r>
  <r>
    <n v="47"/>
    <x v="0"/>
    <s v="Non-Travel"/>
    <n v="666"/>
    <x v="1"/>
    <n v="29"/>
    <n v="4"/>
    <s v="Life Sciences"/>
    <n v="1"/>
    <n v="376"/>
    <n v="1"/>
    <x v="1"/>
    <n v="88"/>
    <n v="3"/>
    <n v="3"/>
    <x v="5"/>
    <n v="2"/>
    <s v="Married"/>
    <n v="11849"/>
    <n v="10268"/>
    <n v="1"/>
    <s v="Y"/>
    <x v="0"/>
    <n v="12"/>
    <n v="3"/>
    <n v="4"/>
    <n v="80"/>
    <n v="1"/>
    <n v="10"/>
    <n v="2"/>
    <n v="2"/>
    <n v="10"/>
    <n v="7"/>
    <n v="9"/>
    <n v="9"/>
    <x v="1"/>
    <s v="High"/>
  </r>
  <r>
    <n v="28"/>
    <x v="1"/>
    <s v="Travel_Rarely"/>
    <n v="1158"/>
    <x v="1"/>
    <n v="9"/>
    <n v="3"/>
    <s v="Medical"/>
    <n v="1"/>
    <n v="377"/>
    <n v="4"/>
    <x v="1"/>
    <n v="94"/>
    <n v="3"/>
    <n v="1"/>
    <x v="1"/>
    <n v="4"/>
    <s v="Married"/>
    <n v="2070"/>
    <n v="2613"/>
    <n v="1"/>
    <s v="Y"/>
    <x v="1"/>
    <n v="23"/>
    <n v="4"/>
    <n v="4"/>
    <n v="80"/>
    <n v="1"/>
    <n v="5"/>
    <n v="3"/>
    <n v="2"/>
    <n v="5"/>
    <n v="2"/>
    <n v="0"/>
    <n v="4"/>
    <x v="2"/>
    <s v="Low"/>
  </r>
  <r>
    <n v="37"/>
    <x v="1"/>
    <s v="Travel_Rarely"/>
    <n v="228"/>
    <x v="0"/>
    <n v="6"/>
    <n v="4"/>
    <s v="Medical"/>
    <n v="1"/>
    <n v="378"/>
    <n v="3"/>
    <x v="1"/>
    <n v="98"/>
    <n v="3"/>
    <n v="2"/>
    <x v="0"/>
    <n v="4"/>
    <s v="Married"/>
    <n v="6502"/>
    <n v="22825"/>
    <n v="4"/>
    <s v="Y"/>
    <x v="1"/>
    <n v="14"/>
    <n v="3"/>
    <n v="2"/>
    <n v="80"/>
    <n v="1"/>
    <n v="7"/>
    <n v="5"/>
    <n v="4"/>
    <n v="5"/>
    <n v="4"/>
    <n v="0"/>
    <n v="1"/>
    <x v="0"/>
    <s v="Mid"/>
  </r>
  <r>
    <n v="21"/>
    <x v="1"/>
    <s v="Travel_Rarely"/>
    <n v="996"/>
    <x v="1"/>
    <n v="3"/>
    <n v="2"/>
    <s v="Medical"/>
    <n v="1"/>
    <n v="379"/>
    <n v="4"/>
    <x v="1"/>
    <n v="100"/>
    <n v="2"/>
    <n v="1"/>
    <x v="1"/>
    <n v="3"/>
    <s v="Single"/>
    <n v="3230"/>
    <n v="10531"/>
    <n v="1"/>
    <s v="Y"/>
    <x v="1"/>
    <n v="17"/>
    <n v="3"/>
    <n v="1"/>
    <n v="80"/>
    <n v="0"/>
    <n v="3"/>
    <n v="4"/>
    <n v="4"/>
    <n v="3"/>
    <n v="2"/>
    <n v="1"/>
    <n v="0"/>
    <x v="3"/>
    <s v="Mid"/>
  </r>
  <r>
    <n v="37"/>
    <x v="1"/>
    <s v="Non-Travel"/>
    <n v="728"/>
    <x v="1"/>
    <n v="1"/>
    <n v="4"/>
    <s v="Medical"/>
    <n v="1"/>
    <n v="380"/>
    <n v="1"/>
    <x v="0"/>
    <n v="80"/>
    <n v="3"/>
    <n v="3"/>
    <x v="7"/>
    <n v="4"/>
    <s v="Divorced"/>
    <n v="13603"/>
    <n v="11677"/>
    <n v="2"/>
    <s v="Y"/>
    <x v="0"/>
    <n v="18"/>
    <n v="3"/>
    <n v="1"/>
    <n v="80"/>
    <n v="2"/>
    <n v="15"/>
    <n v="2"/>
    <n v="3"/>
    <n v="5"/>
    <n v="2"/>
    <n v="0"/>
    <n v="2"/>
    <x v="0"/>
    <s v="Top"/>
  </r>
  <r>
    <n v="35"/>
    <x v="1"/>
    <s v="Travel_Rarely"/>
    <n v="1315"/>
    <x v="1"/>
    <n v="22"/>
    <n v="3"/>
    <s v="Life Sciences"/>
    <n v="1"/>
    <n v="381"/>
    <n v="2"/>
    <x v="0"/>
    <n v="71"/>
    <n v="4"/>
    <n v="3"/>
    <x v="5"/>
    <n v="2"/>
    <s v="Divorced"/>
    <n v="11996"/>
    <n v="19100"/>
    <n v="7"/>
    <s v="Y"/>
    <x v="1"/>
    <n v="18"/>
    <n v="3"/>
    <n v="2"/>
    <n v="80"/>
    <n v="1"/>
    <n v="10"/>
    <n v="6"/>
    <n v="2"/>
    <n v="7"/>
    <n v="7"/>
    <n v="6"/>
    <n v="2"/>
    <x v="2"/>
    <s v="High"/>
  </r>
  <r>
    <n v="38"/>
    <x v="1"/>
    <s v="Travel_Rarely"/>
    <n v="322"/>
    <x v="0"/>
    <n v="7"/>
    <n v="2"/>
    <s v="Medical"/>
    <n v="1"/>
    <n v="382"/>
    <n v="1"/>
    <x v="0"/>
    <n v="44"/>
    <n v="4"/>
    <n v="2"/>
    <x v="0"/>
    <n v="1"/>
    <s v="Divorced"/>
    <n v="5605"/>
    <n v="19191"/>
    <n v="1"/>
    <s v="Y"/>
    <x v="0"/>
    <n v="24"/>
    <n v="4"/>
    <n v="3"/>
    <n v="80"/>
    <n v="1"/>
    <n v="8"/>
    <n v="3"/>
    <n v="3"/>
    <n v="8"/>
    <n v="0"/>
    <n v="7"/>
    <n v="7"/>
    <x v="0"/>
    <s v="Mid"/>
  </r>
  <r>
    <n v="26"/>
    <x v="1"/>
    <s v="Travel_Frequently"/>
    <n v="1479"/>
    <x v="1"/>
    <n v="1"/>
    <n v="3"/>
    <s v="Life Sciences"/>
    <n v="1"/>
    <n v="384"/>
    <n v="3"/>
    <x v="0"/>
    <n v="84"/>
    <n v="3"/>
    <n v="2"/>
    <x v="3"/>
    <n v="2"/>
    <s v="Divorced"/>
    <n v="6397"/>
    <n v="26767"/>
    <n v="1"/>
    <s v="Y"/>
    <x v="1"/>
    <n v="20"/>
    <n v="4"/>
    <n v="1"/>
    <n v="80"/>
    <n v="1"/>
    <n v="6"/>
    <n v="6"/>
    <n v="1"/>
    <n v="6"/>
    <n v="5"/>
    <n v="1"/>
    <n v="4"/>
    <x v="2"/>
    <s v="Mid"/>
  </r>
  <r>
    <n v="50"/>
    <x v="1"/>
    <s v="Travel_Rarely"/>
    <n v="797"/>
    <x v="1"/>
    <n v="4"/>
    <n v="1"/>
    <s v="Life Sciences"/>
    <n v="1"/>
    <n v="385"/>
    <n v="1"/>
    <x v="1"/>
    <n v="96"/>
    <n v="3"/>
    <n v="5"/>
    <x v="7"/>
    <n v="2"/>
    <s v="Divorced"/>
    <n v="19144"/>
    <n v="15815"/>
    <n v="3"/>
    <s v="Y"/>
    <x v="1"/>
    <n v="14"/>
    <n v="3"/>
    <n v="1"/>
    <n v="80"/>
    <n v="2"/>
    <n v="28"/>
    <n v="4"/>
    <n v="2"/>
    <n v="10"/>
    <n v="4"/>
    <n v="1"/>
    <n v="6"/>
    <x v="1"/>
    <s v="Top"/>
  </r>
  <r>
    <n v="53"/>
    <x v="1"/>
    <s v="Travel_Rarely"/>
    <n v="1070"/>
    <x v="1"/>
    <n v="3"/>
    <n v="4"/>
    <s v="Medical"/>
    <n v="1"/>
    <n v="386"/>
    <n v="3"/>
    <x v="1"/>
    <n v="45"/>
    <n v="3"/>
    <n v="4"/>
    <x v="7"/>
    <n v="3"/>
    <s v="Married"/>
    <n v="17584"/>
    <n v="21016"/>
    <n v="3"/>
    <s v="Y"/>
    <x v="0"/>
    <n v="16"/>
    <n v="3"/>
    <n v="4"/>
    <n v="80"/>
    <n v="3"/>
    <n v="21"/>
    <n v="5"/>
    <n v="2"/>
    <n v="5"/>
    <n v="3"/>
    <n v="1"/>
    <n v="3"/>
    <x v="1"/>
    <s v="Top"/>
  </r>
  <r>
    <n v="42"/>
    <x v="1"/>
    <s v="Travel_Rarely"/>
    <n v="635"/>
    <x v="0"/>
    <n v="1"/>
    <n v="1"/>
    <s v="Life Sciences"/>
    <n v="1"/>
    <n v="387"/>
    <n v="2"/>
    <x v="1"/>
    <n v="99"/>
    <n v="3"/>
    <n v="2"/>
    <x v="0"/>
    <n v="3"/>
    <s v="Married"/>
    <n v="4907"/>
    <n v="24532"/>
    <n v="1"/>
    <s v="Y"/>
    <x v="1"/>
    <n v="25"/>
    <n v="4"/>
    <n v="3"/>
    <n v="80"/>
    <n v="0"/>
    <n v="20"/>
    <n v="3"/>
    <n v="3"/>
    <n v="20"/>
    <n v="16"/>
    <n v="11"/>
    <n v="6"/>
    <x v="0"/>
    <s v="Mid"/>
  </r>
  <r>
    <n v="29"/>
    <x v="1"/>
    <s v="Travel_Frequently"/>
    <n v="442"/>
    <x v="0"/>
    <n v="2"/>
    <n v="2"/>
    <s v="Life Sciences"/>
    <n v="1"/>
    <n v="388"/>
    <n v="2"/>
    <x v="1"/>
    <n v="44"/>
    <n v="3"/>
    <n v="2"/>
    <x v="0"/>
    <n v="4"/>
    <s v="Single"/>
    <n v="4554"/>
    <n v="20260"/>
    <n v="1"/>
    <s v="Y"/>
    <x v="1"/>
    <n v="18"/>
    <n v="3"/>
    <n v="1"/>
    <n v="80"/>
    <n v="0"/>
    <n v="10"/>
    <n v="3"/>
    <n v="2"/>
    <n v="10"/>
    <n v="7"/>
    <n v="0"/>
    <n v="9"/>
    <x v="2"/>
    <s v="Mid"/>
  </r>
  <r>
    <n v="55"/>
    <x v="1"/>
    <s v="Travel_Rarely"/>
    <n v="147"/>
    <x v="1"/>
    <n v="20"/>
    <n v="2"/>
    <s v="Technical Degree"/>
    <n v="1"/>
    <n v="389"/>
    <n v="2"/>
    <x v="1"/>
    <n v="37"/>
    <n v="3"/>
    <n v="2"/>
    <x v="2"/>
    <n v="4"/>
    <s v="Married"/>
    <n v="5415"/>
    <n v="15972"/>
    <n v="3"/>
    <s v="Y"/>
    <x v="0"/>
    <n v="19"/>
    <n v="3"/>
    <n v="4"/>
    <n v="80"/>
    <n v="1"/>
    <n v="12"/>
    <n v="4"/>
    <n v="3"/>
    <n v="10"/>
    <n v="7"/>
    <n v="0"/>
    <n v="8"/>
    <x v="1"/>
    <s v="Mid"/>
  </r>
  <r>
    <n v="26"/>
    <x v="1"/>
    <s v="Travel_Frequently"/>
    <n v="496"/>
    <x v="1"/>
    <n v="11"/>
    <n v="2"/>
    <s v="Medical"/>
    <n v="1"/>
    <n v="390"/>
    <n v="1"/>
    <x v="1"/>
    <n v="60"/>
    <n v="3"/>
    <n v="2"/>
    <x v="4"/>
    <n v="1"/>
    <s v="Married"/>
    <n v="4741"/>
    <n v="22722"/>
    <n v="1"/>
    <s v="Y"/>
    <x v="0"/>
    <n v="13"/>
    <n v="3"/>
    <n v="3"/>
    <n v="80"/>
    <n v="1"/>
    <n v="5"/>
    <n v="3"/>
    <n v="3"/>
    <n v="5"/>
    <n v="3"/>
    <n v="3"/>
    <n v="3"/>
    <x v="2"/>
    <s v="Mid"/>
  </r>
  <r>
    <n v="37"/>
    <x v="1"/>
    <s v="Travel_Rarely"/>
    <n v="1372"/>
    <x v="1"/>
    <n v="1"/>
    <n v="3"/>
    <s v="Life Sciences"/>
    <n v="1"/>
    <n v="391"/>
    <n v="4"/>
    <x v="0"/>
    <n v="42"/>
    <n v="3"/>
    <n v="1"/>
    <x v="1"/>
    <n v="4"/>
    <s v="Single"/>
    <n v="2115"/>
    <n v="15881"/>
    <n v="1"/>
    <s v="Y"/>
    <x v="1"/>
    <n v="12"/>
    <n v="3"/>
    <n v="2"/>
    <n v="80"/>
    <n v="0"/>
    <n v="17"/>
    <n v="3"/>
    <n v="3"/>
    <n v="17"/>
    <n v="12"/>
    <n v="5"/>
    <n v="7"/>
    <x v="0"/>
    <s v="Low"/>
  </r>
  <r>
    <n v="44"/>
    <x v="0"/>
    <s v="Travel_Frequently"/>
    <n v="920"/>
    <x v="1"/>
    <n v="24"/>
    <n v="3"/>
    <s v="Life Sciences"/>
    <n v="1"/>
    <n v="392"/>
    <n v="4"/>
    <x v="1"/>
    <n v="43"/>
    <n v="3"/>
    <n v="1"/>
    <x v="2"/>
    <n v="3"/>
    <s v="Divorced"/>
    <n v="3161"/>
    <n v="19920"/>
    <n v="3"/>
    <s v="Y"/>
    <x v="0"/>
    <n v="22"/>
    <n v="4"/>
    <n v="4"/>
    <n v="80"/>
    <n v="1"/>
    <n v="19"/>
    <n v="0"/>
    <n v="1"/>
    <n v="1"/>
    <n v="0"/>
    <n v="0"/>
    <n v="0"/>
    <x v="0"/>
    <s v="Mid"/>
  </r>
  <r>
    <n v="38"/>
    <x v="1"/>
    <s v="Travel_Rarely"/>
    <n v="688"/>
    <x v="1"/>
    <n v="23"/>
    <n v="4"/>
    <s v="Life Sciences"/>
    <n v="1"/>
    <n v="393"/>
    <n v="4"/>
    <x v="1"/>
    <n v="82"/>
    <n v="3"/>
    <n v="2"/>
    <x v="4"/>
    <n v="4"/>
    <s v="Divorced"/>
    <n v="5745"/>
    <n v="18899"/>
    <n v="9"/>
    <s v="Y"/>
    <x v="1"/>
    <n v="14"/>
    <n v="3"/>
    <n v="2"/>
    <n v="80"/>
    <n v="1"/>
    <n v="10"/>
    <n v="2"/>
    <n v="3"/>
    <n v="2"/>
    <n v="2"/>
    <n v="1"/>
    <n v="2"/>
    <x v="0"/>
    <s v="Mid"/>
  </r>
  <r>
    <n v="26"/>
    <x v="0"/>
    <s v="Travel_Rarely"/>
    <n v="1449"/>
    <x v="1"/>
    <n v="16"/>
    <n v="4"/>
    <s v="Medical"/>
    <n v="1"/>
    <n v="394"/>
    <n v="1"/>
    <x v="1"/>
    <n v="45"/>
    <n v="3"/>
    <n v="1"/>
    <x v="2"/>
    <n v="2"/>
    <s v="Divorced"/>
    <n v="2373"/>
    <n v="14180"/>
    <n v="2"/>
    <s v="Y"/>
    <x v="0"/>
    <n v="13"/>
    <n v="3"/>
    <n v="4"/>
    <n v="80"/>
    <n v="1"/>
    <n v="5"/>
    <n v="2"/>
    <n v="3"/>
    <n v="3"/>
    <n v="2"/>
    <n v="0"/>
    <n v="2"/>
    <x v="2"/>
    <s v="Low"/>
  </r>
  <r>
    <n v="28"/>
    <x v="1"/>
    <s v="Travel_Rarely"/>
    <n v="1117"/>
    <x v="1"/>
    <n v="8"/>
    <n v="2"/>
    <s v="Life Sciences"/>
    <n v="1"/>
    <n v="395"/>
    <n v="4"/>
    <x v="0"/>
    <n v="66"/>
    <n v="3"/>
    <n v="1"/>
    <x v="1"/>
    <n v="4"/>
    <s v="Single"/>
    <n v="3310"/>
    <n v="4488"/>
    <n v="1"/>
    <s v="Y"/>
    <x v="1"/>
    <n v="21"/>
    <n v="4"/>
    <n v="4"/>
    <n v="80"/>
    <n v="0"/>
    <n v="5"/>
    <n v="3"/>
    <n v="3"/>
    <n v="5"/>
    <n v="3"/>
    <n v="0"/>
    <n v="2"/>
    <x v="2"/>
    <s v="Mid"/>
  </r>
  <r>
    <n v="49"/>
    <x v="1"/>
    <s v="Travel_Frequently"/>
    <n v="636"/>
    <x v="1"/>
    <n v="10"/>
    <n v="4"/>
    <s v="Life Sciences"/>
    <n v="1"/>
    <n v="396"/>
    <n v="3"/>
    <x v="0"/>
    <n v="35"/>
    <n v="3"/>
    <n v="5"/>
    <x v="7"/>
    <n v="1"/>
    <s v="Single"/>
    <n v="18665"/>
    <n v="25594"/>
    <n v="9"/>
    <s v="Y"/>
    <x v="0"/>
    <n v="11"/>
    <n v="3"/>
    <n v="4"/>
    <n v="80"/>
    <n v="0"/>
    <n v="22"/>
    <n v="4"/>
    <n v="3"/>
    <n v="3"/>
    <n v="2"/>
    <n v="1"/>
    <n v="2"/>
    <x v="1"/>
    <s v="Top"/>
  </r>
  <r>
    <n v="36"/>
    <x v="1"/>
    <s v="Travel_Rarely"/>
    <n v="506"/>
    <x v="1"/>
    <n v="3"/>
    <n v="3"/>
    <s v="Technical Degree"/>
    <n v="1"/>
    <n v="397"/>
    <n v="3"/>
    <x v="1"/>
    <n v="30"/>
    <n v="3"/>
    <n v="2"/>
    <x v="1"/>
    <n v="2"/>
    <s v="Single"/>
    <n v="4485"/>
    <n v="26285"/>
    <n v="4"/>
    <s v="Y"/>
    <x v="1"/>
    <n v="12"/>
    <n v="3"/>
    <n v="4"/>
    <n v="80"/>
    <n v="0"/>
    <n v="10"/>
    <n v="2"/>
    <n v="3"/>
    <n v="8"/>
    <n v="0"/>
    <n v="7"/>
    <n v="7"/>
    <x v="0"/>
    <s v="Mid"/>
  </r>
  <r>
    <n v="31"/>
    <x v="1"/>
    <s v="Travel_Frequently"/>
    <n v="444"/>
    <x v="0"/>
    <n v="5"/>
    <n v="3"/>
    <s v="Marketing"/>
    <n v="1"/>
    <n v="399"/>
    <n v="4"/>
    <x v="0"/>
    <n v="84"/>
    <n v="3"/>
    <n v="1"/>
    <x v="6"/>
    <n v="2"/>
    <s v="Divorced"/>
    <n v="2789"/>
    <n v="3909"/>
    <n v="1"/>
    <s v="Y"/>
    <x v="1"/>
    <n v="11"/>
    <n v="3"/>
    <n v="3"/>
    <n v="80"/>
    <n v="1"/>
    <n v="2"/>
    <n v="5"/>
    <n v="2"/>
    <n v="2"/>
    <n v="2"/>
    <n v="2"/>
    <n v="2"/>
    <x v="2"/>
    <s v="Low"/>
  </r>
  <r>
    <n v="26"/>
    <x v="0"/>
    <s v="Travel_Rarely"/>
    <n v="950"/>
    <x v="0"/>
    <n v="4"/>
    <n v="4"/>
    <s v="Marketing"/>
    <n v="1"/>
    <n v="401"/>
    <n v="4"/>
    <x v="1"/>
    <n v="48"/>
    <n v="2"/>
    <n v="2"/>
    <x v="0"/>
    <n v="4"/>
    <s v="Single"/>
    <n v="5828"/>
    <n v="8450"/>
    <n v="1"/>
    <s v="Y"/>
    <x v="0"/>
    <n v="12"/>
    <n v="3"/>
    <n v="2"/>
    <n v="80"/>
    <n v="0"/>
    <n v="8"/>
    <n v="0"/>
    <n v="3"/>
    <n v="8"/>
    <n v="7"/>
    <n v="7"/>
    <n v="4"/>
    <x v="2"/>
    <s v="Mid"/>
  </r>
  <r>
    <n v="37"/>
    <x v="1"/>
    <s v="Travel_Frequently"/>
    <n v="889"/>
    <x v="1"/>
    <n v="9"/>
    <n v="3"/>
    <s v="Medical"/>
    <n v="1"/>
    <n v="403"/>
    <n v="2"/>
    <x v="1"/>
    <n v="53"/>
    <n v="3"/>
    <n v="1"/>
    <x v="1"/>
    <n v="4"/>
    <s v="Married"/>
    <n v="2326"/>
    <n v="11411"/>
    <n v="1"/>
    <s v="Y"/>
    <x v="0"/>
    <n v="12"/>
    <n v="3"/>
    <n v="3"/>
    <n v="80"/>
    <n v="3"/>
    <n v="4"/>
    <n v="3"/>
    <n v="2"/>
    <n v="4"/>
    <n v="2"/>
    <n v="1"/>
    <n v="2"/>
    <x v="0"/>
    <s v="Low"/>
  </r>
  <r>
    <n v="42"/>
    <x v="1"/>
    <s v="Travel_Frequently"/>
    <n v="555"/>
    <x v="0"/>
    <n v="26"/>
    <n v="3"/>
    <s v="Marketing"/>
    <n v="1"/>
    <n v="404"/>
    <n v="3"/>
    <x v="0"/>
    <n v="77"/>
    <n v="3"/>
    <n v="4"/>
    <x v="0"/>
    <n v="2"/>
    <s v="Married"/>
    <n v="13525"/>
    <n v="14864"/>
    <n v="5"/>
    <s v="Y"/>
    <x v="1"/>
    <n v="14"/>
    <n v="3"/>
    <n v="4"/>
    <n v="80"/>
    <n v="1"/>
    <n v="23"/>
    <n v="2"/>
    <n v="4"/>
    <n v="20"/>
    <n v="4"/>
    <n v="4"/>
    <n v="8"/>
    <x v="0"/>
    <s v="Top"/>
  </r>
  <r>
    <n v="18"/>
    <x v="0"/>
    <s v="Travel_Rarely"/>
    <n v="230"/>
    <x v="1"/>
    <n v="3"/>
    <n v="3"/>
    <s v="Life Sciences"/>
    <n v="1"/>
    <n v="405"/>
    <n v="3"/>
    <x v="1"/>
    <n v="54"/>
    <n v="3"/>
    <n v="1"/>
    <x v="2"/>
    <n v="3"/>
    <s v="Single"/>
    <n v="1420"/>
    <n v="25233"/>
    <n v="1"/>
    <s v="Y"/>
    <x v="1"/>
    <n v="13"/>
    <n v="3"/>
    <n v="3"/>
    <n v="80"/>
    <n v="0"/>
    <n v="0"/>
    <n v="2"/>
    <n v="3"/>
    <n v="0"/>
    <n v="0"/>
    <n v="0"/>
    <n v="0"/>
    <x v="3"/>
    <s v="Low"/>
  </r>
  <r>
    <n v="35"/>
    <x v="1"/>
    <s v="Travel_Rarely"/>
    <n v="1232"/>
    <x v="0"/>
    <n v="16"/>
    <n v="3"/>
    <s v="Marketing"/>
    <n v="1"/>
    <n v="406"/>
    <n v="3"/>
    <x v="1"/>
    <n v="96"/>
    <n v="3"/>
    <n v="3"/>
    <x v="0"/>
    <n v="2"/>
    <s v="Married"/>
    <n v="8020"/>
    <n v="5100"/>
    <n v="0"/>
    <s v="Y"/>
    <x v="1"/>
    <n v="15"/>
    <n v="3"/>
    <n v="3"/>
    <n v="80"/>
    <n v="2"/>
    <n v="12"/>
    <n v="3"/>
    <n v="2"/>
    <n v="11"/>
    <n v="9"/>
    <n v="6"/>
    <n v="9"/>
    <x v="2"/>
    <s v="High"/>
  </r>
  <r>
    <n v="36"/>
    <x v="1"/>
    <s v="Travel_Frequently"/>
    <n v="566"/>
    <x v="1"/>
    <n v="18"/>
    <n v="4"/>
    <s v="Life Sciences"/>
    <n v="1"/>
    <n v="407"/>
    <n v="3"/>
    <x v="1"/>
    <n v="81"/>
    <n v="4"/>
    <n v="1"/>
    <x v="2"/>
    <n v="4"/>
    <s v="Married"/>
    <n v="3688"/>
    <n v="7122"/>
    <n v="4"/>
    <s v="Y"/>
    <x v="1"/>
    <n v="18"/>
    <n v="3"/>
    <n v="4"/>
    <n v="80"/>
    <n v="2"/>
    <n v="4"/>
    <n v="2"/>
    <n v="3"/>
    <n v="1"/>
    <n v="0"/>
    <n v="0"/>
    <n v="0"/>
    <x v="0"/>
    <s v="Mid"/>
  </r>
  <r>
    <n v="51"/>
    <x v="1"/>
    <s v="Travel_Rarely"/>
    <n v="1302"/>
    <x v="1"/>
    <n v="2"/>
    <n v="3"/>
    <s v="Medical"/>
    <n v="1"/>
    <n v="408"/>
    <n v="4"/>
    <x v="1"/>
    <n v="84"/>
    <n v="1"/>
    <n v="2"/>
    <x v="3"/>
    <n v="2"/>
    <s v="Divorced"/>
    <n v="5482"/>
    <n v="16321"/>
    <n v="5"/>
    <s v="Y"/>
    <x v="1"/>
    <n v="18"/>
    <n v="3"/>
    <n v="4"/>
    <n v="80"/>
    <n v="1"/>
    <n v="13"/>
    <n v="3"/>
    <n v="3"/>
    <n v="4"/>
    <n v="1"/>
    <n v="1"/>
    <n v="2"/>
    <x v="1"/>
    <s v="Mid"/>
  </r>
  <r>
    <n v="41"/>
    <x v="1"/>
    <s v="Travel_Rarely"/>
    <n v="334"/>
    <x v="0"/>
    <n v="2"/>
    <n v="4"/>
    <s v="Life Sciences"/>
    <n v="1"/>
    <n v="410"/>
    <n v="4"/>
    <x v="1"/>
    <n v="88"/>
    <n v="3"/>
    <n v="4"/>
    <x v="5"/>
    <n v="2"/>
    <s v="Single"/>
    <n v="16015"/>
    <n v="15896"/>
    <n v="1"/>
    <s v="Y"/>
    <x v="1"/>
    <n v="19"/>
    <n v="3"/>
    <n v="2"/>
    <n v="80"/>
    <n v="0"/>
    <n v="22"/>
    <n v="2"/>
    <n v="3"/>
    <n v="22"/>
    <n v="10"/>
    <n v="0"/>
    <n v="4"/>
    <x v="0"/>
    <s v="Top"/>
  </r>
  <r>
    <n v="18"/>
    <x v="1"/>
    <s v="Travel_Rarely"/>
    <n v="812"/>
    <x v="0"/>
    <n v="10"/>
    <n v="3"/>
    <s v="Medical"/>
    <n v="1"/>
    <n v="411"/>
    <n v="4"/>
    <x v="0"/>
    <n v="69"/>
    <n v="2"/>
    <n v="1"/>
    <x v="6"/>
    <n v="3"/>
    <s v="Single"/>
    <n v="1200"/>
    <n v="9724"/>
    <n v="1"/>
    <s v="Y"/>
    <x v="1"/>
    <n v="12"/>
    <n v="3"/>
    <n v="1"/>
    <n v="80"/>
    <n v="0"/>
    <n v="0"/>
    <n v="2"/>
    <n v="3"/>
    <n v="0"/>
    <n v="0"/>
    <n v="0"/>
    <n v="0"/>
    <x v="3"/>
    <s v="Low"/>
  </r>
  <r>
    <n v="28"/>
    <x v="1"/>
    <s v="Travel_Rarely"/>
    <n v="1476"/>
    <x v="1"/>
    <n v="16"/>
    <n v="2"/>
    <s v="Medical"/>
    <n v="1"/>
    <n v="412"/>
    <n v="2"/>
    <x v="1"/>
    <n v="68"/>
    <n v="4"/>
    <n v="2"/>
    <x v="4"/>
    <n v="1"/>
    <s v="Single"/>
    <n v="5661"/>
    <n v="4824"/>
    <n v="0"/>
    <s v="Y"/>
    <x v="1"/>
    <n v="19"/>
    <n v="3"/>
    <n v="3"/>
    <n v="80"/>
    <n v="0"/>
    <n v="9"/>
    <n v="2"/>
    <n v="3"/>
    <n v="8"/>
    <n v="3"/>
    <n v="0"/>
    <n v="7"/>
    <x v="2"/>
    <s v="Mid"/>
  </r>
  <r>
    <n v="31"/>
    <x v="1"/>
    <s v="Travel_Rarely"/>
    <n v="218"/>
    <x v="0"/>
    <n v="7"/>
    <n v="3"/>
    <s v="Technical Degree"/>
    <n v="1"/>
    <n v="416"/>
    <n v="2"/>
    <x v="1"/>
    <n v="100"/>
    <n v="4"/>
    <n v="2"/>
    <x v="0"/>
    <n v="4"/>
    <s v="Married"/>
    <n v="6929"/>
    <n v="12241"/>
    <n v="4"/>
    <s v="Y"/>
    <x v="1"/>
    <n v="11"/>
    <n v="3"/>
    <n v="2"/>
    <n v="80"/>
    <n v="1"/>
    <n v="10"/>
    <n v="3"/>
    <n v="2"/>
    <n v="8"/>
    <n v="7"/>
    <n v="7"/>
    <n v="7"/>
    <x v="2"/>
    <s v="Mid"/>
  </r>
  <r>
    <n v="39"/>
    <x v="1"/>
    <s v="Travel_Rarely"/>
    <n v="1132"/>
    <x v="1"/>
    <n v="1"/>
    <n v="3"/>
    <s v="Medical"/>
    <n v="1"/>
    <n v="417"/>
    <n v="3"/>
    <x v="1"/>
    <n v="48"/>
    <n v="4"/>
    <n v="3"/>
    <x v="4"/>
    <n v="4"/>
    <s v="Divorced"/>
    <n v="9613"/>
    <n v="10942"/>
    <n v="0"/>
    <s v="Y"/>
    <x v="1"/>
    <n v="17"/>
    <n v="3"/>
    <n v="1"/>
    <n v="80"/>
    <n v="3"/>
    <n v="19"/>
    <n v="5"/>
    <n v="2"/>
    <n v="18"/>
    <n v="10"/>
    <n v="3"/>
    <n v="7"/>
    <x v="0"/>
    <s v="High"/>
  </r>
  <r>
    <n v="36"/>
    <x v="1"/>
    <s v="Non-Travel"/>
    <n v="1105"/>
    <x v="1"/>
    <n v="24"/>
    <n v="4"/>
    <s v="Life Sciences"/>
    <n v="1"/>
    <n v="419"/>
    <n v="2"/>
    <x v="0"/>
    <n v="47"/>
    <n v="3"/>
    <n v="2"/>
    <x v="2"/>
    <n v="2"/>
    <s v="Married"/>
    <n v="5674"/>
    <n v="6927"/>
    <n v="7"/>
    <s v="Y"/>
    <x v="1"/>
    <n v="15"/>
    <n v="3"/>
    <n v="3"/>
    <n v="80"/>
    <n v="1"/>
    <n v="11"/>
    <n v="3"/>
    <n v="3"/>
    <n v="9"/>
    <n v="8"/>
    <n v="0"/>
    <n v="8"/>
    <x v="0"/>
    <s v="Mid"/>
  </r>
  <r>
    <n v="32"/>
    <x v="1"/>
    <s v="Travel_Rarely"/>
    <n v="906"/>
    <x v="0"/>
    <n v="7"/>
    <n v="3"/>
    <s v="Life Sciences"/>
    <n v="1"/>
    <n v="420"/>
    <n v="4"/>
    <x v="1"/>
    <n v="91"/>
    <n v="2"/>
    <n v="2"/>
    <x v="0"/>
    <n v="3"/>
    <s v="Married"/>
    <n v="5484"/>
    <n v="16985"/>
    <n v="1"/>
    <s v="Y"/>
    <x v="1"/>
    <n v="14"/>
    <n v="3"/>
    <n v="3"/>
    <n v="80"/>
    <n v="1"/>
    <n v="13"/>
    <n v="3"/>
    <n v="2"/>
    <n v="13"/>
    <n v="8"/>
    <n v="4"/>
    <n v="8"/>
    <x v="2"/>
    <s v="Mid"/>
  </r>
  <r>
    <n v="38"/>
    <x v="1"/>
    <s v="Travel_Rarely"/>
    <n v="849"/>
    <x v="1"/>
    <n v="25"/>
    <n v="2"/>
    <s v="Life Sciences"/>
    <n v="1"/>
    <n v="421"/>
    <n v="1"/>
    <x v="0"/>
    <n v="81"/>
    <n v="2"/>
    <n v="3"/>
    <x v="7"/>
    <n v="2"/>
    <s v="Married"/>
    <n v="12061"/>
    <n v="26707"/>
    <n v="3"/>
    <s v="Y"/>
    <x v="1"/>
    <n v="17"/>
    <n v="3"/>
    <n v="3"/>
    <n v="80"/>
    <n v="1"/>
    <n v="19"/>
    <n v="2"/>
    <n v="3"/>
    <n v="10"/>
    <n v="8"/>
    <n v="0"/>
    <n v="1"/>
    <x v="0"/>
    <s v="Top"/>
  </r>
  <r>
    <n v="58"/>
    <x v="1"/>
    <s v="Non-Travel"/>
    <n v="390"/>
    <x v="1"/>
    <n v="1"/>
    <n v="4"/>
    <s v="Life Sciences"/>
    <n v="1"/>
    <n v="422"/>
    <n v="4"/>
    <x v="1"/>
    <n v="32"/>
    <n v="1"/>
    <n v="2"/>
    <x v="4"/>
    <n v="3"/>
    <s v="Divorced"/>
    <n v="5660"/>
    <n v="17056"/>
    <n v="2"/>
    <s v="Y"/>
    <x v="0"/>
    <n v="13"/>
    <n v="3"/>
    <n v="4"/>
    <n v="80"/>
    <n v="1"/>
    <n v="12"/>
    <n v="2"/>
    <n v="3"/>
    <n v="5"/>
    <n v="3"/>
    <n v="1"/>
    <n v="2"/>
    <x v="1"/>
    <s v="Mid"/>
  </r>
  <r>
    <n v="31"/>
    <x v="1"/>
    <s v="Travel_Rarely"/>
    <n v="691"/>
    <x v="1"/>
    <n v="5"/>
    <n v="4"/>
    <s v="Technical Degree"/>
    <n v="1"/>
    <n v="423"/>
    <n v="3"/>
    <x v="1"/>
    <n v="86"/>
    <n v="3"/>
    <n v="1"/>
    <x v="1"/>
    <n v="4"/>
    <s v="Married"/>
    <n v="4821"/>
    <n v="10077"/>
    <n v="0"/>
    <s v="Y"/>
    <x v="0"/>
    <n v="12"/>
    <n v="3"/>
    <n v="3"/>
    <n v="80"/>
    <n v="1"/>
    <n v="6"/>
    <n v="4"/>
    <n v="3"/>
    <n v="5"/>
    <n v="2"/>
    <n v="0"/>
    <n v="3"/>
    <x v="2"/>
    <s v="Mid"/>
  </r>
  <r>
    <n v="31"/>
    <x v="1"/>
    <s v="Travel_Rarely"/>
    <n v="106"/>
    <x v="2"/>
    <n v="2"/>
    <n v="3"/>
    <s v="Human Resources"/>
    <n v="1"/>
    <n v="424"/>
    <n v="1"/>
    <x v="1"/>
    <n v="62"/>
    <n v="2"/>
    <n v="2"/>
    <x v="8"/>
    <n v="1"/>
    <s v="Married"/>
    <n v="6410"/>
    <n v="17822"/>
    <n v="3"/>
    <s v="Y"/>
    <x v="1"/>
    <n v="12"/>
    <n v="3"/>
    <n v="4"/>
    <n v="80"/>
    <n v="0"/>
    <n v="9"/>
    <n v="1"/>
    <n v="3"/>
    <n v="2"/>
    <n v="2"/>
    <n v="1"/>
    <n v="0"/>
    <x v="2"/>
    <s v="Mid"/>
  </r>
  <r>
    <n v="45"/>
    <x v="1"/>
    <s v="Travel_Frequently"/>
    <n v="1249"/>
    <x v="1"/>
    <n v="7"/>
    <n v="3"/>
    <s v="Life Sciences"/>
    <n v="1"/>
    <n v="425"/>
    <n v="1"/>
    <x v="1"/>
    <n v="97"/>
    <n v="3"/>
    <n v="3"/>
    <x v="2"/>
    <n v="1"/>
    <s v="Divorced"/>
    <n v="5210"/>
    <n v="20308"/>
    <n v="1"/>
    <s v="Y"/>
    <x v="1"/>
    <n v="18"/>
    <n v="3"/>
    <n v="1"/>
    <n v="80"/>
    <n v="1"/>
    <n v="24"/>
    <n v="2"/>
    <n v="3"/>
    <n v="24"/>
    <n v="9"/>
    <n v="9"/>
    <n v="11"/>
    <x v="0"/>
    <s v="Mid"/>
  </r>
  <r>
    <n v="31"/>
    <x v="1"/>
    <s v="Travel_Rarely"/>
    <n v="192"/>
    <x v="1"/>
    <n v="2"/>
    <n v="4"/>
    <s v="Life Sciences"/>
    <n v="1"/>
    <n v="426"/>
    <n v="3"/>
    <x v="1"/>
    <n v="32"/>
    <n v="3"/>
    <n v="1"/>
    <x v="1"/>
    <n v="4"/>
    <s v="Divorced"/>
    <n v="2695"/>
    <n v="7747"/>
    <n v="0"/>
    <s v="Y"/>
    <x v="0"/>
    <n v="18"/>
    <n v="3"/>
    <n v="2"/>
    <n v="80"/>
    <n v="1"/>
    <n v="3"/>
    <n v="2"/>
    <n v="1"/>
    <n v="2"/>
    <n v="2"/>
    <n v="2"/>
    <n v="2"/>
    <x v="2"/>
    <s v="Low"/>
  </r>
  <r>
    <n v="33"/>
    <x v="1"/>
    <s v="Travel_Frequently"/>
    <n v="553"/>
    <x v="1"/>
    <n v="5"/>
    <n v="4"/>
    <s v="Life Sciences"/>
    <n v="1"/>
    <n v="428"/>
    <n v="4"/>
    <x v="0"/>
    <n v="74"/>
    <n v="3"/>
    <n v="3"/>
    <x v="5"/>
    <n v="2"/>
    <s v="Married"/>
    <n v="11878"/>
    <n v="23364"/>
    <n v="6"/>
    <s v="Y"/>
    <x v="1"/>
    <n v="11"/>
    <n v="3"/>
    <n v="2"/>
    <n v="80"/>
    <n v="2"/>
    <n v="12"/>
    <n v="2"/>
    <n v="3"/>
    <n v="10"/>
    <n v="6"/>
    <n v="8"/>
    <n v="8"/>
    <x v="2"/>
    <s v="High"/>
  </r>
  <r>
    <n v="39"/>
    <x v="1"/>
    <s v="Travel_Rarely"/>
    <n v="117"/>
    <x v="1"/>
    <n v="10"/>
    <n v="1"/>
    <s v="Medical"/>
    <n v="1"/>
    <n v="429"/>
    <n v="3"/>
    <x v="1"/>
    <n v="99"/>
    <n v="3"/>
    <n v="4"/>
    <x v="5"/>
    <n v="1"/>
    <s v="Married"/>
    <n v="17068"/>
    <n v="5355"/>
    <n v="1"/>
    <s v="Y"/>
    <x v="0"/>
    <n v="14"/>
    <n v="3"/>
    <n v="4"/>
    <n v="80"/>
    <n v="0"/>
    <n v="21"/>
    <n v="3"/>
    <n v="3"/>
    <n v="21"/>
    <n v="9"/>
    <n v="11"/>
    <n v="10"/>
    <x v="0"/>
    <s v="Top"/>
  </r>
  <r>
    <n v="43"/>
    <x v="1"/>
    <s v="Travel_Frequently"/>
    <n v="185"/>
    <x v="1"/>
    <n v="10"/>
    <n v="4"/>
    <s v="Life Sciences"/>
    <n v="1"/>
    <n v="430"/>
    <n v="3"/>
    <x v="0"/>
    <n v="33"/>
    <n v="3"/>
    <n v="1"/>
    <x v="2"/>
    <n v="4"/>
    <s v="Single"/>
    <n v="2455"/>
    <n v="10675"/>
    <n v="0"/>
    <s v="Y"/>
    <x v="1"/>
    <n v="19"/>
    <n v="3"/>
    <n v="1"/>
    <n v="80"/>
    <n v="0"/>
    <n v="9"/>
    <n v="5"/>
    <n v="3"/>
    <n v="8"/>
    <n v="7"/>
    <n v="1"/>
    <n v="7"/>
    <x v="0"/>
    <s v="Low"/>
  </r>
  <r>
    <n v="49"/>
    <x v="1"/>
    <s v="Travel_Rarely"/>
    <n v="1091"/>
    <x v="1"/>
    <n v="1"/>
    <n v="2"/>
    <s v="Technical Degree"/>
    <n v="1"/>
    <n v="431"/>
    <n v="3"/>
    <x v="0"/>
    <n v="90"/>
    <n v="2"/>
    <n v="4"/>
    <x v="4"/>
    <n v="3"/>
    <s v="Single"/>
    <n v="13964"/>
    <n v="17810"/>
    <n v="7"/>
    <s v="Y"/>
    <x v="0"/>
    <n v="12"/>
    <n v="3"/>
    <n v="4"/>
    <n v="80"/>
    <n v="0"/>
    <n v="25"/>
    <n v="2"/>
    <n v="3"/>
    <n v="7"/>
    <n v="1"/>
    <n v="0"/>
    <n v="7"/>
    <x v="1"/>
    <s v="Top"/>
  </r>
  <r>
    <n v="52"/>
    <x v="0"/>
    <s v="Travel_Rarely"/>
    <n v="723"/>
    <x v="1"/>
    <n v="8"/>
    <n v="4"/>
    <s v="Medical"/>
    <n v="1"/>
    <n v="433"/>
    <n v="3"/>
    <x v="1"/>
    <n v="85"/>
    <n v="2"/>
    <n v="2"/>
    <x v="1"/>
    <n v="2"/>
    <s v="Married"/>
    <n v="4941"/>
    <n v="17747"/>
    <n v="2"/>
    <s v="Y"/>
    <x v="1"/>
    <n v="15"/>
    <n v="3"/>
    <n v="1"/>
    <n v="80"/>
    <n v="0"/>
    <n v="11"/>
    <n v="3"/>
    <n v="2"/>
    <n v="8"/>
    <n v="2"/>
    <n v="7"/>
    <n v="7"/>
    <x v="1"/>
    <s v="Mid"/>
  </r>
  <r>
    <n v="27"/>
    <x v="1"/>
    <s v="Travel_Rarely"/>
    <n v="1220"/>
    <x v="1"/>
    <n v="5"/>
    <n v="3"/>
    <s v="Life Sciences"/>
    <n v="1"/>
    <n v="434"/>
    <n v="3"/>
    <x v="0"/>
    <n v="85"/>
    <n v="3"/>
    <n v="1"/>
    <x v="1"/>
    <n v="2"/>
    <s v="Single"/>
    <n v="2478"/>
    <n v="20938"/>
    <n v="1"/>
    <s v="Y"/>
    <x v="0"/>
    <n v="12"/>
    <n v="3"/>
    <n v="2"/>
    <n v="80"/>
    <n v="0"/>
    <n v="4"/>
    <n v="2"/>
    <n v="2"/>
    <n v="4"/>
    <n v="3"/>
    <n v="1"/>
    <n v="2"/>
    <x v="2"/>
    <s v="Low"/>
  </r>
  <r>
    <n v="32"/>
    <x v="1"/>
    <s v="Travel_Rarely"/>
    <n v="588"/>
    <x v="0"/>
    <n v="8"/>
    <n v="2"/>
    <s v="Technical Degree"/>
    <n v="1"/>
    <n v="436"/>
    <n v="3"/>
    <x v="0"/>
    <n v="65"/>
    <n v="2"/>
    <n v="2"/>
    <x v="0"/>
    <n v="2"/>
    <s v="Married"/>
    <n v="5228"/>
    <n v="24624"/>
    <n v="1"/>
    <s v="Y"/>
    <x v="0"/>
    <n v="11"/>
    <n v="3"/>
    <n v="4"/>
    <n v="80"/>
    <n v="0"/>
    <n v="13"/>
    <n v="2"/>
    <n v="3"/>
    <n v="13"/>
    <n v="12"/>
    <n v="11"/>
    <n v="9"/>
    <x v="2"/>
    <s v="Mid"/>
  </r>
  <r>
    <n v="27"/>
    <x v="1"/>
    <s v="Travel_Rarely"/>
    <n v="1377"/>
    <x v="0"/>
    <n v="2"/>
    <n v="3"/>
    <s v="Life Sciences"/>
    <n v="1"/>
    <n v="437"/>
    <n v="4"/>
    <x v="1"/>
    <n v="74"/>
    <n v="3"/>
    <n v="2"/>
    <x v="0"/>
    <n v="3"/>
    <s v="Single"/>
    <n v="4478"/>
    <n v="5242"/>
    <n v="1"/>
    <s v="Y"/>
    <x v="0"/>
    <n v="11"/>
    <n v="3"/>
    <n v="1"/>
    <n v="80"/>
    <n v="0"/>
    <n v="5"/>
    <n v="3"/>
    <n v="3"/>
    <n v="5"/>
    <n v="4"/>
    <n v="0"/>
    <n v="4"/>
    <x v="2"/>
    <s v="Mid"/>
  </r>
  <r>
    <n v="31"/>
    <x v="1"/>
    <s v="Travel_Rarely"/>
    <n v="691"/>
    <x v="0"/>
    <n v="7"/>
    <n v="3"/>
    <s v="Marketing"/>
    <n v="1"/>
    <n v="438"/>
    <n v="4"/>
    <x v="1"/>
    <n v="73"/>
    <n v="3"/>
    <n v="2"/>
    <x v="0"/>
    <n v="4"/>
    <s v="Divorced"/>
    <n v="7547"/>
    <n v="7143"/>
    <n v="4"/>
    <s v="Y"/>
    <x v="1"/>
    <n v="12"/>
    <n v="3"/>
    <n v="4"/>
    <n v="80"/>
    <n v="3"/>
    <n v="13"/>
    <n v="3"/>
    <n v="3"/>
    <n v="7"/>
    <n v="7"/>
    <n v="1"/>
    <n v="7"/>
    <x v="2"/>
    <s v="High"/>
  </r>
  <r>
    <n v="32"/>
    <x v="1"/>
    <s v="Travel_Rarely"/>
    <n v="1018"/>
    <x v="1"/>
    <n v="2"/>
    <n v="4"/>
    <s v="Medical"/>
    <n v="1"/>
    <n v="439"/>
    <n v="1"/>
    <x v="0"/>
    <n v="74"/>
    <n v="4"/>
    <n v="2"/>
    <x v="1"/>
    <n v="4"/>
    <s v="Single"/>
    <n v="5055"/>
    <n v="10557"/>
    <n v="7"/>
    <s v="Y"/>
    <x v="1"/>
    <n v="16"/>
    <n v="3"/>
    <n v="3"/>
    <n v="80"/>
    <n v="0"/>
    <n v="10"/>
    <n v="0"/>
    <n v="2"/>
    <n v="7"/>
    <n v="7"/>
    <n v="0"/>
    <n v="7"/>
    <x v="2"/>
    <s v="Mid"/>
  </r>
  <r>
    <n v="28"/>
    <x v="0"/>
    <s v="Travel_Rarely"/>
    <n v="1157"/>
    <x v="1"/>
    <n v="2"/>
    <n v="4"/>
    <s v="Medical"/>
    <n v="1"/>
    <n v="440"/>
    <n v="1"/>
    <x v="1"/>
    <n v="84"/>
    <n v="1"/>
    <n v="1"/>
    <x v="1"/>
    <n v="4"/>
    <s v="Married"/>
    <n v="3464"/>
    <n v="24737"/>
    <n v="5"/>
    <s v="Y"/>
    <x v="0"/>
    <n v="13"/>
    <n v="3"/>
    <n v="4"/>
    <n v="80"/>
    <n v="0"/>
    <n v="5"/>
    <n v="4"/>
    <n v="2"/>
    <n v="3"/>
    <n v="2"/>
    <n v="2"/>
    <n v="2"/>
    <x v="2"/>
    <s v="Mid"/>
  </r>
  <r>
    <n v="30"/>
    <x v="1"/>
    <s v="Travel_Rarely"/>
    <n v="1275"/>
    <x v="1"/>
    <n v="28"/>
    <n v="2"/>
    <s v="Medical"/>
    <n v="1"/>
    <n v="441"/>
    <n v="4"/>
    <x v="0"/>
    <n v="64"/>
    <n v="3"/>
    <n v="2"/>
    <x v="1"/>
    <n v="4"/>
    <s v="Married"/>
    <n v="5775"/>
    <n v="11934"/>
    <n v="1"/>
    <s v="Y"/>
    <x v="1"/>
    <n v="13"/>
    <n v="3"/>
    <n v="4"/>
    <n v="80"/>
    <n v="2"/>
    <n v="11"/>
    <n v="2"/>
    <n v="3"/>
    <n v="10"/>
    <n v="8"/>
    <n v="1"/>
    <n v="9"/>
    <x v="2"/>
    <s v="Mid"/>
  </r>
  <r>
    <n v="31"/>
    <x v="1"/>
    <s v="Travel_Frequently"/>
    <n v="798"/>
    <x v="1"/>
    <n v="7"/>
    <n v="2"/>
    <s v="Life Sciences"/>
    <n v="1"/>
    <n v="442"/>
    <n v="3"/>
    <x v="0"/>
    <n v="48"/>
    <n v="2"/>
    <n v="3"/>
    <x v="3"/>
    <n v="3"/>
    <s v="Married"/>
    <n v="8943"/>
    <n v="14034"/>
    <n v="1"/>
    <s v="Y"/>
    <x v="1"/>
    <n v="24"/>
    <n v="4"/>
    <n v="1"/>
    <n v="80"/>
    <n v="1"/>
    <n v="10"/>
    <n v="2"/>
    <n v="3"/>
    <n v="10"/>
    <n v="9"/>
    <n v="8"/>
    <n v="9"/>
    <x v="2"/>
    <s v="High"/>
  </r>
  <r>
    <n v="39"/>
    <x v="1"/>
    <s v="Travel_Frequently"/>
    <n v="672"/>
    <x v="1"/>
    <n v="7"/>
    <n v="2"/>
    <s v="Medical"/>
    <n v="1"/>
    <n v="444"/>
    <n v="3"/>
    <x v="1"/>
    <n v="54"/>
    <n v="2"/>
    <n v="5"/>
    <x v="5"/>
    <n v="4"/>
    <s v="Married"/>
    <n v="19272"/>
    <n v="21141"/>
    <n v="1"/>
    <s v="Y"/>
    <x v="1"/>
    <n v="15"/>
    <n v="3"/>
    <n v="1"/>
    <n v="80"/>
    <n v="1"/>
    <n v="21"/>
    <n v="2"/>
    <n v="3"/>
    <n v="21"/>
    <n v="9"/>
    <n v="13"/>
    <n v="3"/>
    <x v="0"/>
    <s v="Top"/>
  </r>
  <r>
    <n v="39"/>
    <x v="0"/>
    <s v="Travel_Rarely"/>
    <n v="1162"/>
    <x v="0"/>
    <n v="3"/>
    <n v="2"/>
    <s v="Medical"/>
    <n v="1"/>
    <n v="445"/>
    <n v="4"/>
    <x v="0"/>
    <n v="41"/>
    <n v="3"/>
    <n v="2"/>
    <x v="0"/>
    <n v="3"/>
    <s v="Married"/>
    <n v="5238"/>
    <n v="17778"/>
    <n v="4"/>
    <s v="Y"/>
    <x v="0"/>
    <n v="18"/>
    <n v="3"/>
    <n v="1"/>
    <n v="80"/>
    <n v="0"/>
    <n v="12"/>
    <n v="3"/>
    <n v="2"/>
    <n v="1"/>
    <n v="0"/>
    <n v="0"/>
    <n v="0"/>
    <x v="0"/>
    <s v="Mid"/>
  </r>
  <r>
    <n v="33"/>
    <x v="1"/>
    <s v="Travel_Frequently"/>
    <n v="508"/>
    <x v="0"/>
    <n v="10"/>
    <n v="3"/>
    <s v="Marketing"/>
    <n v="1"/>
    <n v="446"/>
    <n v="2"/>
    <x v="1"/>
    <n v="46"/>
    <n v="2"/>
    <n v="2"/>
    <x v="0"/>
    <n v="4"/>
    <s v="Single"/>
    <n v="4682"/>
    <n v="4317"/>
    <n v="3"/>
    <s v="Y"/>
    <x v="1"/>
    <n v="14"/>
    <n v="3"/>
    <n v="3"/>
    <n v="80"/>
    <n v="0"/>
    <n v="9"/>
    <n v="6"/>
    <n v="2"/>
    <n v="7"/>
    <n v="7"/>
    <n v="0"/>
    <n v="1"/>
    <x v="2"/>
    <s v="Mid"/>
  </r>
  <r>
    <n v="47"/>
    <x v="1"/>
    <s v="Travel_Rarely"/>
    <n v="1482"/>
    <x v="1"/>
    <n v="5"/>
    <n v="5"/>
    <s v="Life Sciences"/>
    <n v="1"/>
    <n v="447"/>
    <n v="4"/>
    <x v="1"/>
    <n v="42"/>
    <n v="3"/>
    <n v="5"/>
    <x v="7"/>
    <n v="3"/>
    <s v="Married"/>
    <n v="18300"/>
    <n v="16375"/>
    <n v="4"/>
    <s v="Y"/>
    <x v="1"/>
    <n v="11"/>
    <n v="3"/>
    <n v="2"/>
    <n v="80"/>
    <n v="1"/>
    <n v="21"/>
    <n v="2"/>
    <n v="3"/>
    <n v="3"/>
    <n v="2"/>
    <n v="1"/>
    <n v="1"/>
    <x v="1"/>
    <s v="Top"/>
  </r>
  <r>
    <n v="43"/>
    <x v="1"/>
    <s v="Travel_Frequently"/>
    <n v="559"/>
    <x v="1"/>
    <n v="10"/>
    <n v="4"/>
    <s v="Life Sciences"/>
    <n v="1"/>
    <n v="448"/>
    <n v="3"/>
    <x v="0"/>
    <n v="82"/>
    <n v="2"/>
    <n v="2"/>
    <x v="2"/>
    <n v="3"/>
    <s v="Divorced"/>
    <n v="5257"/>
    <n v="6227"/>
    <n v="1"/>
    <s v="Y"/>
    <x v="1"/>
    <n v="11"/>
    <n v="3"/>
    <n v="2"/>
    <n v="80"/>
    <n v="1"/>
    <n v="9"/>
    <n v="3"/>
    <n v="4"/>
    <n v="9"/>
    <n v="7"/>
    <n v="0"/>
    <n v="0"/>
    <x v="0"/>
    <s v="Mid"/>
  </r>
  <r>
    <n v="27"/>
    <x v="1"/>
    <s v="Non-Travel"/>
    <n v="210"/>
    <x v="0"/>
    <n v="1"/>
    <n v="1"/>
    <s v="Marketing"/>
    <n v="1"/>
    <n v="449"/>
    <n v="3"/>
    <x v="1"/>
    <n v="73"/>
    <n v="3"/>
    <n v="2"/>
    <x v="0"/>
    <n v="2"/>
    <s v="Married"/>
    <n v="6349"/>
    <n v="22107"/>
    <n v="0"/>
    <s v="Y"/>
    <x v="0"/>
    <n v="13"/>
    <n v="3"/>
    <n v="4"/>
    <n v="80"/>
    <n v="1"/>
    <n v="6"/>
    <n v="0"/>
    <n v="3"/>
    <n v="5"/>
    <n v="4"/>
    <n v="1"/>
    <n v="4"/>
    <x v="2"/>
    <s v="Mid"/>
  </r>
  <r>
    <n v="54"/>
    <x v="1"/>
    <s v="Travel_Frequently"/>
    <n v="928"/>
    <x v="1"/>
    <n v="20"/>
    <n v="4"/>
    <s v="Life Sciences"/>
    <n v="1"/>
    <n v="450"/>
    <n v="4"/>
    <x v="0"/>
    <n v="31"/>
    <n v="3"/>
    <n v="2"/>
    <x v="1"/>
    <n v="3"/>
    <s v="Single"/>
    <n v="4869"/>
    <n v="16885"/>
    <n v="3"/>
    <s v="Y"/>
    <x v="1"/>
    <n v="12"/>
    <n v="3"/>
    <n v="4"/>
    <n v="80"/>
    <n v="0"/>
    <n v="20"/>
    <n v="4"/>
    <n v="2"/>
    <n v="4"/>
    <n v="3"/>
    <n v="0"/>
    <n v="3"/>
    <x v="1"/>
    <s v="Mid"/>
  </r>
  <r>
    <n v="43"/>
    <x v="1"/>
    <s v="Travel_Rarely"/>
    <n v="1001"/>
    <x v="1"/>
    <n v="7"/>
    <n v="3"/>
    <s v="Life Sciences"/>
    <n v="1"/>
    <n v="451"/>
    <n v="3"/>
    <x v="0"/>
    <n v="43"/>
    <n v="3"/>
    <n v="3"/>
    <x v="4"/>
    <n v="1"/>
    <s v="Married"/>
    <n v="9985"/>
    <n v="9262"/>
    <n v="8"/>
    <s v="Y"/>
    <x v="1"/>
    <n v="16"/>
    <n v="3"/>
    <n v="1"/>
    <n v="80"/>
    <n v="1"/>
    <n v="10"/>
    <n v="1"/>
    <n v="2"/>
    <n v="1"/>
    <n v="0"/>
    <n v="0"/>
    <n v="0"/>
    <x v="0"/>
    <s v="High"/>
  </r>
  <r>
    <n v="45"/>
    <x v="1"/>
    <s v="Travel_Rarely"/>
    <n v="549"/>
    <x v="1"/>
    <n v="8"/>
    <n v="4"/>
    <s v="Other"/>
    <n v="1"/>
    <n v="452"/>
    <n v="4"/>
    <x v="1"/>
    <n v="75"/>
    <n v="3"/>
    <n v="2"/>
    <x v="1"/>
    <n v="4"/>
    <s v="Married"/>
    <n v="3697"/>
    <n v="9278"/>
    <n v="9"/>
    <s v="Y"/>
    <x v="1"/>
    <n v="14"/>
    <n v="3"/>
    <n v="1"/>
    <n v="80"/>
    <n v="2"/>
    <n v="12"/>
    <n v="3"/>
    <n v="3"/>
    <n v="10"/>
    <n v="9"/>
    <n v="9"/>
    <n v="8"/>
    <x v="0"/>
    <s v="Mid"/>
  </r>
  <r>
    <n v="40"/>
    <x v="1"/>
    <s v="Travel_Rarely"/>
    <n v="1124"/>
    <x v="0"/>
    <n v="1"/>
    <n v="2"/>
    <s v="Medical"/>
    <n v="1"/>
    <n v="453"/>
    <n v="2"/>
    <x v="1"/>
    <n v="57"/>
    <n v="1"/>
    <n v="2"/>
    <x v="0"/>
    <n v="4"/>
    <s v="Married"/>
    <n v="7457"/>
    <n v="13273"/>
    <n v="2"/>
    <s v="Y"/>
    <x v="0"/>
    <n v="22"/>
    <n v="4"/>
    <n v="3"/>
    <n v="80"/>
    <n v="3"/>
    <n v="6"/>
    <n v="2"/>
    <n v="2"/>
    <n v="4"/>
    <n v="3"/>
    <n v="0"/>
    <n v="2"/>
    <x v="0"/>
    <s v="High"/>
  </r>
  <r>
    <n v="29"/>
    <x v="0"/>
    <s v="Travel_Rarely"/>
    <n v="318"/>
    <x v="1"/>
    <n v="8"/>
    <n v="4"/>
    <s v="Other"/>
    <n v="1"/>
    <n v="454"/>
    <n v="2"/>
    <x v="1"/>
    <n v="77"/>
    <n v="1"/>
    <n v="1"/>
    <x v="2"/>
    <n v="1"/>
    <s v="Married"/>
    <n v="2119"/>
    <n v="4759"/>
    <n v="1"/>
    <s v="Y"/>
    <x v="0"/>
    <n v="11"/>
    <n v="3"/>
    <n v="4"/>
    <n v="80"/>
    <n v="0"/>
    <n v="7"/>
    <n v="4"/>
    <n v="2"/>
    <n v="7"/>
    <n v="7"/>
    <n v="0"/>
    <n v="7"/>
    <x v="2"/>
    <s v="Low"/>
  </r>
  <r>
    <n v="29"/>
    <x v="1"/>
    <s v="Travel_Rarely"/>
    <n v="738"/>
    <x v="1"/>
    <n v="9"/>
    <n v="5"/>
    <s v="Other"/>
    <n v="1"/>
    <n v="455"/>
    <n v="2"/>
    <x v="1"/>
    <n v="30"/>
    <n v="2"/>
    <n v="1"/>
    <x v="2"/>
    <n v="4"/>
    <s v="Single"/>
    <n v="3983"/>
    <n v="7621"/>
    <n v="0"/>
    <s v="Y"/>
    <x v="1"/>
    <n v="17"/>
    <n v="3"/>
    <n v="3"/>
    <n v="80"/>
    <n v="0"/>
    <n v="4"/>
    <n v="2"/>
    <n v="3"/>
    <n v="3"/>
    <n v="2"/>
    <n v="2"/>
    <n v="2"/>
    <x v="2"/>
    <s v="Mid"/>
  </r>
  <r>
    <n v="30"/>
    <x v="1"/>
    <s v="Travel_Rarely"/>
    <n v="570"/>
    <x v="0"/>
    <n v="5"/>
    <n v="3"/>
    <s v="Marketing"/>
    <n v="1"/>
    <n v="456"/>
    <n v="4"/>
    <x v="0"/>
    <n v="30"/>
    <n v="2"/>
    <n v="2"/>
    <x v="0"/>
    <n v="3"/>
    <s v="Divorced"/>
    <n v="6118"/>
    <n v="5431"/>
    <n v="1"/>
    <s v="Y"/>
    <x v="1"/>
    <n v="13"/>
    <n v="3"/>
    <n v="3"/>
    <n v="80"/>
    <n v="3"/>
    <n v="10"/>
    <n v="2"/>
    <n v="3"/>
    <n v="10"/>
    <n v="9"/>
    <n v="1"/>
    <n v="2"/>
    <x v="2"/>
    <s v="Mid"/>
  </r>
  <r>
    <n v="27"/>
    <x v="1"/>
    <s v="Travel_Rarely"/>
    <n v="1130"/>
    <x v="0"/>
    <n v="8"/>
    <n v="4"/>
    <s v="Marketing"/>
    <n v="1"/>
    <n v="458"/>
    <n v="2"/>
    <x v="0"/>
    <n v="56"/>
    <n v="3"/>
    <n v="2"/>
    <x v="0"/>
    <n v="2"/>
    <s v="Married"/>
    <n v="6214"/>
    <n v="3415"/>
    <n v="1"/>
    <s v="Y"/>
    <x v="1"/>
    <n v="18"/>
    <n v="3"/>
    <n v="1"/>
    <n v="80"/>
    <n v="1"/>
    <n v="8"/>
    <n v="3"/>
    <n v="3"/>
    <n v="8"/>
    <n v="7"/>
    <n v="0"/>
    <n v="7"/>
    <x v="2"/>
    <s v="Mid"/>
  </r>
  <r>
    <n v="37"/>
    <x v="1"/>
    <s v="Travel_Rarely"/>
    <n v="1192"/>
    <x v="1"/>
    <n v="5"/>
    <n v="2"/>
    <s v="Medical"/>
    <n v="1"/>
    <n v="460"/>
    <n v="4"/>
    <x v="1"/>
    <n v="61"/>
    <n v="3"/>
    <n v="2"/>
    <x v="3"/>
    <n v="4"/>
    <s v="Divorced"/>
    <n v="6347"/>
    <n v="23177"/>
    <n v="7"/>
    <s v="Y"/>
    <x v="1"/>
    <n v="16"/>
    <n v="3"/>
    <n v="3"/>
    <n v="80"/>
    <n v="2"/>
    <n v="8"/>
    <n v="2"/>
    <n v="2"/>
    <n v="6"/>
    <n v="2"/>
    <n v="0"/>
    <n v="4"/>
    <x v="0"/>
    <s v="Mid"/>
  </r>
  <r>
    <n v="38"/>
    <x v="1"/>
    <s v="Travel_Rarely"/>
    <n v="343"/>
    <x v="1"/>
    <n v="15"/>
    <n v="2"/>
    <s v="Life Sciences"/>
    <n v="1"/>
    <n v="461"/>
    <n v="3"/>
    <x v="1"/>
    <n v="92"/>
    <n v="2"/>
    <n v="3"/>
    <x v="7"/>
    <n v="4"/>
    <s v="Divorced"/>
    <n v="11510"/>
    <n v="15682"/>
    <n v="0"/>
    <s v="Y"/>
    <x v="0"/>
    <n v="14"/>
    <n v="3"/>
    <n v="2"/>
    <n v="80"/>
    <n v="1"/>
    <n v="12"/>
    <n v="3"/>
    <n v="3"/>
    <n v="11"/>
    <n v="10"/>
    <n v="2"/>
    <n v="9"/>
    <x v="0"/>
    <s v="High"/>
  </r>
  <r>
    <n v="31"/>
    <x v="1"/>
    <s v="Travel_Rarely"/>
    <n v="1232"/>
    <x v="1"/>
    <n v="7"/>
    <n v="4"/>
    <s v="Medical"/>
    <n v="1"/>
    <n v="462"/>
    <n v="3"/>
    <x v="0"/>
    <n v="39"/>
    <n v="3"/>
    <n v="3"/>
    <x v="3"/>
    <n v="4"/>
    <s v="Single"/>
    <n v="7143"/>
    <n v="25713"/>
    <n v="1"/>
    <s v="Y"/>
    <x v="0"/>
    <n v="14"/>
    <n v="3"/>
    <n v="3"/>
    <n v="80"/>
    <n v="0"/>
    <n v="11"/>
    <n v="2"/>
    <n v="2"/>
    <n v="11"/>
    <n v="9"/>
    <n v="4"/>
    <n v="10"/>
    <x v="2"/>
    <s v="High"/>
  </r>
  <r>
    <n v="29"/>
    <x v="1"/>
    <s v="Travel_Rarely"/>
    <n v="144"/>
    <x v="0"/>
    <n v="10"/>
    <n v="1"/>
    <s v="Marketing"/>
    <n v="1"/>
    <n v="463"/>
    <n v="4"/>
    <x v="0"/>
    <n v="39"/>
    <n v="2"/>
    <n v="2"/>
    <x v="0"/>
    <n v="2"/>
    <s v="Divorced"/>
    <n v="8268"/>
    <n v="11866"/>
    <n v="1"/>
    <s v="Y"/>
    <x v="0"/>
    <n v="14"/>
    <n v="3"/>
    <n v="1"/>
    <n v="80"/>
    <n v="2"/>
    <n v="7"/>
    <n v="2"/>
    <n v="3"/>
    <n v="7"/>
    <n v="7"/>
    <n v="1"/>
    <n v="7"/>
    <x v="2"/>
    <s v="High"/>
  </r>
  <r>
    <n v="35"/>
    <x v="1"/>
    <s v="Travel_Rarely"/>
    <n v="1296"/>
    <x v="1"/>
    <n v="5"/>
    <n v="4"/>
    <s v="Technical Degree"/>
    <n v="1"/>
    <n v="464"/>
    <n v="3"/>
    <x v="1"/>
    <n v="62"/>
    <n v="3"/>
    <n v="3"/>
    <x v="3"/>
    <n v="2"/>
    <s v="Single"/>
    <n v="8095"/>
    <n v="18264"/>
    <n v="0"/>
    <s v="Y"/>
    <x v="1"/>
    <n v="13"/>
    <n v="3"/>
    <n v="4"/>
    <n v="80"/>
    <n v="0"/>
    <n v="17"/>
    <n v="5"/>
    <n v="3"/>
    <n v="16"/>
    <n v="6"/>
    <n v="0"/>
    <n v="13"/>
    <x v="2"/>
    <s v="High"/>
  </r>
  <r>
    <n v="23"/>
    <x v="1"/>
    <s v="Travel_Rarely"/>
    <n v="1309"/>
    <x v="1"/>
    <n v="26"/>
    <n v="1"/>
    <s v="Life Sciences"/>
    <n v="1"/>
    <n v="465"/>
    <n v="3"/>
    <x v="1"/>
    <n v="83"/>
    <n v="3"/>
    <n v="1"/>
    <x v="1"/>
    <n v="4"/>
    <s v="Divorced"/>
    <n v="2904"/>
    <n v="16092"/>
    <n v="1"/>
    <s v="Y"/>
    <x v="1"/>
    <n v="12"/>
    <n v="3"/>
    <n v="3"/>
    <n v="80"/>
    <n v="2"/>
    <n v="4"/>
    <n v="2"/>
    <n v="2"/>
    <n v="4"/>
    <n v="2"/>
    <n v="0"/>
    <n v="2"/>
    <x v="3"/>
    <s v="Low"/>
  </r>
  <r>
    <n v="41"/>
    <x v="1"/>
    <s v="Travel_Rarely"/>
    <n v="483"/>
    <x v="1"/>
    <n v="6"/>
    <n v="3"/>
    <s v="Medical"/>
    <n v="1"/>
    <n v="466"/>
    <n v="4"/>
    <x v="1"/>
    <n v="95"/>
    <n v="2"/>
    <n v="2"/>
    <x v="3"/>
    <n v="2"/>
    <s v="Single"/>
    <n v="6032"/>
    <n v="10110"/>
    <n v="6"/>
    <s v="Y"/>
    <x v="0"/>
    <n v="15"/>
    <n v="3"/>
    <n v="4"/>
    <n v="80"/>
    <n v="0"/>
    <n v="8"/>
    <n v="3"/>
    <n v="3"/>
    <n v="5"/>
    <n v="4"/>
    <n v="1"/>
    <n v="2"/>
    <x v="0"/>
    <s v="Mid"/>
  </r>
  <r>
    <n v="47"/>
    <x v="1"/>
    <s v="Travel_Frequently"/>
    <n v="1309"/>
    <x v="0"/>
    <n v="4"/>
    <n v="1"/>
    <s v="Medical"/>
    <n v="1"/>
    <n v="467"/>
    <n v="2"/>
    <x v="1"/>
    <n v="99"/>
    <n v="3"/>
    <n v="2"/>
    <x v="6"/>
    <n v="3"/>
    <s v="Single"/>
    <n v="2976"/>
    <n v="25751"/>
    <n v="3"/>
    <s v="Y"/>
    <x v="1"/>
    <n v="19"/>
    <n v="3"/>
    <n v="1"/>
    <n v="80"/>
    <n v="0"/>
    <n v="5"/>
    <n v="3"/>
    <n v="3"/>
    <n v="0"/>
    <n v="0"/>
    <n v="0"/>
    <n v="0"/>
    <x v="1"/>
    <s v="Low"/>
  </r>
  <r>
    <n v="42"/>
    <x v="1"/>
    <s v="Travel_Rarely"/>
    <n v="810"/>
    <x v="1"/>
    <n v="23"/>
    <n v="5"/>
    <s v="Life Sciences"/>
    <n v="1"/>
    <n v="468"/>
    <n v="1"/>
    <x v="0"/>
    <n v="44"/>
    <n v="3"/>
    <n v="4"/>
    <x v="7"/>
    <n v="4"/>
    <s v="Single"/>
    <n v="15992"/>
    <n v="15901"/>
    <n v="2"/>
    <s v="Y"/>
    <x v="1"/>
    <n v="14"/>
    <n v="3"/>
    <n v="2"/>
    <n v="80"/>
    <n v="0"/>
    <n v="16"/>
    <n v="2"/>
    <n v="3"/>
    <n v="1"/>
    <n v="0"/>
    <n v="0"/>
    <n v="0"/>
    <x v="0"/>
    <s v="Top"/>
  </r>
  <r>
    <n v="29"/>
    <x v="1"/>
    <s v="Non-Travel"/>
    <n v="746"/>
    <x v="0"/>
    <n v="2"/>
    <n v="3"/>
    <s v="Life Sciences"/>
    <n v="1"/>
    <n v="469"/>
    <n v="4"/>
    <x v="1"/>
    <n v="61"/>
    <n v="3"/>
    <n v="2"/>
    <x v="0"/>
    <n v="3"/>
    <s v="Married"/>
    <n v="4649"/>
    <n v="16928"/>
    <n v="1"/>
    <s v="Y"/>
    <x v="1"/>
    <n v="14"/>
    <n v="3"/>
    <n v="1"/>
    <n v="80"/>
    <n v="1"/>
    <n v="4"/>
    <n v="3"/>
    <n v="2"/>
    <n v="4"/>
    <n v="3"/>
    <n v="0"/>
    <n v="2"/>
    <x v="2"/>
    <s v="Mid"/>
  </r>
  <r>
    <n v="42"/>
    <x v="1"/>
    <s v="Travel_Rarely"/>
    <n v="544"/>
    <x v="2"/>
    <n v="2"/>
    <n v="1"/>
    <s v="Technical Degree"/>
    <n v="1"/>
    <n v="470"/>
    <n v="3"/>
    <x v="1"/>
    <n v="52"/>
    <n v="3"/>
    <n v="1"/>
    <x v="8"/>
    <n v="3"/>
    <s v="Divorced"/>
    <n v="2696"/>
    <n v="24017"/>
    <n v="0"/>
    <s v="Y"/>
    <x v="0"/>
    <n v="11"/>
    <n v="3"/>
    <n v="3"/>
    <n v="80"/>
    <n v="1"/>
    <n v="4"/>
    <n v="5"/>
    <n v="3"/>
    <n v="3"/>
    <n v="2"/>
    <n v="1"/>
    <n v="0"/>
    <x v="0"/>
    <s v="Low"/>
  </r>
  <r>
    <n v="32"/>
    <x v="1"/>
    <s v="Travel_Rarely"/>
    <n v="1062"/>
    <x v="1"/>
    <n v="2"/>
    <n v="3"/>
    <s v="Medical"/>
    <n v="1"/>
    <n v="471"/>
    <n v="3"/>
    <x v="0"/>
    <n v="75"/>
    <n v="3"/>
    <n v="1"/>
    <x v="2"/>
    <n v="2"/>
    <s v="Married"/>
    <n v="2370"/>
    <n v="3956"/>
    <n v="1"/>
    <s v="Y"/>
    <x v="1"/>
    <n v="13"/>
    <n v="3"/>
    <n v="3"/>
    <n v="80"/>
    <n v="1"/>
    <n v="8"/>
    <n v="4"/>
    <n v="3"/>
    <n v="8"/>
    <n v="0"/>
    <n v="0"/>
    <n v="7"/>
    <x v="2"/>
    <s v="Low"/>
  </r>
  <r>
    <n v="48"/>
    <x v="1"/>
    <s v="Travel_Rarely"/>
    <n v="530"/>
    <x v="0"/>
    <n v="29"/>
    <n v="1"/>
    <s v="Medical"/>
    <n v="1"/>
    <n v="473"/>
    <n v="1"/>
    <x v="0"/>
    <n v="91"/>
    <n v="3"/>
    <n v="3"/>
    <x v="5"/>
    <n v="3"/>
    <s v="Married"/>
    <n v="12504"/>
    <n v="23978"/>
    <n v="3"/>
    <s v="Y"/>
    <x v="1"/>
    <n v="21"/>
    <n v="4"/>
    <n v="2"/>
    <n v="80"/>
    <n v="1"/>
    <n v="15"/>
    <n v="3"/>
    <n v="1"/>
    <n v="0"/>
    <n v="0"/>
    <n v="0"/>
    <n v="0"/>
    <x v="1"/>
    <s v="Top"/>
  </r>
  <r>
    <n v="37"/>
    <x v="1"/>
    <s v="Travel_Rarely"/>
    <n v="1319"/>
    <x v="1"/>
    <n v="6"/>
    <n v="3"/>
    <s v="Medical"/>
    <n v="1"/>
    <n v="474"/>
    <n v="3"/>
    <x v="1"/>
    <n v="51"/>
    <n v="4"/>
    <n v="2"/>
    <x v="1"/>
    <n v="1"/>
    <s v="Divorced"/>
    <n v="5974"/>
    <n v="17001"/>
    <n v="4"/>
    <s v="Y"/>
    <x v="0"/>
    <n v="13"/>
    <n v="3"/>
    <n v="1"/>
    <n v="80"/>
    <n v="2"/>
    <n v="13"/>
    <n v="2"/>
    <n v="3"/>
    <n v="7"/>
    <n v="7"/>
    <n v="6"/>
    <n v="7"/>
    <x v="0"/>
    <s v="Mid"/>
  </r>
  <r>
    <n v="30"/>
    <x v="1"/>
    <s v="Non-Travel"/>
    <n v="641"/>
    <x v="0"/>
    <n v="25"/>
    <n v="2"/>
    <s v="Technical Degree"/>
    <n v="1"/>
    <n v="475"/>
    <n v="4"/>
    <x v="0"/>
    <n v="85"/>
    <n v="3"/>
    <n v="2"/>
    <x v="0"/>
    <n v="3"/>
    <s v="Married"/>
    <n v="4736"/>
    <n v="6069"/>
    <n v="7"/>
    <s v="Y"/>
    <x v="0"/>
    <n v="12"/>
    <n v="3"/>
    <n v="2"/>
    <n v="80"/>
    <n v="1"/>
    <n v="4"/>
    <n v="2"/>
    <n v="4"/>
    <n v="2"/>
    <n v="2"/>
    <n v="2"/>
    <n v="2"/>
    <x v="2"/>
    <s v="Mid"/>
  </r>
  <r>
    <n v="26"/>
    <x v="1"/>
    <s v="Travel_Rarely"/>
    <n v="933"/>
    <x v="0"/>
    <n v="1"/>
    <n v="3"/>
    <s v="Life Sciences"/>
    <n v="1"/>
    <n v="476"/>
    <n v="3"/>
    <x v="1"/>
    <n v="57"/>
    <n v="3"/>
    <n v="2"/>
    <x v="0"/>
    <n v="3"/>
    <s v="Married"/>
    <n v="5296"/>
    <n v="20156"/>
    <n v="1"/>
    <s v="Y"/>
    <x v="1"/>
    <n v="17"/>
    <n v="3"/>
    <n v="2"/>
    <n v="80"/>
    <n v="1"/>
    <n v="8"/>
    <n v="3"/>
    <n v="3"/>
    <n v="8"/>
    <n v="7"/>
    <n v="7"/>
    <n v="7"/>
    <x v="2"/>
    <s v="Mid"/>
  </r>
  <r>
    <n v="42"/>
    <x v="1"/>
    <s v="Travel_Rarely"/>
    <n v="1332"/>
    <x v="1"/>
    <n v="2"/>
    <n v="4"/>
    <s v="Other"/>
    <n v="1"/>
    <n v="477"/>
    <n v="1"/>
    <x v="1"/>
    <n v="98"/>
    <n v="2"/>
    <n v="2"/>
    <x v="4"/>
    <n v="4"/>
    <s v="Single"/>
    <n v="6781"/>
    <n v="17078"/>
    <n v="3"/>
    <s v="Y"/>
    <x v="1"/>
    <n v="23"/>
    <n v="4"/>
    <n v="2"/>
    <n v="80"/>
    <n v="0"/>
    <n v="14"/>
    <n v="6"/>
    <n v="3"/>
    <n v="1"/>
    <n v="0"/>
    <n v="0"/>
    <n v="0"/>
    <x v="0"/>
    <s v="Mid"/>
  </r>
  <r>
    <n v="21"/>
    <x v="0"/>
    <s v="Travel_Frequently"/>
    <n v="756"/>
    <x v="0"/>
    <n v="1"/>
    <n v="1"/>
    <s v="Technical Degree"/>
    <n v="1"/>
    <n v="478"/>
    <n v="1"/>
    <x v="0"/>
    <n v="99"/>
    <n v="2"/>
    <n v="1"/>
    <x v="6"/>
    <n v="2"/>
    <s v="Single"/>
    <n v="2174"/>
    <n v="9150"/>
    <n v="1"/>
    <s v="Y"/>
    <x v="0"/>
    <n v="11"/>
    <n v="3"/>
    <n v="3"/>
    <n v="80"/>
    <n v="0"/>
    <n v="3"/>
    <n v="3"/>
    <n v="3"/>
    <n v="3"/>
    <n v="2"/>
    <n v="1"/>
    <n v="2"/>
    <x v="3"/>
    <s v="Low"/>
  </r>
  <r>
    <n v="36"/>
    <x v="1"/>
    <s v="Non-Travel"/>
    <n v="845"/>
    <x v="0"/>
    <n v="1"/>
    <n v="5"/>
    <s v="Medical"/>
    <n v="1"/>
    <n v="479"/>
    <n v="4"/>
    <x v="0"/>
    <n v="45"/>
    <n v="3"/>
    <n v="2"/>
    <x v="0"/>
    <n v="4"/>
    <s v="Single"/>
    <n v="6653"/>
    <n v="15276"/>
    <n v="4"/>
    <s v="Y"/>
    <x v="1"/>
    <n v="15"/>
    <n v="3"/>
    <n v="2"/>
    <n v="80"/>
    <n v="0"/>
    <n v="7"/>
    <n v="6"/>
    <n v="3"/>
    <n v="1"/>
    <n v="0"/>
    <n v="0"/>
    <n v="0"/>
    <x v="0"/>
    <s v="Mid"/>
  </r>
  <r>
    <n v="36"/>
    <x v="1"/>
    <s v="Travel_Frequently"/>
    <n v="541"/>
    <x v="0"/>
    <n v="3"/>
    <n v="4"/>
    <s v="Medical"/>
    <n v="1"/>
    <n v="481"/>
    <n v="1"/>
    <x v="1"/>
    <n v="48"/>
    <n v="2"/>
    <n v="3"/>
    <x v="0"/>
    <n v="4"/>
    <s v="Married"/>
    <n v="9699"/>
    <n v="7246"/>
    <n v="4"/>
    <s v="Y"/>
    <x v="1"/>
    <n v="11"/>
    <n v="3"/>
    <n v="1"/>
    <n v="80"/>
    <n v="1"/>
    <n v="16"/>
    <n v="2"/>
    <n v="3"/>
    <n v="13"/>
    <n v="9"/>
    <n v="1"/>
    <n v="12"/>
    <x v="0"/>
    <s v="High"/>
  </r>
  <r>
    <n v="57"/>
    <x v="1"/>
    <s v="Travel_Rarely"/>
    <n v="593"/>
    <x v="1"/>
    <n v="1"/>
    <n v="4"/>
    <s v="Medical"/>
    <n v="1"/>
    <n v="482"/>
    <n v="4"/>
    <x v="1"/>
    <n v="88"/>
    <n v="3"/>
    <n v="2"/>
    <x v="4"/>
    <n v="3"/>
    <s v="Married"/>
    <n v="6755"/>
    <n v="2967"/>
    <n v="2"/>
    <s v="Y"/>
    <x v="1"/>
    <n v="11"/>
    <n v="3"/>
    <n v="3"/>
    <n v="80"/>
    <n v="0"/>
    <n v="15"/>
    <n v="2"/>
    <n v="3"/>
    <n v="3"/>
    <n v="2"/>
    <n v="1"/>
    <n v="2"/>
    <x v="1"/>
    <s v="Mid"/>
  </r>
  <r>
    <n v="40"/>
    <x v="1"/>
    <s v="Travel_Rarely"/>
    <n v="1171"/>
    <x v="1"/>
    <n v="10"/>
    <n v="4"/>
    <s v="Life Sciences"/>
    <n v="1"/>
    <n v="483"/>
    <n v="4"/>
    <x v="0"/>
    <n v="46"/>
    <n v="4"/>
    <n v="1"/>
    <x v="2"/>
    <n v="3"/>
    <s v="Married"/>
    <n v="2213"/>
    <n v="22495"/>
    <n v="3"/>
    <s v="Y"/>
    <x v="0"/>
    <n v="13"/>
    <n v="3"/>
    <n v="3"/>
    <n v="80"/>
    <n v="1"/>
    <n v="10"/>
    <n v="3"/>
    <n v="3"/>
    <n v="7"/>
    <n v="7"/>
    <n v="1"/>
    <n v="7"/>
    <x v="0"/>
    <s v="Low"/>
  </r>
  <r>
    <n v="21"/>
    <x v="1"/>
    <s v="Non-Travel"/>
    <n v="895"/>
    <x v="0"/>
    <n v="9"/>
    <n v="2"/>
    <s v="Medical"/>
    <n v="1"/>
    <n v="484"/>
    <n v="1"/>
    <x v="1"/>
    <n v="39"/>
    <n v="3"/>
    <n v="1"/>
    <x v="6"/>
    <n v="4"/>
    <s v="Single"/>
    <n v="2610"/>
    <n v="2851"/>
    <n v="1"/>
    <s v="Y"/>
    <x v="1"/>
    <n v="24"/>
    <n v="4"/>
    <n v="3"/>
    <n v="80"/>
    <n v="0"/>
    <n v="3"/>
    <n v="3"/>
    <n v="2"/>
    <n v="3"/>
    <n v="2"/>
    <n v="2"/>
    <n v="2"/>
    <x v="3"/>
    <s v="Low"/>
  </r>
  <r>
    <n v="33"/>
    <x v="0"/>
    <s v="Travel_Rarely"/>
    <n v="350"/>
    <x v="0"/>
    <n v="5"/>
    <n v="3"/>
    <s v="Marketing"/>
    <n v="1"/>
    <n v="485"/>
    <n v="4"/>
    <x v="0"/>
    <n v="34"/>
    <n v="3"/>
    <n v="1"/>
    <x v="6"/>
    <n v="3"/>
    <s v="Single"/>
    <n v="2851"/>
    <n v="9150"/>
    <n v="1"/>
    <s v="Y"/>
    <x v="0"/>
    <n v="13"/>
    <n v="3"/>
    <n v="2"/>
    <n v="80"/>
    <n v="0"/>
    <n v="1"/>
    <n v="2"/>
    <n v="3"/>
    <n v="1"/>
    <n v="0"/>
    <n v="0"/>
    <n v="0"/>
    <x v="2"/>
    <s v="Low"/>
  </r>
  <r>
    <n v="37"/>
    <x v="1"/>
    <s v="Travel_Rarely"/>
    <n v="921"/>
    <x v="1"/>
    <n v="10"/>
    <n v="3"/>
    <s v="Medical"/>
    <n v="1"/>
    <n v="486"/>
    <n v="3"/>
    <x v="0"/>
    <n v="98"/>
    <n v="3"/>
    <n v="1"/>
    <x v="2"/>
    <n v="1"/>
    <s v="Married"/>
    <n v="3452"/>
    <n v="17663"/>
    <n v="6"/>
    <s v="Y"/>
    <x v="1"/>
    <n v="20"/>
    <n v="4"/>
    <n v="2"/>
    <n v="80"/>
    <n v="1"/>
    <n v="17"/>
    <n v="3"/>
    <n v="3"/>
    <n v="5"/>
    <n v="4"/>
    <n v="0"/>
    <n v="3"/>
    <x v="0"/>
    <s v="Mid"/>
  </r>
  <r>
    <n v="46"/>
    <x v="1"/>
    <s v="Non-Travel"/>
    <n v="1144"/>
    <x v="1"/>
    <n v="7"/>
    <n v="4"/>
    <s v="Medical"/>
    <n v="1"/>
    <n v="487"/>
    <n v="3"/>
    <x v="0"/>
    <n v="30"/>
    <n v="3"/>
    <n v="2"/>
    <x v="3"/>
    <n v="3"/>
    <s v="Married"/>
    <n v="5258"/>
    <n v="16044"/>
    <n v="2"/>
    <s v="Y"/>
    <x v="1"/>
    <n v="14"/>
    <n v="3"/>
    <n v="3"/>
    <n v="80"/>
    <n v="0"/>
    <n v="7"/>
    <n v="2"/>
    <n v="4"/>
    <n v="1"/>
    <n v="0"/>
    <n v="0"/>
    <n v="0"/>
    <x v="1"/>
    <s v="Mid"/>
  </r>
  <r>
    <n v="41"/>
    <x v="0"/>
    <s v="Travel_Frequently"/>
    <n v="143"/>
    <x v="0"/>
    <n v="4"/>
    <n v="3"/>
    <s v="Marketing"/>
    <n v="1"/>
    <n v="488"/>
    <n v="1"/>
    <x v="1"/>
    <n v="56"/>
    <n v="3"/>
    <n v="2"/>
    <x v="0"/>
    <n v="2"/>
    <s v="Single"/>
    <n v="9355"/>
    <n v="9558"/>
    <n v="1"/>
    <s v="Y"/>
    <x v="1"/>
    <n v="18"/>
    <n v="3"/>
    <n v="3"/>
    <n v="80"/>
    <n v="0"/>
    <n v="8"/>
    <n v="5"/>
    <n v="3"/>
    <n v="8"/>
    <n v="7"/>
    <n v="7"/>
    <n v="7"/>
    <x v="0"/>
    <s v="High"/>
  </r>
  <r>
    <n v="50"/>
    <x v="1"/>
    <s v="Travel_Rarely"/>
    <n v="1046"/>
    <x v="1"/>
    <n v="10"/>
    <n v="3"/>
    <s v="Technical Degree"/>
    <n v="1"/>
    <n v="491"/>
    <n v="4"/>
    <x v="1"/>
    <n v="100"/>
    <n v="2"/>
    <n v="3"/>
    <x v="4"/>
    <n v="4"/>
    <s v="Single"/>
    <n v="10496"/>
    <n v="2755"/>
    <n v="6"/>
    <s v="Y"/>
    <x v="1"/>
    <n v="15"/>
    <n v="3"/>
    <n v="4"/>
    <n v="80"/>
    <n v="0"/>
    <n v="20"/>
    <n v="2"/>
    <n v="3"/>
    <n v="4"/>
    <n v="3"/>
    <n v="1"/>
    <n v="3"/>
    <x v="1"/>
    <s v="High"/>
  </r>
  <r>
    <n v="40"/>
    <x v="0"/>
    <s v="Travel_Rarely"/>
    <n v="575"/>
    <x v="0"/>
    <n v="22"/>
    <n v="2"/>
    <s v="Marketing"/>
    <n v="1"/>
    <n v="492"/>
    <n v="3"/>
    <x v="1"/>
    <n v="68"/>
    <n v="2"/>
    <n v="2"/>
    <x v="0"/>
    <n v="3"/>
    <s v="Married"/>
    <n v="6380"/>
    <n v="6110"/>
    <n v="2"/>
    <s v="Y"/>
    <x v="0"/>
    <n v="12"/>
    <n v="3"/>
    <n v="1"/>
    <n v="80"/>
    <n v="2"/>
    <n v="8"/>
    <n v="6"/>
    <n v="3"/>
    <n v="6"/>
    <n v="4"/>
    <n v="1"/>
    <n v="0"/>
    <x v="0"/>
    <s v="Mid"/>
  </r>
  <r>
    <n v="31"/>
    <x v="1"/>
    <s v="Travel_Rarely"/>
    <n v="408"/>
    <x v="1"/>
    <n v="9"/>
    <n v="4"/>
    <s v="Life Sciences"/>
    <n v="1"/>
    <n v="493"/>
    <n v="3"/>
    <x v="1"/>
    <n v="42"/>
    <n v="2"/>
    <n v="1"/>
    <x v="1"/>
    <n v="2"/>
    <s v="Single"/>
    <n v="2657"/>
    <n v="7551"/>
    <n v="0"/>
    <s v="Y"/>
    <x v="0"/>
    <n v="16"/>
    <n v="3"/>
    <n v="4"/>
    <n v="80"/>
    <n v="0"/>
    <n v="3"/>
    <n v="5"/>
    <n v="3"/>
    <n v="2"/>
    <n v="2"/>
    <n v="2"/>
    <n v="2"/>
    <x v="2"/>
    <s v="Low"/>
  </r>
  <r>
    <n v="21"/>
    <x v="0"/>
    <s v="Travel_Rarely"/>
    <n v="156"/>
    <x v="0"/>
    <n v="12"/>
    <n v="3"/>
    <s v="Life Sciences"/>
    <n v="1"/>
    <n v="494"/>
    <n v="3"/>
    <x v="0"/>
    <n v="90"/>
    <n v="4"/>
    <n v="1"/>
    <x v="6"/>
    <n v="2"/>
    <s v="Single"/>
    <n v="2716"/>
    <n v="25422"/>
    <n v="1"/>
    <s v="Y"/>
    <x v="1"/>
    <n v="15"/>
    <n v="3"/>
    <n v="4"/>
    <n v="80"/>
    <n v="0"/>
    <n v="1"/>
    <n v="0"/>
    <n v="3"/>
    <n v="1"/>
    <n v="0"/>
    <n v="0"/>
    <n v="0"/>
    <x v="3"/>
    <s v="Low"/>
  </r>
  <r>
    <n v="29"/>
    <x v="1"/>
    <s v="Travel_Rarely"/>
    <n v="1283"/>
    <x v="1"/>
    <n v="23"/>
    <n v="3"/>
    <s v="Life Sciences"/>
    <n v="1"/>
    <n v="495"/>
    <n v="4"/>
    <x v="1"/>
    <n v="54"/>
    <n v="3"/>
    <n v="1"/>
    <x v="1"/>
    <n v="4"/>
    <s v="Single"/>
    <n v="2201"/>
    <n v="18168"/>
    <n v="9"/>
    <s v="Y"/>
    <x v="1"/>
    <n v="16"/>
    <n v="3"/>
    <n v="4"/>
    <n v="80"/>
    <n v="0"/>
    <n v="6"/>
    <n v="4"/>
    <n v="3"/>
    <n v="3"/>
    <n v="2"/>
    <n v="1"/>
    <n v="2"/>
    <x v="2"/>
    <s v="Low"/>
  </r>
  <r>
    <n v="35"/>
    <x v="1"/>
    <s v="Travel_Rarely"/>
    <n v="755"/>
    <x v="1"/>
    <n v="9"/>
    <n v="4"/>
    <s v="Life Sciences"/>
    <n v="1"/>
    <n v="496"/>
    <n v="3"/>
    <x v="1"/>
    <n v="97"/>
    <n v="2"/>
    <n v="2"/>
    <x v="4"/>
    <n v="2"/>
    <s v="Single"/>
    <n v="6540"/>
    <n v="19394"/>
    <n v="9"/>
    <s v="Y"/>
    <x v="1"/>
    <n v="19"/>
    <n v="3"/>
    <n v="3"/>
    <n v="80"/>
    <n v="0"/>
    <n v="10"/>
    <n v="5"/>
    <n v="3"/>
    <n v="1"/>
    <n v="1"/>
    <n v="0"/>
    <n v="0"/>
    <x v="2"/>
    <s v="Mid"/>
  </r>
  <r>
    <n v="27"/>
    <x v="1"/>
    <s v="Travel_Rarely"/>
    <n v="1469"/>
    <x v="1"/>
    <n v="1"/>
    <n v="2"/>
    <s v="Medical"/>
    <n v="1"/>
    <n v="497"/>
    <n v="4"/>
    <x v="1"/>
    <n v="82"/>
    <n v="3"/>
    <n v="1"/>
    <x v="2"/>
    <n v="2"/>
    <s v="Divorced"/>
    <n v="3816"/>
    <n v="17881"/>
    <n v="1"/>
    <s v="Y"/>
    <x v="1"/>
    <n v="11"/>
    <n v="3"/>
    <n v="2"/>
    <n v="80"/>
    <n v="1"/>
    <n v="5"/>
    <n v="2"/>
    <n v="3"/>
    <n v="5"/>
    <n v="2"/>
    <n v="0"/>
    <n v="4"/>
    <x v="2"/>
    <s v="Mid"/>
  </r>
  <r>
    <n v="28"/>
    <x v="1"/>
    <s v="Travel_Rarely"/>
    <n v="304"/>
    <x v="0"/>
    <n v="9"/>
    <n v="4"/>
    <s v="Life Sciences"/>
    <n v="1"/>
    <n v="498"/>
    <n v="2"/>
    <x v="1"/>
    <n v="92"/>
    <n v="3"/>
    <n v="2"/>
    <x v="0"/>
    <n v="4"/>
    <s v="Single"/>
    <n v="5253"/>
    <n v="20750"/>
    <n v="1"/>
    <s v="Y"/>
    <x v="1"/>
    <n v="16"/>
    <n v="3"/>
    <n v="4"/>
    <n v="80"/>
    <n v="0"/>
    <n v="7"/>
    <n v="1"/>
    <n v="3"/>
    <n v="7"/>
    <n v="5"/>
    <n v="0"/>
    <n v="7"/>
    <x v="2"/>
    <s v="Mid"/>
  </r>
  <r>
    <n v="49"/>
    <x v="1"/>
    <s v="Travel_Rarely"/>
    <n v="1261"/>
    <x v="1"/>
    <n v="7"/>
    <n v="3"/>
    <s v="Other"/>
    <n v="1"/>
    <n v="499"/>
    <n v="2"/>
    <x v="1"/>
    <n v="31"/>
    <n v="2"/>
    <n v="3"/>
    <x v="4"/>
    <n v="3"/>
    <s v="Single"/>
    <n v="10965"/>
    <n v="12066"/>
    <n v="8"/>
    <s v="Y"/>
    <x v="1"/>
    <n v="24"/>
    <n v="4"/>
    <n v="3"/>
    <n v="80"/>
    <n v="0"/>
    <n v="26"/>
    <n v="2"/>
    <n v="3"/>
    <n v="5"/>
    <n v="2"/>
    <n v="0"/>
    <n v="0"/>
    <x v="1"/>
    <s v="High"/>
  </r>
  <r>
    <n v="51"/>
    <x v="1"/>
    <s v="Travel_Rarely"/>
    <n v="1178"/>
    <x v="0"/>
    <n v="14"/>
    <n v="2"/>
    <s v="Life Sciences"/>
    <n v="1"/>
    <n v="500"/>
    <n v="3"/>
    <x v="0"/>
    <n v="87"/>
    <n v="3"/>
    <n v="2"/>
    <x v="0"/>
    <n v="4"/>
    <s v="Married"/>
    <n v="4936"/>
    <n v="14862"/>
    <n v="4"/>
    <s v="Y"/>
    <x v="1"/>
    <n v="11"/>
    <n v="3"/>
    <n v="3"/>
    <n v="80"/>
    <n v="1"/>
    <n v="18"/>
    <n v="2"/>
    <n v="2"/>
    <n v="7"/>
    <n v="7"/>
    <n v="0"/>
    <n v="7"/>
    <x v="1"/>
    <s v="Mid"/>
  </r>
  <r>
    <n v="36"/>
    <x v="1"/>
    <s v="Travel_Rarely"/>
    <n v="329"/>
    <x v="1"/>
    <n v="2"/>
    <n v="3"/>
    <s v="Life Sciences"/>
    <n v="1"/>
    <n v="501"/>
    <n v="4"/>
    <x v="0"/>
    <n v="96"/>
    <n v="3"/>
    <n v="1"/>
    <x v="1"/>
    <n v="3"/>
    <s v="Married"/>
    <n v="2543"/>
    <n v="11868"/>
    <n v="4"/>
    <s v="Y"/>
    <x v="1"/>
    <n v="13"/>
    <n v="3"/>
    <n v="2"/>
    <n v="80"/>
    <n v="1"/>
    <n v="6"/>
    <n v="3"/>
    <n v="3"/>
    <n v="2"/>
    <n v="2"/>
    <n v="2"/>
    <n v="2"/>
    <x v="0"/>
    <s v="Low"/>
  </r>
  <r>
    <n v="34"/>
    <x v="0"/>
    <s v="Non-Travel"/>
    <n v="1362"/>
    <x v="0"/>
    <n v="19"/>
    <n v="3"/>
    <s v="Marketing"/>
    <n v="1"/>
    <n v="502"/>
    <n v="1"/>
    <x v="1"/>
    <n v="67"/>
    <n v="4"/>
    <n v="2"/>
    <x v="0"/>
    <n v="4"/>
    <s v="Single"/>
    <n v="5304"/>
    <n v="4652"/>
    <n v="8"/>
    <s v="Y"/>
    <x v="0"/>
    <n v="13"/>
    <n v="3"/>
    <n v="2"/>
    <n v="80"/>
    <n v="0"/>
    <n v="9"/>
    <n v="3"/>
    <n v="2"/>
    <n v="5"/>
    <n v="2"/>
    <n v="0"/>
    <n v="4"/>
    <x v="2"/>
    <s v="Mid"/>
  </r>
  <r>
    <n v="55"/>
    <x v="1"/>
    <s v="Travel_Rarely"/>
    <n v="1311"/>
    <x v="1"/>
    <n v="2"/>
    <n v="3"/>
    <s v="Life Sciences"/>
    <n v="1"/>
    <n v="505"/>
    <n v="3"/>
    <x v="0"/>
    <n v="97"/>
    <n v="3"/>
    <n v="4"/>
    <x v="5"/>
    <n v="4"/>
    <s v="Single"/>
    <n v="16659"/>
    <n v="23258"/>
    <n v="2"/>
    <s v="Y"/>
    <x v="0"/>
    <n v="13"/>
    <n v="3"/>
    <n v="3"/>
    <n v="80"/>
    <n v="0"/>
    <n v="30"/>
    <n v="2"/>
    <n v="3"/>
    <n v="5"/>
    <n v="4"/>
    <n v="1"/>
    <n v="2"/>
    <x v="1"/>
    <s v="Top"/>
  </r>
  <r>
    <n v="24"/>
    <x v="1"/>
    <s v="Travel_Rarely"/>
    <n v="1371"/>
    <x v="0"/>
    <n v="10"/>
    <n v="4"/>
    <s v="Marketing"/>
    <n v="1"/>
    <n v="507"/>
    <n v="4"/>
    <x v="0"/>
    <n v="77"/>
    <n v="3"/>
    <n v="2"/>
    <x v="0"/>
    <n v="3"/>
    <s v="Divorced"/>
    <n v="4260"/>
    <n v="5915"/>
    <n v="1"/>
    <s v="Y"/>
    <x v="0"/>
    <n v="12"/>
    <n v="3"/>
    <n v="4"/>
    <n v="80"/>
    <n v="1"/>
    <n v="5"/>
    <n v="2"/>
    <n v="4"/>
    <n v="5"/>
    <n v="2"/>
    <n v="0"/>
    <n v="3"/>
    <x v="3"/>
    <s v="Mid"/>
  </r>
  <r>
    <n v="30"/>
    <x v="1"/>
    <s v="Travel_Rarely"/>
    <n v="202"/>
    <x v="0"/>
    <n v="2"/>
    <n v="1"/>
    <s v="Technical Degree"/>
    <n v="1"/>
    <n v="508"/>
    <n v="3"/>
    <x v="1"/>
    <n v="72"/>
    <n v="3"/>
    <n v="1"/>
    <x v="6"/>
    <n v="2"/>
    <s v="Married"/>
    <n v="2476"/>
    <n v="17434"/>
    <n v="1"/>
    <s v="Y"/>
    <x v="1"/>
    <n v="18"/>
    <n v="3"/>
    <n v="1"/>
    <n v="80"/>
    <n v="1"/>
    <n v="1"/>
    <n v="3"/>
    <n v="3"/>
    <n v="1"/>
    <n v="0"/>
    <n v="0"/>
    <n v="0"/>
    <x v="2"/>
    <s v="Low"/>
  </r>
  <r>
    <n v="26"/>
    <x v="0"/>
    <s v="Travel_Frequently"/>
    <n v="575"/>
    <x v="1"/>
    <n v="3"/>
    <n v="1"/>
    <s v="Technical Degree"/>
    <n v="1"/>
    <n v="510"/>
    <n v="3"/>
    <x v="1"/>
    <n v="73"/>
    <n v="3"/>
    <n v="1"/>
    <x v="1"/>
    <n v="1"/>
    <s v="Single"/>
    <n v="3102"/>
    <n v="6582"/>
    <n v="0"/>
    <s v="Y"/>
    <x v="1"/>
    <n v="22"/>
    <n v="4"/>
    <n v="3"/>
    <n v="80"/>
    <n v="0"/>
    <n v="7"/>
    <n v="2"/>
    <n v="3"/>
    <n v="6"/>
    <n v="4"/>
    <n v="0"/>
    <n v="4"/>
    <x v="2"/>
    <s v="Mid"/>
  </r>
  <r>
    <n v="22"/>
    <x v="1"/>
    <s v="Travel_Rarely"/>
    <n v="253"/>
    <x v="1"/>
    <n v="11"/>
    <n v="3"/>
    <s v="Medical"/>
    <n v="1"/>
    <n v="511"/>
    <n v="1"/>
    <x v="0"/>
    <n v="43"/>
    <n v="3"/>
    <n v="1"/>
    <x v="1"/>
    <n v="2"/>
    <s v="Married"/>
    <n v="2244"/>
    <n v="24440"/>
    <n v="1"/>
    <s v="Y"/>
    <x v="1"/>
    <n v="13"/>
    <n v="3"/>
    <n v="4"/>
    <n v="80"/>
    <n v="1"/>
    <n v="2"/>
    <n v="1"/>
    <n v="3"/>
    <n v="2"/>
    <n v="1"/>
    <n v="1"/>
    <n v="2"/>
    <x v="3"/>
    <s v="Low"/>
  </r>
  <r>
    <n v="36"/>
    <x v="1"/>
    <s v="Travel_Rarely"/>
    <n v="164"/>
    <x v="0"/>
    <n v="2"/>
    <n v="2"/>
    <s v="Medical"/>
    <n v="1"/>
    <n v="513"/>
    <n v="2"/>
    <x v="1"/>
    <n v="61"/>
    <n v="2"/>
    <n v="3"/>
    <x v="0"/>
    <n v="3"/>
    <s v="Married"/>
    <n v="7596"/>
    <n v="3809"/>
    <n v="1"/>
    <s v="Y"/>
    <x v="1"/>
    <n v="13"/>
    <n v="3"/>
    <n v="2"/>
    <n v="80"/>
    <n v="2"/>
    <n v="10"/>
    <n v="2"/>
    <n v="3"/>
    <n v="10"/>
    <n v="9"/>
    <n v="9"/>
    <n v="0"/>
    <x v="0"/>
    <s v="High"/>
  </r>
  <r>
    <n v="30"/>
    <x v="0"/>
    <s v="Travel_Frequently"/>
    <n v="464"/>
    <x v="1"/>
    <n v="4"/>
    <n v="3"/>
    <s v="Technical Degree"/>
    <n v="1"/>
    <n v="514"/>
    <n v="3"/>
    <x v="1"/>
    <n v="40"/>
    <n v="3"/>
    <n v="1"/>
    <x v="1"/>
    <n v="4"/>
    <s v="Single"/>
    <n v="2285"/>
    <n v="3427"/>
    <n v="9"/>
    <s v="Y"/>
    <x v="0"/>
    <n v="23"/>
    <n v="4"/>
    <n v="3"/>
    <n v="80"/>
    <n v="0"/>
    <n v="3"/>
    <n v="4"/>
    <n v="3"/>
    <n v="1"/>
    <n v="0"/>
    <n v="0"/>
    <n v="0"/>
    <x v="2"/>
    <s v="Low"/>
  </r>
  <r>
    <n v="37"/>
    <x v="1"/>
    <s v="Travel_Rarely"/>
    <n v="1107"/>
    <x v="1"/>
    <n v="14"/>
    <n v="3"/>
    <s v="Life Sciences"/>
    <n v="1"/>
    <n v="515"/>
    <n v="4"/>
    <x v="0"/>
    <n v="95"/>
    <n v="3"/>
    <n v="1"/>
    <x v="2"/>
    <n v="1"/>
    <s v="Divorced"/>
    <n v="3034"/>
    <n v="26914"/>
    <n v="1"/>
    <s v="Y"/>
    <x v="1"/>
    <n v="12"/>
    <n v="3"/>
    <n v="3"/>
    <n v="80"/>
    <n v="1"/>
    <n v="18"/>
    <n v="2"/>
    <n v="2"/>
    <n v="18"/>
    <n v="7"/>
    <n v="12"/>
    <n v="17"/>
    <x v="0"/>
    <s v="Mid"/>
  </r>
  <r>
    <n v="40"/>
    <x v="1"/>
    <s v="Travel_Rarely"/>
    <n v="759"/>
    <x v="0"/>
    <n v="2"/>
    <n v="2"/>
    <s v="Marketing"/>
    <n v="1"/>
    <n v="516"/>
    <n v="4"/>
    <x v="0"/>
    <n v="46"/>
    <n v="3"/>
    <n v="2"/>
    <x v="0"/>
    <n v="2"/>
    <s v="Divorced"/>
    <n v="5715"/>
    <n v="22553"/>
    <n v="7"/>
    <s v="Y"/>
    <x v="1"/>
    <n v="12"/>
    <n v="3"/>
    <n v="3"/>
    <n v="80"/>
    <n v="2"/>
    <n v="8"/>
    <n v="5"/>
    <n v="3"/>
    <n v="5"/>
    <n v="4"/>
    <n v="1"/>
    <n v="3"/>
    <x v="0"/>
    <s v="Mid"/>
  </r>
  <r>
    <n v="42"/>
    <x v="1"/>
    <s v="Travel_Rarely"/>
    <n v="201"/>
    <x v="1"/>
    <n v="1"/>
    <n v="4"/>
    <s v="Life Sciences"/>
    <n v="1"/>
    <n v="517"/>
    <n v="2"/>
    <x v="0"/>
    <n v="95"/>
    <n v="3"/>
    <n v="1"/>
    <x v="2"/>
    <n v="1"/>
    <s v="Divorced"/>
    <n v="2576"/>
    <n v="20490"/>
    <n v="3"/>
    <s v="Y"/>
    <x v="1"/>
    <n v="16"/>
    <n v="3"/>
    <n v="2"/>
    <n v="80"/>
    <n v="1"/>
    <n v="8"/>
    <n v="5"/>
    <n v="3"/>
    <n v="5"/>
    <n v="2"/>
    <n v="1"/>
    <n v="2"/>
    <x v="0"/>
    <s v="Low"/>
  </r>
  <r>
    <n v="37"/>
    <x v="1"/>
    <s v="Travel_Rarely"/>
    <n v="1305"/>
    <x v="1"/>
    <n v="10"/>
    <n v="4"/>
    <s v="Life Sciences"/>
    <n v="1"/>
    <n v="518"/>
    <n v="3"/>
    <x v="1"/>
    <n v="49"/>
    <n v="3"/>
    <n v="2"/>
    <x v="3"/>
    <n v="2"/>
    <s v="Single"/>
    <n v="4197"/>
    <n v="21123"/>
    <n v="2"/>
    <s v="Y"/>
    <x v="0"/>
    <n v="12"/>
    <n v="3"/>
    <n v="4"/>
    <n v="80"/>
    <n v="0"/>
    <n v="18"/>
    <n v="2"/>
    <n v="2"/>
    <n v="1"/>
    <n v="0"/>
    <n v="0"/>
    <n v="1"/>
    <x v="0"/>
    <s v="Mid"/>
  </r>
  <r>
    <n v="43"/>
    <x v="1"/>
    <s v="Travel_Rarely"/>
    <n v="982"/>
    <x v="1"/>
    <n v="12"/>
    <n v="3"/>
    <s v="Life Sciences"/>
    <n v="1"/>
    <n v="520"/>
    <n v="1"/>
    <x v="1"/>
    <n v="59"/>
    <n v="2"/>
    <n v="4"/>
    <x v="7"/>
    <n v="2"/>
    <s v="Divorced"/>
    <n v="14336"/>
    <n v="4345"/>
    <n v="1"/>
    <s v="Y"/>
    <x v="1"/>
    <n v="11"/>
    <n v="3"/>
    <n v="3"/>
    <n v="80"/>
    <n v="1"/>
    <n v="25"/>
    <n v="3"/>
    <n v="3"/>
    <n v="25"/>
    <n v="10"/>
    <n v="3"/>
    <n v="9"/>
    <x v="0"/>
    <s v="Top"/>
  </r>
  <r>
    <n v="40"/>
    <x v="1"/>
    <s v="Travel_Rarely"/>
    <n v="555"/>
    <x v="1"/>
    <n v="2"/>
    <n v="3"/>
    <s v="Medical"/>
    <n v="1"/>
    <n v="521"/>
    <n v="2"/>
    <x v="0"/>
    <n v="78"/>
    <n v="2"/>
    <n v="2"/>
    <x v="2"/>
    <n v="3"/>
    <s v="Married"/>
    <n v="3448"/>
    <n v="13436"/>
    <n v="6"/>
    <s v="Y"/>
    <x v="1"/>
    <n v="22"/>
    <n v="4"/>
    <n v="2"/>
    <n v="80"/>
    <n v="1"/>
    <n v="20"/>
    <n v="3"/>
    <n v="3"/>
    <n v="1"/>
    <n v="0"/>
    <n v="0"/>
    <n v="0"/>
    <x v="0"/>
    <s v="Mid"/>
  </r>
  <r>
    <n v="54"/>
    <x v="1"/>
    <s v="Travel_Rarely"/>
    <n v="821"/>
    <x v="1"/>
    <n v="5"/>
    <n v="2"/>
    <s v="Medical"/>
    <n v="1"/>
    <n v="522"/>
    <n v="1"/>
    <x v="1"/>
    <n v="86"/>
    <n v="3"/>
    <n v="5"/>
    <x v="7"/>
    <n v="1"/>
    <s v="Married"/>
    <n v="19406"/>
    <n v="8509"/>
    <n v="4"/>
    <s v="Y"/>
    <x v="1"/>
    <n v="11"/>
    <n v="3"/>
    <n v="3"/>
    <n v="80"/>
    <n v="1"/>
    <n v="24"/>
    <n v="4"/>
    <n v="2"/>
    <n v="4"/>
    <n v="2"/>
    <n v="1"/>
    <n v="2"/>
    <x v="1"/>
    <s v="Top"/>
  </r>
  <r>
    <n v="34"/>
    <x v="1"/>
    <s v="Non-Travel"/>
    <n v="1381"/>
    <x v="0"/>
    <n v="4"/>
    <n v="4"/>
    <s v="Marketing"/>
    <n v="1"/>
    <n v="523"/>
    <n v="3"/>
    <x v="0"/>
    <n v="72"/>
    <n v="3"/>
    <n v="2"/>
    <x v="0"/>
    <n v="3"/>
    <s v="Married"/>
    <n v="6538"/>
    <n v="12740"/>
    <n v="9"/>
    <s v="Y"/>
    <x v="1"/>
    <n v="15"/>
    <n v="3"/>
    <n v="1"/>
    <n v="80"/>
    <n v="1"/>
    <n v="6"/>
    <n v="3"/>
    <n v="3"/>
    <n v="3"/>
    <n v="2"/>
    <n v="1"/>
    <n v="2"/>
    <x v="2"/>
    <s v="Mid"/>
  </r>
  <r>
    <n v="31"/>
    <x v="1"/>
    <s v="Travel_Rarely"/>
    <n v="480"/>
    <x v="1"/>
    <n v="7"/>
    <n v="2"/>
    <s v="Medical"/>
    <n v="1"/>
    <n v="524"/>
    <n v="2"/>
    <x v="0"/>
    <n v="31"/>
    <n v="3"/>
    <n v="2"/>
    <x v="3"/>
    <n v="1"/>
    <s v="Married"/>
    <n v="4306"/>
    <n v="4156"/>
    <n v="1"/>
    <s v="Y"/>
    <x v="1"/>
    <n v="12"/>
    <n v="3"/>
    <n v="2"/>
    <n v="80"/>
    <n v="1"/>
    <n v="13"/>
    <n v="5"/>
    <n v="1"/>
    <n v="13"/>
    <n v="10"/>
    <n v="3"/>
    <n v="12"/>
    <x v="2"/>
    <s v="Mid"/>
  </r>
  <r>
    <n v="43"/>
    <x v="1"/>
    <s v="Travel_Frequently"/>
    <n v="313"/>
    <x v="1"/>
    <n v="21"/>
    <n v="3"/>
    <s v="Medical"/>
    <n v="1"/>
    <n v="525"/>
    <n v="4"/>
    <x v="1"/>
    <n v="61"/>
    <n v="3"/>
    <n v="1"/>
    <x v="2"/>
    <n v="4"/>
    <s v="Married"/>
    <n v="2258"/>
    <n v="15238"/>
    <n v="7"/>
    <s v="Y"/>
    <x v="1"/>
    <n v="20"/>
    <n v="4"/>
    <n v="1"/>
    <n v="80"/>
    <n v="1"/>
    <n v="8"/>
    <n v="1"/>
    <n v="3"/>
    <n v="3"/>
    <n v="2"/>
    <n v="1"/>
    <n v="2"/>
    <x v="0"/>
    <s v="Low"/>
  </r>
  <r>
    <n v="43"/>
    <x v="1"/>
    <s v="Travel_Rarely"/>
    <n v="1473"/>
    <x v="1"/>
    <n v="8"/>
    <n v="4"/>
    <s v="Other"/>
    <n v="1"/>
    <n v="526"/>
    <n v="3"/>
    <x v="0"/>
    <n v="74"/>
    <n v="3"/>
    <n v="2"/>
    <x v="4"/>
    <n v="3"/>
    <s v="Divorced"/>
    <n v="4522"/>
    <n v="2227"/>
    <n v="4"/>
    <s v="Y"/>
    <x v="0"/>
    <n v="14"/>
    <n v="3"/>
    <n v="4"/>
    <n v="80"/>
    <n v="0"/>
    <n v="8"/>
    <n v="3"/>
    <n v="3"/>
    <n v="5"/>
    <n v="2"/>
    <n v="0"/>
    <n v="2"/>
    <x v="0"/>
    <s v="Mid"/>
  </r>
  <r>
    <n v="25"/>
    <x v="1"/>
    <s v="Travel_Rarely"/>
    <n v="891"/>
    <x v="0"/>
    <n v="4"/>
    <n v="2"/>
    <s v="Life Sciences"/>
    <n v="1"/>
    <n v="527"/>
    <n v="2"/>
    <x v="0"/>
    <n v="99"/>
    <n v="2"/>
    <n v="2"/>
    <x v="0"/>
    <n v="4"/>
    <s v="Single"/>
    <n v="4487"/>
    <n v="12090"/>
    <n v="1"/>
    <s v="Y"/>
    <x v="0"/>
    <n v="11"/>
    <n v="3"/>
    <n v="2"/>
    <n v="80"/>
    <n v="0"/>
    <n v="5"/>
    <n v="3"/>
    <n v="3"/>
    <n v="5"/>
    <n v="4"/>
    <n v="1"/>
    <n v="3"/>
    <x v="3"/>
    <s v="Mid"/>
  </r>
  <r>
    <n v="37"/>
    <x v="1"/>
    <s v="Non-Travel"/>
    <n v="1063"/>
    <x v="1"/>
    <n v="25"/>
    <n v="5"/>
    <s v="Medical"/>
    <n v="1"/>
    <n v="529"/>
    <n v="2"/>
    <x v="0"/>
    <n v="72"/>
    <n v="3"/>
    <n v="2"/>
    <x v="1"/>
    <n v="3"/>
    <s v="Married"/>
    <n v="4449"/>
    <n v="23866"/>
    <n v="3"/>
    <s v="Y"/>
    <x v="0"/>
    <n v="15"/>
    <n v="3"/>
    <n v="1"/>
    <n v="80"/>
    <n v="2"/>
    <n v="15"/>
    <n v="2"/>
    <n v="3"/>
    <n v="13"/>
    <n v="11"/>
    <n v="10"/>
    <n v="7"/>
    <x v="0"/>
    <s v="Mid"/>
  </r>
  <r>
    <n v="31"/>
    <x v="1"/>
    <s v="Travel_Rarely"/>
    <n v="329"/>
    <x v="1"/>
    <n v="1"/>
    <n v="2"/>
    <s v="Life Sciences"/>
    <n v="1"/>
    <n v="530"/>
    <n v="4"/>
    <x v="1"/>
    <n v="98"/>
    <n v="2"/>
    <n v="1"/>
    <x v="2"/>
    <n v="1"/>
    <s v="Married"/>
    <n v="2218"/>
    <n v="16193"/>
    <n v="1"/>
    <s v="Y"/>
    <x v="1"/>
    <n v="12"/>
    <n v="3"/>
    <n v="3"/>
    <n v="80"/>
    <n v="1"/>
    <n v="4"/>
    <n v="3"/>
    <n v="3"/>
    <n v="4"/>
    <n v="2"/>
    <n v="3"/>
    <n v="2"/>
    <x v="2"/>
    <s v="Low"/>
  </r>
  <r>
    <n v="39"/>
    <x v="1"/>
    <s v="Travel_Frequently"/>
    <n v="1218"/>
    <x v="1"/>
    <n v="1"/>
    <n v="1"/>
    <s v="Life Sciences"/>
    <n v="1"/>
    <n v="531"/>
    <n v="2"/>
    <x v="1"/>
    <n v="52"/>
    <n v="3"/>
    <n v="5"/>
    <x v="5"/>
    <n v="3"/>
    <s v="Divorced"/>
    <n v="19197"/>
    <n v="8213"/>
    <n v="1"/>
    <s v="Y"/>
    <x v="0"/>
    <n v="14"/>
    <n v="3"/>
    <n v="3"/>
    <n v="80"/>
    <n v="1"/>
    <n v="21"/>
    <n v="3"/>
    <n v="3"/>
    <n v="21"/>
    <n v="8"/>
    <n v="1"/>
    <n v="6"/>
    <x v="0"/>
    <s v="Top"/>
  </r>
  <r>
    <n v="56"/>
    <x v="1"/>
    <s v="Travel_Frequently"/>
    <n v="906"/>
    <x v="0"/>
    <n v="6"/>
    <n v="3"/>
    <s v="Life Sciences"/>
    <n v="1"/>
    <n v="532"/>
    <n v="3"/>
    <x v="0"/>
    <n v="86"/>
    <n v="4"/>
    <n v="4"/>
    <x v="0"/>
    <n v="1"/>
    <s v="Married"/>
    <n v="13212"/>
    <n v="18256"/>
    <n v="9"/>
    <s v="Y"/>
    <x v="1"/>
    <n v="11"/>
    <n v="3"/>
    <n v="4"/>
    <n v="80"/>
    <n v="3"/>
    <n v="36"/>
    <n v="0"/>
    <n v="2"/>
    <n v="7"/>
    <n v="7"/>
    <n v="7"/>
    <n v="7"/>
    <x v="1"/>
    <s v="Top"/>
  </r>
  <r>
    <n v="30"/>
    <x v="1"/>
    <s v="Travel_Rarely"/>
    <n v="1082"/>
    <x v="0"/>
    <n v="12"/>
    <n v="3"/>
    <s v="Technical Degree"/>
    <n v="1"/>
    <n v="533"/>
    <n v="2"/>
    <x v="0"/>
    <n v="83"/>
    <n v="3"/>
    <n v="2"/>
    <x v="0"/>
    <n v="3"/>
    <s v="Single"/>
    <n v="6577"/>
    <n v="19558"/>
    <n v="0"/>
    <s v="Y"/>
    <x v="1"/>
    <n v="11"/>
    <n v="3"/>
    <n v="2"/>
    <n v="80"/>
    <n v="0"/>
    <n v="6"/>
    <n v="6"/>
    <n v="3"/>
    <n v="5"/>
    <n v="4"/>
    <n v="4"/>
    <n v="4"/>
    <x v="2"/>
    <s v="Mid"/>
  </r>
  <r>
    <n v="41"/>
    <x v="1"/>
    <s v="Travel_Rarely"/>
    <n v="645"/>
    <x v="0"/>
    <n v="1"/>
    <n v="3"/>
    <s v="Marketing"/>
    <n v="1"/>
    <n v="534"/>
    <n v="2"/>
    <x v="1"/>
    <n v="49"/>
    <n v="4"/>
    <n v="3"/>
    <x v="0"/>
    <n v="1"/>
    <s v="Married"/>
    <n v="8392"/>
    <n v="19566"/>
    <n v="1"/>
    <s v="Y"/>
    <x v="1"/>
    <n v="16"/>
    <n v="3"/>
    <n v="3"/>
    <n v="80"/>
    <n v="1"/>
    <n v="10"/>
    <n v="2"/>
    <n v="3"/>
    <n v="10"/>
    <n v="7"/>
    <n v="0"/>
    <n v="7"/>
    <x v="0"/>
    <s v="High"/>
  </r>
  <r>
    <n v="28"/>
    <x v="1"/>
    <s v="Travel_Rarely"/>
    <n v="1300"/>
    <x v="1"/>
    <n v="17"/>
    <n v="2"/>
    <s v="Medical"/>
    <n v="1"/>
    <n v="536"/>
    <n v="3"/>
    <x v="1"/>
    <n v="79"/>
    <n v="3"/>
    <n v="2"/>
    <x v="2"/>
    <n v="1"/>
    <s v="Divorced"/>
    <n v="4558"/>
    <n v="13535"/>
    <n v="1"/>
    <s v="Y"/>
    <x v="1"/>
    <n v="12"/>
    <n v="3"/>
    <n v="4"/>
    <n v="80"/>
    <n v="1"/>
    <n v="10"/>
    <n v="2"/>
    <n v="3"/>
    <n v="10"/>
    <n v="0"/>
    <n v="1"/>
    <n v="8"/>
    <x v="2"/>
    <s v="Mid"/>
  </r>
  <r>
    <n v="25"/>
    <x v="0"/>
    <s v="Travel_Rarely"/>
    <n v="688"/>
    <x v="1"/>
    <n v="3"/>
    <n v="3"/>
    <s v="Medical"/>
    <n v="1"/>
    <n v="538"/>
    <n v="1"/>
    <x v="1"/>
    <n v="91"/>
    <n v="3"/>
    <n v="1"/>
    <x v="2"/>
    <n v="1"/>
    <s v="Married"/>
    <n v="4031"/>
    <n v="9396"/>
    <n v="5"/>
    <s v="Y"/>
    <x v="1"/>
    <n v="13"/>
    <n v="3"/>
    <n v="3"/>
    <n v="80"/>
    <n v="1"/>
    <n v="6"/>
    <n v="5"/>
    <n v="3"/>
    <n v="2"/>
    <n v="2"/>
    <n v="0"/>
    <n v="2"/>
    <x v="3"/>
    <s v="Mid"/>
  </r>
  <r>
    <n v="52"/>
    <x v="1"/>
    <s v="Travel_Rarely"/>
    <n v="319"/>
    <x v="1"/>
    <n v="3"/>
    <n v="3"/>
    <s v="Medical"/>
    <n v="1"/>
    <n v="543"/>
    <n v="4"/>
    <x v="1"/>
    <n v="39"/>
    <n v="2"/>
    <n v="3"/>
    <x v="3"/>
    <n v="3"/>
    <s v="Married"/>
    <n v="7969"/>
    <n v="19609"/>
    <n v="2"/>
    <s v="Y"/>
    <x v="0"/>
    <n v="14"/>
    <n v="3"/>
    <n v="3"/>
    <n v="80"/>
    <n v="0"/>
    <n v="28"/>
    <n v="4"/>
    <n v="3"/>
    <n v="5"/>
    <n v="4"/>
    <n v="0"/>
    <n v="4"/>
    <x v="1"/>
    <s v="High"/>
  </r>
  <r>
    <n v="45"/>
    <x v="1"/>
    <s v="Travel_Rarely"/>
    <n v="192"/>
    <x v="1"/>
    <n v="10"/>
    <n v="2"/>
    <s v="Life Sciences"/>
    <n v="1"/>
    <n v="544"/>
    <n v="1"/>
    <x v="1"/>
    <n v="69"/>
    <n v="3"/>
    <n v="1"/>
    <x v="1"/>
    <n v="4"/>
    <s v="Married"/>
    <n v="2654"/>
    <n v="9655"/>
    <n v="3"/>
    <s v="Y"/>
    <x v="1"/>
    <n v="21"/>
    <n v="4"/>
    <n v="4"/>
    <n v="80"/>
    <n v="2"/>
    <n v="8"/>
    <n v="3"/>
    <n v="2"/>
    <n v="2"/>
    <n v="2"/>
    <n v="0"/>
    <n v="2"/>
    <x v="0"/>
    <s v="Low"/>
  </r>
  <r>
    <n v="52"/>
    <x v="1"/>
    <s v="Travel_Rarely"/>
    <n v="1490"/>
    <x v="1"/>
    <n v="4"/>
    <n v="2"/>
    <s v="Life Sciences"/>
    <n v="1"/>
    <n v="546"/>
    <n v="4"/>
    <x v="0"/>
    <n v="30"/>
    <n v="3"/>
    <n v="4"/>
    <x v="5"/>
    <n v="4"/>
    <s v="Married"/>
    <n v="16555"/>
    <n v="10310"/>
    <n v="2"/>
    <s v="Y"/>
    <x v="1"/>
    <n v="13"/>
    <n v="3"/>
    <n v="4"/>
    <n v="80"/>
    <n v="0"/>
    <n v="31"/>
    <n v="2"/>
    <n v="1"/>
    <n v="5"/>
    <n v="2"/>
    <n v="1"/>
    <n v="4"/>
    <x v="1"/>
    <s v="Top"/>
  </r>
  <r>
    <n v="42"/>
    <x v="1"/>
    <s v="Travel_Frequently"/>
    <n v="532"/>
    <x v="1"/>
    <n v="29"/>
    <n v="2"/>
    <s v="Life Sciences"/>
    <n v="1"/>
    <n v="547"/>
    <n v="1"/>
    <x v="0"/>
    <n v="92"/>
    <n v="3"/>
    <n v="2"/>
    <x v="1"/>
    <n v="3"/>
    <s v="Divorced"/>
    <n v="4556"/>
    <n v="12932"/>
    <n v="2"/>
    <s v="Y"/>
    <x v="1"/>
    <n v="11"/>
    <n v="3"/>
    <n v="2"/>
    <n v="80"/>
    <n v="1"/>
    <n v="19"/>
    <n v="3"/>
    <n v="3"/>
    <n v="5"/>
    <n v="4"/>
    <n v="0"/>
    <n v="2"/>
    <x v="0"/>
    <s v="Mid"/>
  </r>
  <r>
    <n v="30"/>
    <x v="1"/>
    <s v="Travel_Rarely"/>
    <n v="317"/>
    <x v="1"/>
    <n v="2"/>
    <n v="3"/>
    <s v="Life Sciences"/>
    <n v="1"/>
    <n v="548"/>
    <n v="3"/>
    <x v="0"/>
    <n v="43"/>
    <n v="1"/>
    <n v="2"/>
    <x v="3"/>
    <n v="4"/>
    <s v="Single"/>
    <n v="6091"/>
    <n v="24793"/>
    <n v="2"/>
    <s v="Y"/>
    <x v="1"/>
    <n v="20"/>
    <n v="4"/>
    <n v="3"/>
    <n v="80"/>
    <n v="0"/>
    <n v="11"/>
    <n v="2"/>
    <n v="3"/>
    <n v="5"/>
    <n v="4"/>
    <n v="0"/>
    <n v="2"/>
    <x v="2"/>
    <s v="Mid"/>
  </r>
  <r>
    <n v="60"/>
    <x v="1"/>
    <s v="Travel_Rarely"/>
    <n v="422"/>
    <x v="1"/>
    <n v="7"/>
    <n v="3"/>
    <s v="Life Sciences"/>
    <n v="1"/>
    <n v="549"/>
    <n v="1"/>
    <x v="0"/>
    <n v="41"/>
    <n v="3"/>
    <n v="5"/>
    <x v="5"/>
    <n v="1"/>
    <s v="Married"/>
    <n v="19566"/>
    <n v="3854"/>
    <n v="5"/>
    <s v="Y"/>
    <x v="1"/>
    <n v="11"/>
    <n v="3"/>
    <n v="4"/>
    <n v="80"/>
    <n v="0"/>
    <n v="33"/>
    <n v="5"/>
    <n v="1"/>
    <n v="29"/>
    <n v="8"/>
    <n v="11"/>
    <n v="10"/>
    <x v="1"/>
    <s v="Top"/>
  </r>
  <r>
    <n v="46"/>
    <x v="1"/>
    <s v="Travel_Rarely"/>
    <n v="1485"/>
    <x v="1"/>
    <n v="18"/>
    <n v="3"/>
    <s v="Medical"/>
    <n v="1"/>
    <n v="550"/>
    <n v="3"/>
    <x v="0"/>
    <n v="87"/>
    <n v="3"/>
    <n v="2"/>
    <x v="3"/>
    <n v="3"/>
    <s v="Divorced"/>
    <n v="4810"/>
    <n v="26314"/>
    <n v="2"/>
    <s v="Y"/>
    <x v="1"/>
    <n v="14"/>
    <n v="3"/>
    <n v="3"/>
    <n v="80"/>
    <n v="1"/>
    <n v="19"/>
    <n v="5"/>
    <n v="2"/>
    <n v="10"/>
    <n v="7"/>
    <n v="0"/>
    <n v="8"/>
    <x v="1"/>
    <s v="Mid"/>
  </r>
  <r>
    <n v="42"/>
    <x v="1"/>
    <s v="Travel_Frequently"/>
    <n v="1368"/>
    <x v="1"/>
    <n v="28"/>
    <n v="4"/>
    <s v="Technical Degree"/>
    <n v="1"/>
    <n v="551"/>
    <n v="4"/>
    <x v="0"/>
    <n v="88"/>
    <n v="2"/>
    <n v="2"/>
    <x v="4"/>
    <n v="4"/>
    <s v="Married"/>
    <n v="4523"/>
    <n v="4386"/>
    <n v="0"/>
    <s v="Y"/>
    <x v="1"/>
    <n v="11"/>
    <n v="3"/>
    <n v="4"/>
    <n v="80"/>
    <n v="3"/>
    <n v="7"/>
    <n v="4"/>
    <n v="4"/>
    <n v="6"/>
    <n v="5"/>
    <n v="0"/>
    <n v="4"/>
    <x v="0"/>
    <s v="Mid"/>
  </r>
  <r>
    <n v="24"/>
    <x v="0"/>
    <s v="Travel_Rarely"/>
    <n v="1448"/>
    <x v="0"/>
    <n v="1"/>
    <n v="1"/>
    <s v="Technical Degree"/>
    <n v="1"/>
    <n v="554"/>
    <n v="1"/>
    <x v="0"/>
    <n v="62"/>
    <n v="3"/>
    <n v="1"/>
    <x v="6"/>
    <n v="2"/>
    <s v="Single"/>
    <n v="3202"/>
    <n v="21972"/>
    <n v="1"/>
    <s v="Y"/>
    <x v="0"/>
    <n v="16"/>
    <n v="3"/>
    <n v="2"/>
    <n v="80"/>
    <n v="0"/>
    <n v="6"/>
    <n v="4"/>
    <n v="3"/>
    <n v="5"/>
    <n v="3"/>
    <n v="1"/>
    <n v="4"/>
    <x v="3"/>
    <s v="Mid"/>
  </r>
  <r>
    <n v="34"/>
    <x v="0"/>
    <s v="Travel_Frequently"/>
    <n v="296"/>
    <x v="0"/>
    <n v="6"/>
    <n v="2"/>
    <s v="Marketing"/>
    <n v="1"/>
    <n v="555"/>
    <n v="4"/>
    <x v="0"/>
    <n v="33"/>
    <n v="1"/>
    <n v="1"/>
    <x v="6"/>
    <n v="3"/>
    <s v="Divorced"/>
    <n v="2351"/>
    <n v="12253"/>
    <n v="0"/>
    <s v="Y"/>
    <x v="1"/>
    <n v="16"/>
    <n v="3"/>
    <n v="4"/>
    <n v="80"/>
    <n v="1"/>
    <n v="3"/>
    <n v="3"/>
    <n v="2"/>
    <n v="2"/>
    <n v="2"/>
    <n v="1"/>
    <n v="0"/>
    <x v="2"/>
    <s v="Low"/>
  </r>
  <r>
    <n v="38"/>
    <x v="1"/>
    <s v="Travel_Frequently"/>
    <n v="1490"/>
    <x v="1"/>
    <n v="2"/>
    <n v="2"/>
    <s v="Life Sciences"/>
    <n v="1"/>
    <n v="556"/>
    <n v="4"/>
    <x v="1"/>
    <n v="42"/>
    <n v="3"/>
    <n v="1"/>
    <x v="2"/>
    <n v="4"/>
    <s v="Married"/>
    <n v="1702"/>
    <n v="12106"/>
    <n v="1"/>
    <s v="Y"/>
    <x v="0"/>
    <n v="23"/>
    <n v="4"/>
    <n v="3"/>
    <n v="80"/>
    <n v="1"/>
    <n v="1"/>
    <n v="3"/>
    <n v="3"/>
    <n v="1"/>
    <n v="0"/>
    <n v="0"/>
    <n v="0"/>
    <x v="0"/>
    <s v="Low"/>
  </r>
  <r>
    <n v="40"/>
    <x v="1"/>
    <s v="Travel_Rarely"/>
    <n v="1398"/>
    <x v="0"/>
    <n v="2"/>
    <n v="4"/>
    <s v="Life Sciences"/>
    <n v="1"/>
    <n v="558"/>
    <n v="3"/>
    <x v="0"/>
    <n v="79"/>
    <n v="3"/>
    <n v="5"/>
    <x v="5"/>
    <n v="3"/>
    <s v="Married"/>
    <n v="18041"/>
    <n v="13022"/>
    <n v="0"/>
    <s v="Y"/>
    <x v="1"/>
    <n v="14"/>
    <n v="3"/>
    <n v="4"/>
    <n v="80"/>
    <n v="0"/>
    <n v="21"/>
    <n v="2"/>
    <n v="3"/>
    <n v="20"/>
    <n v="15"/>
    <n v="1"/>
    <n v="12"/>
    <x v="0"/>
    <s v="Top"/>
  </r>
  <r>
    <n v="26"/>
    <x v="1"/>
    <s v="Travel_Rarely"/>
    <n v="1349"/>
    <x v="1"/>
    <n v="23"/>
    <n v="3"/>
    <s v="Life Sciences"/>
    <n v="1"/>
    <n v="560"/>
    <n v="1"/>
    <x v="0"/>
    <n v="90"/>
    <n v="3"/>
    <n v="1"/>
    <x v="1"/>
    <n v="4"/>
    <s v="Divorced"/>
    <n v="2886"/>
    <n v="3032"/>
    <n v="1"/>
    <s v="Y"/>
    <x v="1"/>
    <n v="22"/>
    <n v="4"/>
    <n v="2"/>
    <n v="80"/>
    <n v="2"/>
    <n v="3"/>
    <n v="3"/>
    <n v="1"/>
    <n v="3"/>
    <n v="2"/>
    <n v="0"/>
    <n v="2"/>
    <x v="2"/>
    <s v="Low"/>
  </r>
  <r>
    <n v="30"/>
    <x v="1"/>
    <s v="Non-Travel"/>
    <n v="1400"/>
    <x v="1"/>
    <n v="3"/>
    <n v="3"/>
    <s v="Life Sciences"/>
    <n v="1"/>
    <n v="562"/>
    <n v="3"/>
    <x v="1"/>
    <n v="53"/>
    <n v="3"/>
    <n v="1"/>
    <x v="2"/>
    <n v="4"/>
    <s v="Married"/>
    <n v="2097"/>
    <n v="16734"/>
    <n v="4"/>
    <s v="Y"/>
    <x v="1"/>
    <n v="15"/>
    <n v="3"/>
    <n v="3"/>
    <n v="80"/>
    <n v="1"/>
    <n v="9"/>
    <n v="3"/>
    <n v="1"/>
    <n v="5"/>
    <n v="3"/>
    <n v="1"/>
    <n v="4"/>
    <x v="2"/>
    <s v="Low"/>
  </r>
  <r>
    <n v="29"/>
    <x v="1"/>
    <s v="Travel_Rarely"/>
    <n v="986"/>
    <x v="1"/>
    <n v="3"/>
    <n v="4"/>
    <s v="Medical"/>
    <n v="1"/>
    <n v="564"/>
    <n v="2"/>
    <x v="1"/>
    <n v="93"/>
    <n v="2"/>
    <n v="3"/>
    <x v="7"/>
    <n v="3"/>
    <s v="Married"/>
    <n v="11935"/>
    <n v="21526"/>
    <n v="1"/>
    <s v="Y"/>
    <x v="1"/>
    <n v="18"/>
    <n v="3"/>
    <n v="3"/>
    <n v="80"/>
    <n v="0"/>
    <n v="10"/>
    <n v="2"/>
    <n v="3"/>
    <n v="10"/>
    <n v="2"/>
    <n v="0"/>
    <n v="7"/>
    <x v="2"/>
    <s v="High"/>
  </r>
  <r>
    <n v="29"/>
    <x v="0"/>
    <s v="Travel_Rarely"/>
    <n v="408"/>
    <x v="1"/>
    <n v="25"/>
    <n v="5"/>
    <s v="Technical Degree"/>
    <n v="1"/>
    <n v="565"/>
    <n v="3"/>
    <x v="0"/>
    <n v="71"/>
    <n v="2"/>
    <n v="1"/>
    <x v="1"/>
    <n v="2"/>
    <s v="Married"/>
    <n v="2546"/>
    <n v="18300"/>
    <n v="5"/>
    <s v="Y"/>
    <x v="1"/>
    <n v="16"/>
    <n v="3"/>
    <n v="2"/>
    <n v="80"/>
    <n v="0"/>
    <n v="6"/>
    <n v="2"/>
    <n v="4"/>
    <n v="2"/>
    <n v="2"/>
    <n v="1"/>
    <n v="1"/>
    <x v="2"/>
    <s v="Low"/>
  </r>
  <r>
    <n v="19"/>
    <x v="0"/>
    <s v="Travel_Rarely"/>
    <n v="489"/>
    <x v="2"/>
    <n v="2"/>
    <n v="2"/>
    <s v="Technical Degree"/>
    <n v="1"/>
    <n v="566"/>
    <n v="1"/>
    <x v="1"/>
    <n v="52"/>
    <n v="2"/>
    <n v="1"/>
    <x v="8"/>
    <n v="4"/>
    <s v="Single"/>
    <n v="2564"/>
    <n v="18437"/>
    <n v="1"/>
    <s v="Y"/>
    <x v="1"/>
    <n v="12"/>
    <n v="3"/>
    <n v="3"/>
    <n v="80"/>
    <n v="0"/>
    <n v="1"/>
    <n v="3"/>
    <n v="4"/>
    <n v="1"/>
    <n v="0"/>
    <n v="0"/>
    <n v="0"/>
    <x v="3"/>
    <s v="Low"/>
  </r>
  <r>
    <n v="30"/>
    <x v="1"/>
    <s v="Non-Travel"/>
    <n v="1398"/>
    <x v="0"/>
    <n v="22"/>
    <n v="4"/>
    <s v="Other"/>
    <n v="1"/>
    <n v="567"/>
    <n v="3"/>
    <x v="0"/>
    <n v="69"/>
    <n v="3"/>
    <n v="3"/>
    <x v="0"/>
    <n v="1"/>
    <s v="Married"/>
    <n v="8412"/>
    <n v="2890"/>
    <n v="0"/>
    <s v="Y"/>
    <x v="1"/>
    <n v="11"/>
    <n v="3"/>
    <n v="3"/>
    <n v="80"/>
    <n v="0"/>
    <n v="10"/>
    <n v="3"/>
    <n v="3"/>
    <n v="9"/>
    <n v="8"/>
    <n v="7"/>
    <n v="8"/>
    <x v="2"/>
    <s v="High"/>
  </r>
  <r>
    <n v="57"/>
    <x v="1"/>
    <s v="Travel_Rarely"/>
    <n v="210"/>
    <x v="0"/>
    <n v="29"/>
    <n v="3"/>
    <s v="Marketing"/>
    <n v="1"/>
    <n v="568"/>
    <n v="1"/>
    <x v="1"/>
    <n v="56"/>
    <n v="2"/>
    <n v="4"/>
    <x v="5"/>
    <n v="4"/>
    <s v="Divorced"/>
    <n v="14118"/>
    <n v="22102"/>
    <n v="3"/>
    <s v="Y"/>
    <x v="1"/>
    <n v="12"/>
    <n v="3"/>
    <n v="3"/>
    <n v="80"/>
    <n v="1"/>
    <n v="32"/>
    <n v="3"/>
    <n v="2"/>
    <n v="1"/>
    <n v="0"/>
    <n v="0"/>
    <n v="0"/>
    <x v="1"/>
    <s v="Top"/>
  </r>
  <r>
    <n v="50"/>
    <x v="1"/>
    <s v="Travel_Rarely"/>
    <n v="1099"/>
    <x v="1"/>
    <n v="29"/>
    <n v="4"/>
    <s v="Life Sciences"/>
    <n v="1"/>
    <n v="569"/>
    <n v="2"/>
    <x v="1"/>
    <n v="88"/>
    <n v="2"/>
    <n v="4"/>
    <x v="5"/>
    <n v="3"/>
    <s v="Married"/>
    <n v="17046"/>
    <n v="9314"/>
    <n v="0"/>
    <s v="Y"/>
    <x v="1"/>
    <n v="15"/>
    <n v="3"/>
    <n v="2"/>
    <n v="80"/>
    <n v="1"/>
    <n v="28"/>
    <n v="2"/>
    <n v="3"/>
    <n v="27"/>
    <n v="10"/>
    <n v="15"/>
    <n v="7"/>
    <x v="1"/>
    <s v="Top"/>
  </r>
  <r>
    <n v="30"/>
    <x v="1"/>
    <s v="Non-Travel"/>
    <n v="1116"/>
    <x v="1"/>
    <n v="2"/>
    <n v="3"/>
    <s v="Medical"/>
    <n v="1"/>
    <n v="571"/>
    <n v="3"/>
    <x v="0"/>
    <n v="49"/>
    <n v="3"/>
    <n v="1"/>
    <x v="2"/>
    <n v="4"/>
    <s v="Single"/>
    <n v="2564"/>
    <n v="7181"/>
    <n v="0"/>
    <s v="Y"/>
    <x v="1"/>
    <n v="14"/>
    <n v="3"/>
    <n v="3"/>
    <n v="80"/>
    <n v="0"/>
    <n v="12"/>
    <n v="2"/>
    <n v="2"/>
    <n v="11"/>
    <n v="7"/>
    <n v="6"/>
    <n v="7"/>
    <x v="2"/>
    <s v="Low"/>
  </r>
  <r>
    <n v="60"/>
    <x v="1"/>
    <s v="Travel_Frequently"/>
    <n v="1499"/>
    <x v="0"/>
    <n v="28"/>
    <n v="3"/>
    <s v="Marketing"/>
    <n v="1"/>
    <n v="573"/>
    <n v="3"/>
    <x v="0"/>
    <n v="80"/>
    <n v="2"/>
    <n v="3"/>
    <x v="0"/>
    <n v="1"/>
    <s v="Married"/>
    <n v="10266"/>
    <n v="2845"/>
    <n v="4"/>
    <s v="Y"/>
    <x v="1"/>
    <n v="19"/>
    <n v="3"/>
    <n v="4"/>
    <n v="80"/>
    <n v="0"/>
    <n v="22"/>
    <n v="5"/>
    <n v="4"/>
    <n v="18"/>
    <n v="13"/>
    <n v="13"/>
    <n v="11"/>
    <x v="1"/>
    <s v="High"/>
  </r>
  <r>
    <n v="47"/>
    <x v="1"/>
    <s v="Travel_Rarely"/>
    <n v="983"/>
    <x v="1"/>
    <n v="2"/>
    <n v="2"/>
    <s v="Medical"/>
    <n v="1"/>
    <n v="574"/>
    <n v="1"/>
    <x v="0"/>
    <n v="65"/>
    <n v="3"/>
    <n v="2"/>
    <x v="3"/>
    <n v="4"/>
    <s v="Divorced"/>
    <n v="5070"/>
    <n v="7389"/>
    <n v="5"/>
    <s v="Y"/>
    <x v="1"/>
    <n v="13"/>
    <n v="3"/>
    <n v="3"/>
    <n v="80"/>
    <n v="3"/>
    <n v="20"/>
    <n v="2"/>
    <n v="3"/>
    <n v="5"/>
    <n v="0"/>
    <n v="0"/>
    <n v="4"/>
    <x v="1"/>
    <s v="Mid"/>
  </r>
  <r>
    <n v="46"/>
    <x v="1"/>
    <s v="Travel_Rarely"/>
    <n v="1009"/>
    <x v="1"/>
    <n v="2"/>
    <n v="3"/>
    <s v="Life Sciences"/>
    <n v="1"/>
    <n v="575"/>
    <n v="1"/>
    <x v="1"/>
    <n v="51"/>
    <n v="3"/>
    <n v="4"/>
    <x v="7"/>
    <n v="3"/>
    <s v="Married"/>
    <n v="17861"/>
    <n v="2288"/>
    <n v="6"/>
    <s v="Y"/>
    <x v="1"/>
    <n v="13"/>
    <n v="3"/>
    <n v="3"/>
    <n v="80"/>
    <n v="0"/>
    <n v="26"/>
    <n v="2"/>
    <n v="1"/>
    <n v="3"/>
    <n v="2"/>
    <n v="0"/>
    <n v="1"/>
    <x v="1"/>
    <s v="Top"/>
  </r>
  <r>
    <n v="35"/>
    <x v="1"/>
    <s v="Travel_Rarely"/>
    <n v="144"/>
    <x v="1"/>
    <n v="22"/>
    <n v="3"/>
    <s v="Life Sciences"/>
    <n v="1"/>
    <n v="577"/>
    <n v="4"/>
    <x v="1"/>
    <n v="46"/>
    <n v="1"/>
    <n v="1"/>
    <x v="2"/>
    <n v="3"/>
    <s v="Single"/>
    <n v="4230"/>
    <n v="19225"/>
    <n v="0"/>
    <s v="Y"/>
    <x v="1"/>
    <n v="15"/>
    <n v="3"/>
    <n v="3"/>
    <n v="80"/>
    <n v="0"/>
    <n v="6"/>
    <n v="2"/>
    <n v="3"/>
    <n v="5"/>
    <n v="4"/>
    <n v="4"/>
    <n v="3"/>
    <x v="2"/>
    <s v="Mid"/>
  </r>
  <r>
    <n v="54"/>
    <x v="1"/>
    <s v="Travel_Rarely"/>
    <n v="548"/>
    <x v="1"/>
    <n v="8"/>
    <n v="4"/>
    <s v="Life Sciences"/>
    <n v="1"/>
    <n v="578"/>
    <n v="3"/>
    <x v="0"/>
    <n v="42"/>
    <n v="3"/>
    <n v="2"/>
    <x v="2"/>
    <n v="3"/>
    <s v="Single"/>
    <n v="3780"/>
    <n v="23428"/>
    <n v="7"/>
    <s v="Y"/>
    <x v="1"/>
    <n v="11"/>
    <n v="3"/>
    <n v="3"/>
    <n v="80"/>
    <n v="0"/>
    <n v="19"/>
    <n v="3"/>
    <n v="3"/>
    <n v="1"/>
    <n v="0"/>
    <n v="0"/>
    <n v="0"/>
    <x v="1"/>
    <s v="Mid"/>
  </r>
  <r>
    <n v="34"/>
    <x v="1"/>
    <s v="Travel_Rarely"/>
    <n v="1303"/>
    <x v="1"/>
    <n v="2"/>
    <n v="4"/>
    <s v="Life Sciences"/>
    <n v="1"/>
    <n v="579"/>
    <n v="4"/>
    <x v="1"/>
    <n v="62"/>
    <n v="2"/>
    <n v="1"/>
    <x v="1"/>
    <n v="3"/>
    <s v="Divorced"/>
    <n v="2768"/>
    <n v="8416"/>
    <n v="3"/>
    <s v="Y"/>
    <x v="1"/>
    <n v="12"/>
    <n v="3"/>
    <n v="3"/>
    <n v="80"/>
    <n v="1"/>
    <n v="14"/>
    <n v="3"/>
    <n v="3"/>
    <n v="7"/>
    <n v="3"/>
    <n v="5"/>
    <n v="7"/>
    <x v="2"/>
    <s v="Low"/>
  </r>
  <r>
    <n v="46"/>
    <x v="1"/>
    <s v="Travel_Rarely"/>
    <n v="1125"/>
    <x v="0"/>
    <n v="10"/>
    <n v="3"/>
    <s v="Marketing"/>
    <n v="1"/>
    <n v="580"/>
    <n v="3"/>
    <x v="0"/>
    <n v="94"/>
    <n v="2"/>
    <n v="3"/>
    <x v="0"/>
    <n v="4"/>
    <s v="Married"/>
    <n v="9071"/>
    <n v="11563"/>
    <n v="2"/>
    <s v="Y"/>
    <x v="0"/>
    <n v="19"/>
    <n v="3"/>
    <n v="3"/>
    <n v="80"/>
    <n v="1"/>
    <n v="15"/>
    <n v="3"/>
    <n v="3"/>
    <n v="3"/>
    <n v="2"/>
    <n v="1"/>
    <n v="2"/>
    <x v="1"/>
    <s v="High"/>
  </r>
  <r>
    <n v="31"/>
    <x v="1"/>
    <s v="Travel_Rarely"/>
    <n v="1274"/>
    <x v="1"/>
    <n v="9"/>
    <n v="1"/>
    <s v="Life Sciences"/>
    <n v="1"/>
    <n v="581"/>
    <n v="3"/>
    <x v="1"/>
    <n v="33"/>
    <n v="3"/>
    <n v="3"/>
    <x v="3"/>
    <n v="2"/>
    <s v="Divorced"/>
    <n v="10648"/>
    <n v="14394"/>
    <n v="1"/>
    <s v="Y"/>
    <x v="1"/>
    <n v="25"/>
    <n v="4"/>
    <n v="4"/>
    <n v="80"/>
    <n v="1"/>
    <n v="13"/>
    <n v="6"/>
    <n v="4"/>
    <n v="13"/>
    <n v="8"/>
    <n v="0"/>
    <n v="8"/>
    <x v="2"/>
    <s v="High"/>
  </r>
  <r>
    <n v="33"/>
    <x v="0"/>
    <s v="Travel_Rarely"/>
    <n v="1277"/>
    <x v="1"/>
    <n v="15"/>
    <n v="1"/>
    <s v="Medical"/>
    <n v="1"/>
    <n v="582"/>
    <n v="2"/>
    <x v="1"/>
    <n v="56"/>
    <n v="3"/>
    <n v="3"/>
    <x v="5"/>
    <n v="3"/>
    <s v="Married"/>
    <n v="13610"/>
    <n v="24619"/>
    <n v="7"/>
    <s v="Y"/>
    <x v="0"/>
    <n v="12"/>
    <n v="3"/>
    <n v="4"/>
    <n v="80"/>
    <n v="0"/>
    <n v="15"/>
    <n v="2"/>
    <n v="4"/>
    <n v="7"/>
    <n v="6"/>
    <n v="7"/>
    <n v="7"/>
    <x v="2"/>
    <s v="Top"/>
  </r>
  <r>
    <n v="33"/>
    <x v="0"/>
    <s v="Travel_Rarely"/>
    <n v="587"/>
    <x v="1"/>
    <n v="10"/>
    <n v="1"/>
    <s v="Medical"/>
    <n v="1"/>
    <n v="584"/>
    <n v="1"/>
    <x v="1"/>
    <n v="38"/>
    <n v="1"/>
    <n v="1"/>
    <x v="2"/>
    <n v="4"/>
    <s v="Divorced"/>
    <n v="3408"/>
    <n v="6705"/>
    <n v="7"/>
    <s v="Y"/>
    <x v="1"/>
    <n v="13"/>
    <n v="3"/>
    <n v="1"/>
    <n v="80"/>
    <n v="3"/>
    <n v="8"/>
    <n v="2"/>
    <n v="3"/>
    <n v="4"/>
    <n v="3"/>
    <n v="1"/>
    <n v="3"/>
    <x v="2"/>
    <s v="Mid"/>
  </r>
  <r>
    <n v="30"/>
    <x v="1"/>
    <s v="Travel_Rarely"/>
    <n v="413"/>
    <x v="0"/>
    <n v="7"/>
    <n v="1"/>
    <s v="Marketing"/>
    <n v="1"/>
    <n v="585"/>
    <n v="4"/>
    <x v="1"/>
    <n v="57"/>
    <n v="3"/>
    <n v="1"/>
    <x v="6"/>
    <n v="2"/>
    <s v="Single"/>
    <n v="2983"/>
    <n v="18398"/>
    <n v="0"/>
    <s v="Y"/>
    <x v="1"/>
    <n v="14"/>
    <n v="3"/>
    <n v="1"/>
    <n v="80"/>
    <n v="0"/>
    <n v="4"/>
    <n v="3"/>
    <n v="3"/>
    <n v="3"/>
    <n v="2"/>
    <n v="1"/>
    <n v="2"/>
    <x v="2"/>
    <s v="Low"/>
  </r>
  <r>
    <n v="35"/>
    <x v="1"/>
    <s v="Travel_Rarely"/>
    <n v="1276"/>
    <x v="1"/>
    <n v="16"/>
    <n v="3"/>
    <s v="Life Sciences"/>
    <n v="1"/>
    <n v="586"/>
    <n v="4"/>
    <x v="1"/>
    <n v="72"/>
    <n v="3"/>
    <n v="3"/>
    <x v="4"/>
    <n v="3"/>
    <s v="Married"/>
    <n v="7632"/>
    <n v="14295"/>
    <n v="4"/>
    <s v="Y"/>
    <x v="0"/>
    <n v="12"/>
    <n v="3"/>
    <n v="3"/>
    <n v="80"/>
    <n v="0"/>
    <n v="10"/>
    <n v="2"/>
    <n v="3"/>
    <n v="8"/>
    <n v="7"/>
    <n v="0"/>
    <n v="0"/>
    <x v="2"/>
    <s v="High"/>
  </r>
  <r>
    <n v="31"/>
    <x v="0"/>
    <s v="Travel_Frequently"/>
    <n v="534"/>
    <x v="1"/>
    <n v="20"/>
    <n v="3"/>
    <s v="Life Sciences"/>
    <n v="1"/>
    <n v="587"/>
    <n v="1"/>
    <x v="1"/>
    <n v="66"/>
    <n v="3"/>
    <n v="3"/>
    <x v="4"/>
    <n v="3"/>
    <s v="Married"/>
    <n v="9824"/>
    <n v="22908"/>
    <n v="3"/>
    <s v="Y"/>
    <x v="1"/>
    <n v="12"/>
    <n v="3"/>
    <n v="1"/>
    <n v="80"/>
    <n v="0"/>
    <n v="12"/>
    <n v="2"/>
    <n v="3"/>
    <n v="1"/>
    <n v="0"/>
    <n v="0"/>
    <n v="0"/>
    <x v="2"/>
    <s v="High"/>
  </r>
  <r>
    <n v="34"/>
    <x v="0"/>
    <s v="Travel_Frequently"/>
    <n v="988"/>
    <x v="2"/>
    <n v="23"/>
    <n v="3"/>
    <s v="Human Resources"/>
    <n v="1"/>
    <n v="590"/>
    <n v="2"/>
    <x v="0"/>
    <n v="43"/>
    <n v="3"/>
    <n v="3"/>
    <x v="8"/>
    <n v="1"/>
    <s v="Divorced"/>
    <n v="9950"/>
    <n v="11533"/>
    <n v="9"/>
    <s v="Y"/>
    <x v="0"/>
    <n v="15"/>
    <n v="3"/>
    <n v="3"/>
    <n v="80"/>
    <n v="3"/>
    <n v="11"/>
    <n v="2"/>
    <n v="3"/>
    <n v="3"/>
    <n v="2"/>
    <n v="0"/>
    <n v="2"/>
    <x v="2"/>
    <s v="High"/>
  </r>
  <r>
    <n v="42"/>
    <x v="1"/>
    <s v="Travel_Frequently"/>
    <n v="1474"/>
    <x v="1"/>
    <n v="5"/>
    <n v="2"/>
    <s v="Other"/>
    <n v="1"/>
    <n v="591"/>
    <n v="2"/>
    <x v="1"/>
    <n v="97"/>
    <n v="3"/>
    <n v="1"/>
    <x v="2"/>
    <n v="3"/>
    <s v="Married"/>
    <n v="2093"/>
    <n v="9260"/>
    <n v="4"/>
    <s v="Y"/>
    <x v="1"/>
    <n v="17"/>
    <n v="3"/>
    <n v="4"/>
    <n v="80"/>
    <n v="1"/>
    <n v="8"/>
    <n v="4"/>
    <n v="3"/>
    <n v="2"/>
    <n v="2"/>
    <n v="2"/>
    <n v="0"/>
    <x v="0"/>
    <s v="Low"/>
  </r>
  <r>
    <n v="36"/>
    <x v="1"/>
    <s v="Non-Travel"/>
    <n v="635"/>
    <x v="0"/>
    <n v="10"/>
    <n v="4"/>
    <s v="Medical"/>
    <n v="1"/>
    <n v="592"/>
    <n v="2"/>
    <x v="1"/>
    <n v="32"/>
    <n v="3"/>
    <n v="3"/>
    <x v="0"/>
    <n v="4"/>
    <s v="Single"/>
    <n v="9980"/>
    <n v="15318"/>
    <n v="1"/>
    <s v="Y"/>
    <x v="1"/>
    <n v="14"/>
    <n v="3"/>
    <n v="4"/>
    <n v="80"/>
    <n v="0"/>
    <n v="10"/>
    <n v="3"/>
    <n v="2"/>
    <n v="10"/>
    <n v="3"/>
    <n v="9"/>
    <n v="7"/>
    <x v="0"/>
    <s v="High"/>
  </r>
  <r>
    <n v="22"/>
    <x v="0"/>
    <s v="Travel_Frequently"/>
    <n v="1368"/>
    <x v="1"/>
    <n v="4"/>
    <n v="1"/>
    <s v="Technical Degree"/>
    <n v="1"/>
    <n v="593"/>
    <n v="3"/>
    <x v="1"/>
    <n v="99"/>
    <n v="2"/>
    <n v="1"/>
    <x v="2"/>
    <n v="3"/>
    <s v="Single"/>
    <n v="3894"/>
    <n v="9129"/>
    <n v="5"/>
    <s v="Y"/>
    <x v="1"/>
    <n v="16"/>
    <n v="3"/>
    <n v="3"/>
    <n v="80"/>
    <n v="0"/>
    <n v="4"/>
    <n v="3"/>
    <n v="3"/>
    <n v="2"/>
    <n v="2"/>
    <n v="1"/>
    <n v="2"/>
    <x v="3"/>
    <s v="Mid"/>
  </r>
  <r>
    <n v="48"/>
    <x v="1"/>
    <s v="Travel_Rarely"/>
    <n v="163"/>
    <x v="0"/>
    <n v="2"/>
    <n v="5"/>
    <s v="Marketing"/>
    <n v="1"/>
    <n v="595"/>
    <n v="2"/>
    <x v="0"/>
    <n v="37"/>
    <n v="3"/>
    <n v="2"/>
    <x v="0"/>
    <n v="4"/>
    <s v="Married"/>
    <n v="4051"/>
    <n v="19658"/>
    <n v="2"/>
    <s v="Y"/>
    <x v="1"/>
    <n v="14"/>
    <n v="3"/>
    <n v="1"/>
    <n v="80"/>
    <n v="1"/>
    <n v="14"/>
    <n v="2"/>
    <n v="3"/>
    <n v="9"/>
    <n v="7"/>
    <n v="6"/>
    <n v="7"/>
    <x v="1"/>
    <s v="Mid"/>
  </r>
  <r>
    <n v="55"/>
    <x v="1"/>
    <s v="Travel_Rarely"/>
    <n v="1117"/>
    <x v="0"/>
    <n v="18"/>
    <n v="5"/>
    <s v="Life Sciences"/>
    <n v="1"/>
    <n v="597"/>
    <n v="1"/>
    <x v="0"/>
    <n v="83"/>
    <n v="3"/>
    <n v="4"/>
    <x v="5"/>
    <n v="2"/>
    <s v="Single"/>
    <n v="16835"/>
    <n v="9873"/>
    <n v="3"/>
    <s v="Y"/>
    <x v="1"/>
    <n v="23"/>
    <n v="4"/>
    <n v="4"/>
    <n v="80"/>
    <n v="0"/>
    <n v="37"/>
    <n v="2"/>
    <n v="3"/>
    <n v="10"/>
    <n v="9"/>
    <n v="7"/>
    <n v="7"/>
    <x v="1"/>
    <s v="Top"/>
  </r>
  <r>
    <n v="41"/>
    <x v="1"/>
    <s v="Non-Travel"/>
    <n v="267"/>
    <x v="0"/>
    <n v="10"/>
    <n v="2"/>
    <s v="Life Sciences"/>
    <n v="1"/>
    <n v="599"/>
    <n v="4"/>
    <x v="1"/>
    <n v="56"/>
    <n v="3"/>
    <n v="2"/>
    <x v="0"/>
    <n v="4"/>
    <s v="Single"/>
    <n v="6230"/>
    <n v="13430"/>
    <n v="7"/>
    <s v="Y"/>
    <x v="1"/>
    <n v="14"/>
    <n v="3"/>
    <n v="4"/>
    <n v="80"/>
    <n v="0"/>
    <n v="16"/>
    <n v="3"/>
    <n v="3"/>
    <n v="14"/>
    <n v="3"/>
    <n v="1"/>
    <n v="10"/>
    <x v="0"/>
    <s v="Mid"/>
  </r>
  <r>
    <n v="35"/>
    <x v="1"/>
    <s v="Travel_Rarely"/>
    <n v="619"/>
    <x v="0"/>
    <n v="1"/>
    <n v="3"/>
    <s v="Marketing"/>
    <n v="1"/>
    <n v="600"/>
    <n v="2"/>
    <x v="1"/>
    <n v="85"/>
    <n v="3"/>
    <n v="2"/>
    <x v="0"/>
    <n v="3"/>
    <s v="Married"/>
    <n v="4717"/>
    <n v="18659"/>
    <n v="9"/>
    <s v="Y"/>
    <x v="1"/>
    <n v="11"/>
    <n v="3"/>
    <n v="3"/>
    <n v="80"/>
    <n v="0"/>
    <n v="15"/>
    <n v="2"/>
    <n v="3"/>
    <n v="11"/>
    <n v="9"/>
    <n v="6"/>
    <n v="9"/>
    <x v="2"/>
    <s v="Mid"/>
  </r>
  <r>
    <n v="40"/>
    <x v="1"/>
    <s v="Travel_Rarely"/>
    <n v="302"/>
    <x v="1"/>
    <n v="6"/>
    <n v="3"/>
    <s v="Life Sciences"/>
    <n v="1"/>
    <n v="601"/>
    <n v="2"/>
    <x v="0"/>
    <n v="75"/>
    <n v="3"/>
    <n v="4"/>
    <x v="3"/>
    <n v="3"/>
    <s v="Single"/>
    <n v="13237"/>
    <n v="20364"/>
    <n v="7"/>
    <s v="Y"/>
    <x v="1"/>
    <n v="15"/>
    <n v="3"/>
    <n v="3"/>
    <n v="80"/>
    <n v="0"/>
    <n v="22"/>
    <n v="3"/>
    <n v="3"/>
    <n v="20"/>
    <n v="6"/>
    <n v="5"/>
    <n v="13"/>
    <x v="0"/>
    <s v="Top"/>
  </r>
  <r>
    <n v="39"/>
    <x v="1"/>
    <s v="Travel_Frequently"/>
    <n v="443"/>
    <x v="1"/>
    <n v="8"/>
    <n v="1"/>
    <s v="Life Sciences"/>
    <n v="1"/>
    <n v="602"/>
    <n v="3"/>
    <x v="0"/>
    <n v="48"/>
    <n v="3"/>
    <n v="1"/>
    <x v="2"/>
    <n v="3"/>
    <s v="Married"/>
    <n v="3755"/>
    <n v="17872"/>
    <n v="1"/>
    <s v="Y"/>
    <x v="1"/>
    <n v="11"/>
    <n v="3"/>
    <n v="1"/>
    <n v="80"/>
    <n v="1"/>
    <n v="8"/>
    <n v="3"/>
    <n v="3"/>
    <n v="8"/>
    <n v="3"/>
    <n v="0"/>
    <n v="7"/>
    <x v="0"/>
    <s v="Mid"/>
  </r>
  <r>
    <n v="31"/>
    <x v="1"/>
    <s v="Travel_Rarely"/>
    <n v="828"/>
    <x v="0"/>
    <n v="2"/>
    <n v="1"/>
    <s v="Life Sciences"/>
    <n v="1"/>
    <n v="604"/>
    <n v="2"/>
    <x v="1"/>
    <n v="77"/>
    <n v="3"/>
    <n v="2"/>
    <x v="0"/>
    <n v="4"/>
    <s v="Single"/>
    <n v="6582"/>
    <n v="8346"/>
    <n v="4"/>
    <s v="Y"/>
    <x v="0"/>
    <n v="13"/>
    <n v="3"/>
    <n v="3"/>
    <n v="80"/>
    <n v="0"/>
    <n v="10"/>
    <n v="2"/>
    <n v="4"/>
    <n v="6"/>
    <n v="5"/>
    <n v="0"/>
    <n v="5"/>
    <x v="2"/>
    <s v="Mid"/>
  </r>
  <r>
    <n v="42"/>
    <x v="1"/>
    <s v="Travel_Rarely"/>
    <n v="319"/>
    <x v="1"/>
    <n v="24"/>
    <n v="3"/>
    <s v="Medical"/>
    <n v="1"/>
    <n v="605"/>
    <n v="4"/>
    <x v="1"/>
    <n v="56"/>
    <n v="3"/>
    <n v="3"/>
    <x v="3"/>
    <n v="1"/>
    <s v="Married"/>
    <n v="7406"/>
    <n v="6950"/>
    <n v="1"/>
    <s v="Y"/>
    <x v="0"/>
    <n v="21"/>
    <n v="4"/>
    <n v="4"/>
    <n v="80"/>
    <n v="1"/>
    <n v="10"/>
    <n v="5"/>
    <n v="2"/>
    <n v="10"/>
    <n v="9"/>
    <n v="5"/>
    <n v="8"/>
    <x v="0"/>
    <s v="High"/>
  </r>
  <r>
    <n v="45"/>
    <x v="1"/>
    <s v="Travel_Rarely"/>
    <n v="561"/>
    <x v="0"/>
    <n v="2"/>
    <n v="3"/>
    <s v="Other"/>
    <n v="1"/>
    <n v="606"/>
    <n v="4"/>
    <x v="1"/>
    <n v="61"/>
    <n v="3"/>
    <n v="2"/>
    <x v="0"/>
    <n v="2"/>
    <s v="Married"/>
    <n v="4805"/>
    <n v="16177"/>
    <n v="0"/>
    <s v="Y"/>
    <x v="1"/>
    <n v="19"/>
    <n v="3"/>
    <n v="2"/>
    <n v="80"/>
    <n v="1"/>
    <n v="9"/>
    <n v="3"/>
    <n v="4"/>
    <n v="8"/>
    <n v="7"/>
    <n v="3"/>
    <n v="7"/>
    <x v="0"/>
    <s v="Mid"/>
  </r>
  <r>
    <n v="26"/>
    <x v="0"/>
    <s v="Travel_Frequently"/>
    <n v="426"/>
    <x v="2"/>
    <n v="17"/>
    <n v="4"/>
    <s v="Life Sciences"/>
    <n v="1"/>
    <n v="608"/>
    <n v="2"/>
    <x v="0"/>
    <n v="58"/>
    <n v="3"/>
    <n v="1"/>
    <x v="8"/>
    <n v="3"/>
    <s v="Divorced"/>
    <n v="2741"/>
    <n v="22808"/>
    <n v="0"/>
    <s v="Y"/>
    <x v="0"/>
    <n v="11"/>
    <n v="3"/>
    <n v="2"/>
    <n v="80"/>
    <n v="1"/>
    <n v="8"/>
    <n v="2"/>
    <n v="2"/>
    <n v="7"/>
    <n v="7"/>
    <n v="1"/>
    <n v="0"/>
    <x v="2"/>
    <s v="Low"/>
  </r>
  <r>
    <n v="29"/>
    <x v="1"/>
    <s v="Travel_Rarely"/>
    <n v="232"/>
    <x v="1"/>
    <n v="19"/>
    <n v="3"/>
    <s v="Technical Degree"/>
    <n v="1"/>
    <n v="611"/>
    <n v="4"/>
    <x v="1"/>
    <n v="34"/>
    <n v="3"/>
    <n v="2"/>
    <x v="3"/>
    <n v="4"/>
    <s v="Divorced"/>
    <n v="4262"/>
    <n v="22645"/>
    <n v="4"/>
    <s v="Y"/>
    <x v="1"/>
    <n v="12"/>
    <n v="3"/>
    <n v="2"/>
    <n v="80"/>
    <n v="2"/>
    <n v="8"/>
    <n v="2"/>
    <n v="4"/>
    <n v="3"/>
    <n v="2"/>
    <n v="1"/>
    <n v="2"/>
    <x v="2"/>
    <s v="Mid"/>
  </r>
  <r>
    <n v="33"/>
    <x v="1"/>
    <s v="Travel_Rarely"/>
    <n v="922"/>
    <x v="1"/>
    <n v="1"/>
    <n v="5"/>
    <s v="Medical"/>
    <n v="1"/>
    <n v="612"/>
    <n v="1"/>
    <x v="0"/>
    <n v="95"/>
    <n v="4"/>
    <n v="4"/>
    <x v="7"/>
    <n v="3"/>
    <s v="Divorced"/>
    <n v="16184"/>
    <n v="22578"/>
    <n v="4"/>
    <s v="Y"/>
    <x v="1"/>
    <n v="19"/>
    <n v="3"/>
    <n v="3"/>
    <n v="80"/>
    <n v="1"/>
    <n v="10"/>
    <n v="2"/>
    <n v="3"/>
    <n v="6"/>
    <n v="1"/>
    <n v="0"/>
    <n v="5"/>
    <x v="2"/>
    <s v="Top"/>
  </r>
  <r>
    <n v="31"/>
    <x v="1"/>
    <s v="Travel_Rarely"/>
    <n v="688"/>
    <x v="0"/>
    <n v="7"/>
    <n v="3"/>
    <s v="Life Sciences"/>
    <n v="1"/>
    <n v="613"/>
    <n v="3"/>
    <x v="1"/>
    <n v="44"/>
    <n v="2"/>
    <n v="3"/>
    <x v="5"/>
    <n v="4"/>
    <s v="Divorced"/>
    <n v="11557"/>
    <n v="25291"/>
    <n v="9"/>
    <s v="Y"/>
    <x v="1"/>
    <n v="21"/>
    <n v="4"/>
    <n v="3"/>
    <n v="80"/>
    <n v="1"/>
    <n v="10"/>
    <n v="3"/>
    <n v="2"/>
    <n v="5"/>
    <n v="4"/>
    <n v="0"/>
    <n v="1"/>
    <x v="2"/>
    <s v="High"/>
  </r>
  <r>
    <n v="18"/>
    <x v="0"/>
    <s v="Travel_Frequently"/>
    <n v="1306"/>
    <x v="0"/>
    <n v="5"/>
    <n v="3"/>
    <s v="Marketing"/>
    <n v="1"/>
    <n v="614"/>
    <n v="2"/>
    <x v="1"/>
    <n v="69"/>
    <n v="3"/>
    <n v="1"/>
    <x v="6"/>
    <n v="2"/>
    <s v="Single"/>
    <n v="1878"/>
    <n v="8059"/>
    <n v="1"/>
    <s v="Y"/>
    <x v="0"/>
    <n v="14"/>
    <n v="3"/>
    <n v="4"/>
    <n v="80"/>
    <n v="0"/>
    <n v="0"/>
    <n v="3"/>
    <n v="3"/>
    <n v="0"/>
    <n v="0"/>
    <n v="0"/>
    <n v="0"/>
    <x v="3"/>
    <s v="Low"/>
  </r>
  <r>
    <n v="40"/>
    <x v="1"/>
    <s v="Non-Travel"/>
    <n v="1094"/>
    <x v="0"/>
    <n v="28"/>
    <n v="3"/>
    <s v="Other"/>
    <n v="1"/>
    <n v="615"/>
    <n v="3"/>
    <x v="1"/>
    <n v="58"/>
    <n v="1"/>
    <n v="3"/>
    <x v="0"/>
    <n v="1"/>
    <s v="Divorced"/>
    <n v="10932"/>
    <n v="11373"/>
    <n v="3"/>
    <s v="Y"/>
    <x v="1"/>
    <n v="15"/>
    <n v="3"/>
    <n v="3"/>
    <n v="80"/>
    <n v="1"/>
    <n v="20"/>
    <n v="2"/>
    <n v="3"/>
    <n v="1"/>
    <n v="0"/>
    <n v="0"/>
    <n v="1"/>
    <x v="0"/>
    <s v="High"/>
  </r>
  <r>
    <n v="41"/>
    <x v="1"/>
    <s v="Non-Travel"/>
    <n v="509"/>
    <x v="1"/>
    <n v="2"/>
    <n v="4"/>
    <s v="Other"/>
    <n v="1"/>
    <n v="616"/>
    <n v="1"/>
    <x v="0"/>
    <n v="62"/>
    <n v="2"/>
    <n v="2"/>
    <x v="4"/>
    <n v="3"/>
    <s v="Single"/>
    <n v="6811"/>
    <n v="2112"/>
    <n v="2"/>
    <s v="Y"/>
    <x v="0"/>
    <n v="17"/>
    <n v="3"/>
    <n v="1"/>
    <n v="80"/>
    <n v="0"/>
    <n v="10"/>
    <n v="3"/>
    <n v="3"/>
    <n v="8"/>
    <n v="7"/>
    <n v="0"/>
    <n v="7"/>
    <x v="0"/>
    <s v="Mid"/>
  </r>
  <r>
    <n v="26"/>
    <x v="1"/>
    <s v="Travel_Rarely"/>
    <n v="775"/>
    <x v="0"/>
    <n v="29"/>
    <n v="2"/>
    <s v="Medical"/>
    <n v="1"/>
    <n v="618"/>
    <n v="1"/>
    <x v="1"/>
    <n v="45"/>
    <n v="3"/>
    <n v="2"/>
    <x v="0"/>
    <n v="3"/>
    <s v="Divorced"/>
    <n v="4306"/>
    <n v="4267"/>
    <n v="5"/>
    <s v="Y"/>
    <x v="1"/>
    <n v="12"/>
    <n v="3"/>
    <n v="1"/>
    <n v="80"/>
    <n v="2"/>
    <n v="8"/>
    <n v="5"/>
    <n v="3"/>
    <n v="0"/>
    <n v="0"/>
    <n v="0"/>
    <n v="0"/>
    <x v="2"/>
    <s v="Mid"/>
  </r>
  <r>
    <n v="35"/>
    <x v="1"/>
    <s v="Travel_Rarely"/>
    <n v="195"/>
    <x v="0"/>
    <n v="1"/>
    <n v="3"/>
    <s v="Medical"/>
    <n v="1"/>
    <n v="620"/>
    <n v="1"/>
    <x v="0"/>
    <n v="80"/>
    <n v="3"/>
    <n v="2"/>
    <x v="0"/>
    <n v="3"/>
    <s v="Single"/>
    <n v="4859"/>
    <n v="6698"/>
    <n v="1"/>
    <s v="Y"/>
    <x v="1"/>
    <n v="16"/>
    <n v="3"/>
    <n v="4"/>
    <n v="80"/>
    <n v="0"/>
    <n v="5"/>
    <n v="3"/>
    <n v="3"/>
    <n v="5"/>
    <n v="4"/>
    <n v="0"/>
    <n v="3"/>
    <x v="2"/>
    <s v="Mid"/>
  </r>
  <r>
    <n v="34"/>
    <x v="1"/>
    <s v="Travel_Rarely"/>
    <n v="258"/>
    <x v="0"/>
    <n v="21"/>
    <n v="4"/>
    <s v="Life Sciences"/>
    <n v="1"/>
    <n v="621"/>
    <n v="4"/>
    <x v="1"/>
    <n v="74"/>
    <n v="4"/>
    <n v="2"/>
    <x v="0"/>
    <n v="4"/>
    <s v="Single"/>
    <n v="5337"/>
    <n v="19921"/>
    <n v="1"/>
    <s v="Y"/>
    <x v="1"/>
    <n v="12"/>
    <n v="3"/>
    <n v="4"/>
    <n v="80"/>
    <n v="0"/>
    <n v="10"/>
    <n v="3"/>
    <n v="3"/>
    <n v="10"/>
    <n v="7"/>
    <n v="5"/>
    <n v="7"/>
    <x v="2"/>
    <s v="Mid"/>
  </r>
  <r>
    <n v="26"/>
    <x v="0"/>
    <s v="Travel_Rarely"/>
    <n v="471"/>
    <x v="1"/>
    <n v="24"/>
    <n v="3"/>
    <s v="Technical Degree"/>
    <n v="1"/>
    <n v="622"/>
    <n v="3"/>
    <x v="1"/>
    <n v="66"/>
    <n v="1"/>
    <n v="1"/>
    <x v="2"/>
    <n v="4"/>
    <s v="Single"/>
    <n v="2340"/>
    <n v="23213"/>
    <n v="1"/>
    <s v="Y"/>
    <x v="0"/>
    <n v="18"/>
    <n v="3"/>
    <n v="2"/>
    <n v="80"/>
    <n v="0"/>
    <n v="1"/>
    <n v="3"/>
    <n v="1"/>
    <n v="1"/>
    <n v="0"/>
    <n v="0"/>
    <n v="0"/>
    <x v="2"/>
    <s v="Low"/>
  </r>
  <r>
    <n v="37"/>
    <x v="1"/>
    <s v="Travel_Rarely"/>
    <n v="799"/>
    <x v="1"/>
    <n v="1"/>
    <n v="3"/>
    <s v="Technical Degree"/>
    <n v="1"/>
    <n v="623"/>
    <n v="2"/>
    <x v="0"/>
    <n v="59"/>
    <n v="3"/>
    <n v="3"/>
    <x v="3"/>
    <n v="4"/>
    <s v="Single"/>
    <n v="7491"/>
    <n v="23848"/>
    <n v="4"/>
    <s v="Y"/>
    <x v="1"/>
    <n v="17"/>
    <n v="3"/>
    <n v="4"/>
    <n v="80"/>
    <n v="0"/>
    <n v="12"/>
    <n v="3"/>
    <n v="4"/>
    <n v="6"/>
    <n v="5"/>
    <n v="1"/>
    <n v="2"/>
    <x v="0"/>
    <s v="High"/>
  </r>
  <r>
    <n v="46"/>
    <x v="1"/>
    <s v="Travel_Frequently"/>
    <n v="1034"/>
    <x v="1"/>
    <n v="18"/>
    <n v="1"/>
    <s v="Medical"/>
    <n v="1"/>
    <n v="624"/>
    <n v="1"/>
    <x v="0"/>
    <n v="86"/>
    <n v="3"/>
    <n v="3"/>
    <x v="4"/>
    <n v="3"/>
    <s v="Married"/>
    <n v="10527"/>
    <n v="8984"/>
    <n v="5"/>
    <s v="Y"/>
    <x v="1"/>
    <n v="11"/>
    <n v="3"/>
    <n v="4"/>
    <n v="80"/>
    <n v="0"/>
    <n v="28"/>
    <n v="3"/>
    <n v="2"/>
    <n v="2"/>
    <n v="2"/>
    <n v="1"/>
    <n v="2"/>
    <x v="1"/>
    <s v="High"/>
  </r>
  <r>
    <n v="41"/>
    <x v="1"/>
    <s v="Travel_Rarely"/>
    <n v="1276"/>
    <x v="0"/>
    <n v="2"/>
    <n v="5"/>
    <s v="Life Sciences"/>
    <n v="1"/>
    <n v="625"/>
    <n v="2"/>
    <x v="0"/>
    <n v="91"/>
    <n v="3"/>
    <n v="4"/>
    <x v="5"/>
    <n v="1"/>
    <s v="Married"/>
    <n v="16595"/>
    <n v="5626"/>
    <n v="7"/>
    <s v="Y"/>
    <x v="1"/>
    <n v="16"/>
    <n v="3"/>
    <n v="2"/>
    <n v="80"/>
    <n v="1"/>
    <n v="22"/>
    <n v="2"/>
    <n v="3"/>
    <n v="18"/>
    <n v="16"/>
    <n v="11"/>
    <n v="8"/>
    <x v="0"/>
    <s v="Top"/>
  </r>
  <r>
    <n v="37"/>
    <x v="1"/>
    <s v="Non-Travel"/>
    <n v="142"/>
    <x v="0"/>
    <n v="9"/>
    <n v="4"/>
    <s v="Medical"/>
    <n v="1"/>
    <n v="626"/>
    <n v="1"/>
    <x v="1"/>
    <n v="69"/>
    <n v="3"/>
    <n v="3"/>
    <x v="0"/>
    <n v="2"/>
    <s v="Divorced"/>
    <n v="8834"/>
    <n v="24666"/>
    <n v="1"/>
    <s v="Y"/>
    <x v="1"/>
    <n v="13"/>
    <n v="3"/>
    <n v="4"/>
    <n v="80"/>
    <n v="1"/>
    <n v="9"/>
    <n v="6"/>
    <n v="3"/>
    <n v="9"/>
    <n v="5"/>
    <n v="7"/>
    <n v="7"/>
    <x v="0"/>
    <s v="High"/>
  </r>
  <r>
    <n v="52"/>
    <x v="1"/>
    <s v="Travel_Rarely"/>
    <n v="956"/>
    <x v="1"/>
    <n v="6"/>
    <n v="2"/>
    <s v="Technical Degree"/>
    <n v="1"/>
    <n v="630"/>
    <n v="4"/>
    <x v="1"/>
    <n v="78"/>
    <n v="3"/>
    <n v="2"/>
    <x v="1"/>
    <n v="1"/>
    <s v="Divorced"/>
    <n v="5577"/>
    <n v="22087"/>
    <n v="3"/>
    <s v="Y"/>
    <x v="0"/>
    <n v="12"/>
    <n v="3"/>
    <n v="2"/>
    <n v="80"/>
    <n v="2"/>
    <n v="18"/>
    <n v="3"/>
    <n v="3"/>
    <n v="10"/>
    <n v="9"/>
    <n v="6"/>
    <n v="9"/>
    <x v="1"/>
    <s v="Mid"/>
  </r>
  <r>
    <n v="32"/>
    <x v="0"/>
    <s v="Non-Travel"/>
    <n v="1474"/>
    <x v="0"/>
    <n v="11"/>
    <n v="4"/>
    <s v="Other"/>
    <n v="1"/>
    <n v="631"/>
    <n v="4"/>
    <x v="1"/>
    <n v="60"/>
    <n v="4"/>
    <n v="2"/>
    <x v="0"/>
    <n v="3"/>
    <s v="Married"/>
    <n v="4707"/>
    <n v="23914"/>
    <n v="8"/>
    <s v="Y"/>
    <x v="1"/>
    <n v="12"/>
    <n v="3"/>
    <n v="4"/>
    <n v="80"/>
    <n v="0"/>
    <n v="6"/>
    <n v="2"/>
    <n v="3"/>
    <n v="4"/>
    <n v="2"/>
    <n v="1"/>
    <n v="2"/>
    <x v="2"/>
    <s v="Mid"/>
  </r>
  <r>
    <n v="24"/>
    <x v="1"/>
    <s v="Travel_Frequently"/>
    <n v="535"/>
    <x v="0"/>
    <n v="24"/>
    <n v="3"/>
    <s v="Medical"/>
    <n v="1"/>
    <n v="632"/>
    <n v="4"/>
    <x v="1"/>
    <n v="38"/>
    <n v="3"/>
    <n v="1"/>
    <x v="6"/>
    <n v="4"/>
    <s v="Married"/>
    <n v="2400"/>
    <n v="5530"/>
    <n v="0"/>
    <s v="Y"/>
    <x v="1"/>
    <n v="13"/>
    <n v="3"/>
    <n v="3"/>
    <n v="80"/>
    <n v="2"/>
    <n v="3"/>
    <n v="3"/>
    <n v="3"/>
    <n v="2"/>
    <n v="2"/>
    <n v="2"/>
    <n v="1"/>
    <x v="3"/>
    <s v="Low"/>
  </r>
  <r>
    <n v="38"/>
    <x v="1"/>
    <s v="Travel_Rarely"/>
    <n v="1495"/>
    <x v="1"/>
    <n v="10"/>
    <n v="3"/>
    <s v="Medical"/>
    <n v="1"/>
    <n v="634"/>
    <n v="3"/>
    <x v="0"/>
    <n v="76"/>
    <n v="3"/>
    <n v="2"/>
    <x v="4"/>
    <n v="3"/>
    <s v="Married"/>
    <n v="9824"/>
    <n v="22174"/>
    <n v="3"/>
    <s v="Y"/>
    <x v="1"/>
    <n v="19"/>
    <n v="3"/>
    <n v="3"/>
    <n v="80"/>
    <n v="1"/>
    <n v="18"/>
    <n v="4"/>
    <n v="3"/>
    <n v="1"/>
    <n v="0"/>
    <n v="0"/>
    <n v="0"/>
    <x v="0"/>
    <s v="High"/>
  </r>
  <r>
    <n v="37"/>
    <x v="1"/>
    <s v="Travel_Rarely"/>
    <n v="446"/>
    <x v="1"/>
    <n v="1"/>
    <n v="4"/>
    <s v="Life Sciences"/>
    <n v="1"/>
    <n v="635"/>
    <n v="2"/>
    <x v="0"/>
    <n v="65"/>
    <n v="3"/>
    <n v="2"/>
    <x v="3"/>
    <n v="2"/>
    <s v="Married"/>
    <n v="6447"/>
    <n v="15701"/>
    <n v="6"/>
    <s v="Y"/>
    <x v="1"/>
    <n v="12"/>
    <n v="3"/>
    <n v="2"/>
    <n v="80"/>
    <n v="1"/>
    <n v="8"/>
    <n v="2"/>
    <n v="2"/>
    <n v="6"/>
    <n v="5"/>
    <n v="4"/>
    <n v="3"/>
    <x v="0"/>
    <s v="Mid"/>
  </r>
  <r>
    <n v="49"/>
    <x v="1"/>
    <s v="Travel_Rarely"/>
    <n v="1245"/>
    <x v="1"/>
    <n v="18"/>
    <n v="4"/>
    <s v="Life Sciences"/>
    <n v="1"/>
    <n v="638"/>
    <n v="4"/>
    <x v="1"/>
    <n v="58"/>
    <n v="2"/>
    <n v="5"/>
    <x v="7"/>
    <n v="3"/>
    <s v="Divorced"/>
    <n v="19502"/>
    <n v="2125"/>
    <n v="1"/>
    <s v="Y"/>
    <x v="0"/>
    <n v="17"/>
    <n v="3"/>
    <n v="3"/>
    <n v="80"/>
    <n v="1"/>
    <n v="31"/>
    <n v="5"/>
    <n v="3"/>
    <n v="31"/>
    <n v="9"/>
    <n v="0"/>
    <n v="9"/>
    <x v="1"/>
    <s v="Top"/>
  </r>
  <r>
    <n v="24"/>
    <x v="1"/>
    <s v="Travel_Rarely"/>
    <n v="691"/>
    <x v="1"/>
    <n v="23"/>
    <n v="3"/>
    <s v="Medical"/>
    <n v="1"/>
    <n v="639"/>
    <n v="2"/>
    <x v="1"/>
    <n v="89"/>
    <n v="4"/>
    <n v="1"/>
    <x v="1"/>
    <n v="4"/>
    <s v="Married"/>
    <n v="2725"/>
    <n v="21630"/>
    <n v="1"/>
    <s v="Y"/>
    <x v="0"/>
    <n v="11"/>
    <n v="3"/>
    <n v="2"/>
    <n v="80"/>
    <n v="2"/>
    <n v="6"/>
    <n v="3"/>
    <n v="3"/>
    <n v="6"/>
    <n v="5"/>
    <n v="1"/>
    <n v="4"/>
    <x v="3"/>
    <s v="Low"/>
  </r>
  <r>
    <n v="26"/>
    <x v="1"/>
    <s v="Travel_Rarely"/>
    <n v="703"/>
    <x v="0"/>
    <n v="28"/>
    <n v="2"/>
    <s v="Marketing"/>
    <n v="1"/>
    <n v="641"/>
    <n v="1"/>
    <x v="1"/>
    <n v="66"/>
    <n v="3"/>
    <n v="2"/>
    <x v="0"/>
    <n v="2"/>
    <s v="Married"/>
    <n v="6272"/>
    <n v="7428"/>
    <n v="1"/>
    <s v="Y"/>
    <x v="1"/>
    <n v="20"/>
    <n v="4"/>
    <n v="4"/>
    <n v="80"/>
    <n v="2"/>
    <n v="6"/>
    <n v="5"/>
    <n v="4"/>
    <n v="5"/>
    <n v="3"/>
    <n v="1"/>
    <n v="4"/>
    <x v="2"/>
    <s v="Mid"/>
  </r>
  <r>
    <n v="24"/>
    <x v="1"/>
    <s v="Travel_Rarely"/>
    <n v="823"/>
    <x v="1"/>
    <n v="17"/>
    <n v="2"/>
    <s v="Other"/>
    <n v="1"/>
    <n v="643"/>
    <n v="4"/>
    <x v="1"/>
    <n v="94"/>
    <n v="2"/>
    <n v="1"/>
    <x v="2"/>
    <n v="2"/>
    <s v="Married"/>
    <n v="2127"/>
    <n v="9100"/>
    <n v="1"/>
    <s v="Y"/>
    <x v="1"/>
    <n v="21"/>
    <n v="4"/>
    <n v="4"/>
    <n v="80"/>
    <n v="1"/>
    <n v="1"/>
    <n v="2"/>
    <n v="3"/>
    <n v="1"/>
    <n v="0"/>
    <n v="0"/>
    <n v="0"/>
    <x v="3"/>
    <s v="Low"/>
  </r>
  <r>
    <n v="50"/>
    <x v="1"/>
    <s v="Travel_Frequently"/>
    <n v="1246"/>
    <x v="2"/>
    <n v="3"/>
    <n v="3"/>
    <s v="Medical"/>
    <n v="1"/>
    <n v="644"/>
    <n v="1"/>
    <x v="1"/>
    <n v="99"/>
    <n v="3"/>
    <n v="5"/>
    <x v="5"/>
    <n v="2"/>
    <s v="Married"/>
    <n v="18200"/>
    <n v="7999"/>
    <n v="1"/>
    <s v="Y"/>
    <x v="1"/>
    <n v="11"/>
    <n v="3"/>
    <n v="3"/>
    <n v="80"/>
    <n v="1"/>
    <n v="32"/>
    <n v="2"/>
    <n v="3"/>
    <n v="32"/>
    <n v="5"/>
    <n v="10"/>
    <n v="7"/>
    <x v="1"/>
    <s v="Top"/>
  </r>
  <r>
    <n v="25"/>
    <x v="1"/>
    <s v="Travel_Rarely"/>
    <n v="622"/>
    <x v="0"/>
    <n v="13"/>
    <n v="1"/>
    <s v="Medical"/>
    <n v="1"/>
    <n v="645"/>
    <n v="2"/>
    <x v="1"/>
    <n v="40"/>
    <n v="3"/>
    <n v="1"/>
    <x v="6"/>
    <n v="3"/>
    <s v="Married"/>
    <n v="2096"/>
    <n v="26376"/>
    <n v="1"/>
    <s v="Y"/>
    <x v="1"/>
    <n v="11"/>
    <n v="3"/>
    <n v="3"/>
    <n v="80"/>
    <n v="0"/>
    <n v="7"/>
    <n v="1"/>
    <n v="3"/>
    <n v="7"/>
    <n v="4"/>
    <n v="0"/>
    <n v="6"/>
    <x v="3"/>
    <s v="Low"/>
  </r>
  <r>
    <n v="24"/>
    <x v="0"/>
    <s v="Travel_Frequently"/>
    <n v="1287"/>
    <x v="1"/>
    <n v="7"/>
    <n v="3"/>
    <s v="Life Sciences"/>
    <n v="1"/>
    <n v="647"/>
    <n v="1"/>
    <x v="0"/>
    <n v="55"/>
    <n v="3"/>
    <n v="1"/>
    <x v="2"/>
    <n v="3"/>
    <s v="Married"/>
    <n v="2886"/>
    <n v="14168"/>
    <n v="1"/>
    <s v="Y"/>
    <x v="0"/>
    <n v="16"/>
    <n v="3"/>
    <n v="4"/>
    <n v="80"/>
    <n v="1"/>
    <n v="6"/>
    <n v="4"/>
    <n v="3"/>
    <n v="6"/>
    <n v="3"/>
    <n v="1"/>
    <n v="2"/>
    <x v="3"/>
    <s v="Low"/>
  </r>
  <r>
    <n v="30"/>
    <x v="0"/>
    <s v="Travel_Frequently"/>
    <n v="448"/>
    <x v="0"/>
    <n v="12"/>
    <n v="4"/>
    <s v="Life Sciences"/>
    <n v="1"/>
    <n v="648"/>
    <n v="2"/>
    <x v="1"/>
    <n v="74"/>
    <n v="2"/>
    <n v="1"/>
    <x v="6"/>
    <n v="1"/>
    <s v="Married"/>
    <n v="2033"/>
    <n v="14470"/>
    <n v="1"/>
    <s v="Y"/>
    <x v="1"/>
    <n v="18"/>
    <n v="3"/>
    <n v="3"/>
    <n v="80"/>
    <n v="1"/>
    <n v="1"/>
    <n v="2"/>
    <n v="4"/>
    <n v="1"/>
    <n v="0"/>
    <n v="0"/>
    <n v="0"/>
    <x v="2"/>
    <s v="Low"/>
  </r>
  <r>
    <n v="34"/>
    <x v="1"/>
    <s v="Travel_Rarely"/>
    <n v="254"/>
    <x v="1"/>
    <n v="1"/>
    <n v="2"/>
    <s v="Life Sciences"/>
    <n v="1"/>
    <n v="649"/>
    <n v="2"/>
    <x v="1"/>
    <n v="83"/>
    <n v="2"/>
    <n v="1"/>
    <x v="1"/>
    <n v="4"/>
    <s v="Married"/>
    <n v="3622"/>
    <n v="22794"/>
    <n v="1"/>
    <s v="Y"/>
    <x v="0"/>
    <n v="13"/>
    <n v="3"/>
    <n v="4"/>
    <n v="80"/>
    <n v="1"/>
    <n v="6"/>
    <n v="3"/>
    <n v="3"/>
    <n v="6"/>
    <n v="5"/>
    <n v="1"/>
    <n v="3"/>
    <x v="2"/>
    <s v="Mid"/>
  </r>
  <r>
    <n v="31"/>
    <x v="0"/>
    <s v="Travel_Rarely"/>
    <n v="1365"/>
    <x v="0"/>
    <n v="13"/>
    <n v="4"/>
    <s v="Medical"/>
    <n v="1"/>
    <n v="650"/>
    <n v="2"/>
    <x v="1"/>
    <n v="46"/>
    <n v="3"/>
    <n v="2"/>
    <x v="0"/>
    <n v="1"/>
    <s v="Divorced"/>
    <n v="4233"/>
    <n v="11512"/>
    <n v="2"/>
    <s v="Y"/>
    <x v="1"/>
    <n v="17"/>
    <n v="3"/>
    <n v="3"/>
    <n v="80"/>
    <n v="0"/>
    <n v="9"/>
    <n v="2"/>
    <n v="1"/>
    <n v="3"/>
    <n v="1"/>
    <n v="1"/>
    <n v="2"/>
    <x v="2"/>
    <s v="Mid"/>
  </r>
  <r>
    <n v="35"/>
    <x v="1"/>
    <s v="Travel_Rarely"/>
    <n v="538"/>
    <x v="1"/>
    <n v="25"/>
    <n v="2"/>
    <s v="Other"/>
    <n v="1"/>
    <n v="652"/>
    <n v="1"/>
    <x v="1"/>
    <n v="54"/>
    <n v="2"/>
    <n v="2"/>
    <x v="2"/>
    <n v="4"/>
    <s v="Single"/>
    <n v="3681"/>
    <n v="14004"/>
    <n v="4"/>
    <s v="Y"/>
    <x v="1"/>
    <n v="14"/>
    <n v="3"/>
    <n v="4"/>
    <n v="80"/>
    <n v="0"/>
    <n v="9"/>
    <n v="3"/>
    <n v="3"/>
    <n v="3"/>
    <n v="2"/>
    <n v="0"/>
    <n v="2"/>
    <x v="2"/>
    <s v="Mid"/>
  </r>
  <r>
    <n v="31"/>
    <x v="1"/>
    <s v="Travel_Rarely"/>
    <n v="525"/>
    <x v="0"/>
    <n v="6"/>
    <n v="4"/>
    <s v="Medical"/>
    <n v="1"/>
    <n v="653"/>
    <n v="1"/>
    <x v="1"/>
    <n v="66"/>
    <n v="4"/>
    <n v="2"/>
    <x v="0"/>
    <n v="4"/>
    <s v="Divorced"/>
    <n v="5460"/>
    <n v="6219"/>
    <n v="4"/>
    <s v="Y"/>
    <x v="1"/>
    <n v="22"/>
    <n v="4"/>
    <n v="4"/>
    <n v="80"/>
    <n v="2"/>
    <n v="13"/>
    <n v="4"/>
    <n v="4"/>
    <n v="7"/>
    <n v="7"/>
    <n v="5"/>
    <n v="7"/>
    <x v="2"/>
    <s v="Mid"/>
  </r>
  <r>
    <n v="27"/>
    <x v="1"/>
    <s v="Travel_Rarely"/>
    <n v="798"/>
    <x v="1"/>
    <n v="6"/>
    <n v="4"/>
    <s v="Medical"/>
    <n v="1"/>
    <n v="655"/>
    <n v="1"/>
    <x v="0"/>
    <n v="66"/>
    <n v="2"/>
    <n v="1"/>
    <x v="1"/>
    <n v="3"/>
    <s v="Divorced"/>
    <n v="2187"/>
    <n v="5013"/>
    <n v="0"/>
    <s v="Y"/>
    <x v="1"/>
    <n v="12"/>
    <n v="3"/>
    <n v="3"/>
    <n v="80"/>
    <n v="2"/>
    <n v="6"/>
    <n v="5"/>
    <n v="2"/>
    <n v="5"/>
    <n v="3"/>
    <n v="0"/>
    <n v="3"/>
    <x v="2"/>
    <s v="Low"/>
  </r>
  <r>
    <n v="37"/>
    <x v="1"/>
    <s v="Travel_Rarely"/>
    <n v="558"/>
    <x v="0"/>
    <n v="2"/>
    <n v="3"/>
    <s v="Marketing"/>
    <n v="1"/>
    <n v="656"/>
    <n v="4"/>
    <x v="1"/>
    <n v="75"/>
    <n v="3"/>
    <n v="2"/>
    <x v="0"/>
    <n v="3"/>
    <s v="Married"/>
    <n v="9602"/>
    <n v="3010"/>
    <n v="4"/>
    <s v="Y"/>
    <x v="0"/>
    <n v="11"/>
    <n v="3"/>
    <n v="3"/>
    <n v="80"/>
    <n v="1"/>
    <n v="17"/>
    <n v="3"/>
    <n v="2"/>
    <n v="3"/>
    <n v="0"/>
    <n v="1"/>
    <n v="0"/>
    <x v="0"/>
    <s v="High"/>
  </r>
  <r>
    <n v="20"/>
    <x v="1"/>
    <s v="Travel_Rarely"/>
    <n v="959"/>
    <x v="1"/>
    <n v="1"/>
    <n v="3"/>
    <s v="Life Sciences"/>
    <n v="1"/>
    <n v="657"/>
    <n v="4"/>
    <x v="0"/>
    <n v="83"/>
    <n v="2"/>
    <n v="1"/>
    <x v="1"/>
    <n v="2"/>
    <s v="Single"/>
    <n v="2836"/>
    <n v="11757"/>
    <n v="1"/>
    <s v="Y"/>
    <x v="1"/>
    <n v="13"/>
    <n v="3"/>
    <n v="4"/>
    <n v="80"/>
    <n v="0"/>
    <n v="1"/>
    <n v="0"/>
    <n v="4"/>
    <n v="1"/>
    <n v="0"/>
    <n v="0"/>
    <n v="0"/>
    <x v="3"/>
    <s v="Low"/>
  </r>
  <r>
    <n v="42"/>
    <x v="1"/>
    <s v="Travel_Rarely"/>
    <n v="622"/>
    <x v="1"/>
    <n v="2"/>
    <n v="4"/>
    <s v="Life Sciences"/>
    <n v="1"/>
    <n v="659"/>
    <n v="3"/>
    <x v="0"/>
    <n v="81"/>
    <n v="3"/>
    <n v="2"/>
    <x v="4"/>
    <n v="4"/>
    <s v="Married"/>
    <n v="4089"/>
    <n v="5718"/>
    <n v="1"/>
    <s v="Y"/>
    <x v="1"/>
    <n v="13"/>
    <n v="3"/>
    <n v="2"/>
    <n v="80"/>
    <n v="2"/>
    <n v="10"/>
    <n v="4"/>
    <n v="3"/>
    <n v="10"/>
    <n v="2"/>
    <n v="2"/>
    <n v="2"/>
    <x v="0"/>
    <s v="Mid"/>
  </r>
  <r>
    <n v="43"/>
    <x v="1"/>
    <s v="Travel_Rarely"/>
    <n v="782"/>
    <x v="1"/>
    <n v="6"/>
    <n v="4"/>
    <s v="Other"/>
    <n v="1"/>
    <n v="661"/>
    <n v="2"/>
    <x v="1"/>
    <n v="50"/>
    <n v="2"/>
    <n v="4"/>
    <x v="7"/>
    <n v="4"/>
    <s v="Divorced"/>
    <n v="16627"/>
    <n v="2671"/>
    <n v="4"/>
    <s v="Y"/>
    <x v="0"/>
    <n v="14"/>
    <n v="3"/>
    <n v="3"/>
    <n v="80"/>
    <n v="1"/>
    <n v="21"/>
    <n v="3"/>
    <n v="2"/>
    <n v="1"/>
    <n v="0"/>
    <n v="0"/>
    <n v="0"/>
    <x v="0"/>
    <s v="Top"/>
  </r>
  <r>
    <n v="38"/>
    <x v="1"/>
    <s v="Travel_Rarely"/>
    <n v="362"/>
    <x v="1"/>
    <n v="1"/>
    <n v="1"/>
    <s v="Life Sciences"/>
    <n v="1"/>
    <n v="662"/>
    <n v="3"/>
    <x v="0"/>
    <n v="43"/>
    <n v="3"/>
    <n v="1"/>
    <x v="1"/>
    <n v="1"/>
    <s v="Single"/>
    <n v="2619"/>
    <n v="14561"/>
    <n v="3"/>
    <s v="Y"/>
    <x v="1"/>
    <n v="17"/>
    <n v="3"/>
    <n v="4"/>
    <n v="80"/>
    <n v="0"/>
    <n v="8"/>
    <n v="3"/>
    <n v="2"/>
    <n v="0"/>
    <n v="0"/>
    <n v="0"/>
    <n v="0"/>
    <x v="0"/>
    <s v="Low"/>
  </r>
  <r>
    <n v="43"/>
    <x v="1"/>
    <s v="Travel_Frequently"/>
    <n v="1001"/>
    <x v="1"/>
    <n v="9"/>
    <n v="5"/>
    <s v="Medical"/>
    <n v="1"/>
    <n v="663"/>
    <n v="4"/>
    <x v="1"/>
    <n v="72"/>
    <n v="3"/>
    <n v="2"/>
    <x v="2"/>
    <n v="3"/>
    <s v="Divorced"/>
    <n v="5679"/>
    <n v="19627"/>
    <n v="3"/>
    <s v="Y"/>
    <x v="0"/>
    <n v="13"/>
    <n v="3"/>
    <n v="2"/>
    <n v="80"/>
    <n v="1"/>
    <n v="10"/>
    <n v="3"/>
    <n v="3"/>
    <n v="8"/>
    <n v="7"/>
    <n v="4"/>
    <n v="7"/>
    <x v="0"/>
    <s v="Mid"/>
  </r>
  <r>
    <n v="48"/>
    <x v="1"/>
    <s v="Travel_Rarely"/>
    <n v="1236"/>
    <x v="1"/>
    <n v="1"/>
    <n v="4"/>
    <s v="Life Sciences"/>
    <n v="1"/>
    <n v="664"/>
    <n v="4"/>
    <x v="0"/>
    <n v="40"/>
    <n v="2"/>
    <n v="4"/>
    <x v="5"/>
    <n v="1"/>
    <s v="Married"/>
    <n v="15402"/>
    <n v="17997"/>
    <n v="7"/>
    <s v="Y"/>
    <x v="1"/>
    <n v="11"/>
    <n v="3"/>
    <n v="1"/>
    <n v="80"/>
    <n v="1"/>
    <n v="21"/>
    <n v="3"/>
    <n v="1"/>
    <n v="3"/>
    <n v="2"/>
    <n v="0"/>
    <n v="2"/>
    <x v="1"/>
    <s v="Top"/>
  </r>
  <r>
    <n v="44"/>
    <x v="1"/>
    <s v="Travel_Rarely"/>
    <n v="1112"/>
    <x v="2"/>
    <n v="1"/>
    <n v="4"/>
    <s v="Life Sciences"/>
    <n v="1"/>
    <n v="665"/>
    <n v="1"/>
    <x v="0"/>
    <n v="50"/>
    <n v="2"/>
    <n v="2"/>
    <x v="8"/>
    <n v="3"/>
    <s v="Single"/>
    <n v="5985"/>
    <n v="26894"/>
    <n v="4"/>
    <s v="Y"/>
    <x v="1"/>
    <n v="11"/>
    <n v="3"/>
    <n v="2"/>
    <n v="80"/>
    <n v="0"/>
    <n v="10"/>
    <n v="1"/>
    <n v="4"/>
    <n v="2"/>
    <n v="2"/>
    <n v="0"/>
    <n v="2"/>
    <x v="0"/>
    <s v="Mid"/>
  </r>
  <r>
    <n v="34"/>
    <x v="1"/>
    <s v="Travel_Rarely"/>
    <n v="204"/>
    <x v="0"/>
    <n v="14"/>
    <n v="3"/>
    <s v="Technical Degree"/>
    <n v="1"/>
    <n v="666"/>
    <n v="3"/>
    <x v="0"/>
    <n v="31"/>
    <n v="3"/>
    <n v="1"/>
    <x v="6"/>
    <n v="3"/>
    <s v="Divorced"/>
    <n v="2579"/>
    <n v="2912"/>
    <n v="1"/>
    <s v="Y"/>
    <x v="0"/>
    <n v="18"/>
    <n v="3"/>
    <n v="4"/>
    <n v="80"/>
    <n v="2"/>
    <n v="8"/>
    <n v="3"/>
    <n v="3"/>
    <n v="8"/>
    <n v="2"/>
    <n v="0"/>
    <n v="6"/>
    <x v="2"/>
    <s v="Low"/>
  </r>
  <r>
    <n v="27"/>
    <x v="0"/>
    <s v="Travel_Rarely"/>
    <n v="1420"/>
    <x v="0"/>
    <n v="2"/>
    <n v="1"/>
    <s v="Marketing"/>
    <n v="1"/>
    <n v="667"/>
    <n v="3"/>
    <x v="1"/>
    <n v="85"/>
    <n v="3"/>
    <n v="1"/>
    <x v="6"/>
    <n v="1"/>
    <s v="Divorced"/>
    <n v="3041"/>
    <n v="16346"/>
    <n v="0"/>
    <s v="Y"/>
    <x v="1"/>
    <n v="11"/>
    <n v="3"/>
    <n v="2"/>
    <n v="80"/>
    <n v="1"/>
    <n v="5"/>
    <n v="3"/>
    <n v="3"/>
    <n v="4"/>
    <n v="3"/>
    <n v="0"/>
    <n v="2"/>
    <x v="2"/>
    <s v="Mid"/>
  </r>
  <r>
    <n v="21"/>
    <x v="1"/>
    <s v="Travel_Rarely"/>
    <n v="1343"/>
    <x v="0"/>
    <n v="22"/>
    <n v="1"/>
    <s v="Technical Degree"/>
    <n v="1"/>
    <n v="669"/>
    <n v="3"/>
    <x v="1"/>
    <n v="49"/>
    <n v="3"/>
    <n v="1"/>
    <x v="6"/>
    <n v="3"/>
    <s v="Single"/>
    <n v="3447"/>
    <n v="24444"/>
    <n v="1"/>
    <s v="Y"/>
    <x v="1"/>
    <n v="11"/>
    <n v="3"/>
    <n v="3"/>
    <n v="80"/>
    <n v="0"/>
    <n v="3"/>
    <n v="2"/>
    <n v="3"/>
    <n v="3"/>
    <n v="2"/>
    <n v="1"/>
    <n v="2"/>
    <x v="3"/>
    <s v="Mid"/>
  </r>
  <r>
    <n v="44"/>
    <x v="1"/>
    <s v="Travel_Rarely"/>
    <n v="1315"/>
    <x v="1"/>
    <n v="3"/>
    <n v="4"/>
    <s v="Other"/>
    <n v="1"/>
    <n v="671"/>
    <n v="4"/>
    <x v="1"/>
    <n v="35"/>
    <n v="3"/>
    <n v="5"/>
    <x v="5"/>
    <n v="4"/>
    <s v="Married"/>
    <n v="19513"/>
    <n v="9358"/>
    <n v="4"/>
    <s v="Y"/>
    <x v="0"/>
    <n v="12"/>
    <n v="3"/>
    <n v="1"/>
    <n v="80"/>
    <n v="1"/>
    <n v="26"/>
    <n v="2"/>
    <n v="4"/>
    <n v="2"/>
    <n v="2"/>
    <n v="0"/>
    <n v="1"/>
    <x v="0"/>
    <s v="Top"/>
  </r>
  <r>
    <n v="22"/>
    <x v="1"/>
    <s v="Travel_Rarely"/>
    <n v="604"/>
    <x v="1"/>
    <n v="6"/>
    <n v="1"/>
    <s v="Medical"/>
    <n v="1"/>
    <n v="675"/>
    <n v="1"/>
    <x v="1"/>
    <n v="69"/>
    <n v="3"/>
    <n v="1"/>
    <x v="1"/>
    <n v="3"/>
    <s v="Married"/>
    <n v="2773"/>
    <n v="12145"/>
    <n v="0"/>
    <s v="Y"/>
    <x v="1"/>
    <n v="20"/>
    <n v="4"/>
    <n v="4"/>
    <n v="80"/>
    <n v="0"/>
    <n v="3"/>
    <n v="3"/>
    <n v="3"/>
    <n v="2"/>
    <n v="2"/>
    <n v="2"/>
    <n v="2"/>
    <x v="3"/>
    <s v="Low"/>
  </r>
  <r>
    <n v="33"/>
    <x v="1"/>
    <s v="Travel_Rarely"/>
    <n v="1216"/>
    <x v="0"/>
    <n v="8"/>
    <n v="4"/>
    <s v="Marketing"/>
    <n v="1"/>
    <n v="677"/>
    <n v="3"/>
    <x v="1"/>
    <n v="39"/>
    <n v="3"/>
    <n v="2"/>
    <x v="0"/>
    <n v="3"/>
    <s v="Divorced"/>
    <n v="7104"/>
    <n v="20431"/>
    <n v="0"/>
    <s v="Y"/>
    <x v="1"/>
    <n v="12"/>
    <n v="3"/>
    <n v="4"/>
    <n v="80"/>
    <n v="0"/>
    <n v="6"/>
    <n v="3"/>
    <n v="3"/>
    <n v="5"/>
    <n v="0"/>
    <n v="1"/>
    <n v="2"/>
    <x v="2"/>
    <s v="High"/>
  </r>
  <r>
    <n v="32"/>
    <x v="1"/>
    <s v="Travel_Rarely"/>
    <n v="646"/>
    <x v="1"/>
    <n v="9"/>
    <n v="4"/>
    <s v="Life Sciences"/>
    <n v="1"/>
    <n v="679"/>
    <n v="1"/>
    <x v="0"/>
    <n v="92"/>
    <n v="3"/>
    <n v="2"/>
    <x v="1"/>
    <n v="4"/>
    <s v="Married"/>
    <n v="6322"/>
    <n v="18089"/>
    <n v="1"/>
    <s v="Y"/>
    <x v="0"/>
    <n v="12"/>
    <n v="3"/>
    <n v="4"/>
    <n v="80"/>
    <n v="1"/>
    <n v="6"/>
    <n v="2"/>
    <n v="2"/>
    <n v="6"/>
    <n v="4"/>
    <n v="0"/>
    <n v="5"/>
    <x v="2"/>
    <s v="Mid"/>
  </r>
  <r>
    <n v="30"/>
    <x v="1"/>
    <s v="Travel_Frequently"/>
    <n v="160"/>
    <x v="1"/>
    <n v="3"/>
    <n v="3"/>
    <s v="Medical"/>
    <n v="1"/>
    <n v="680"/>
    <n v="3"/>
    <x v="0"/>
    <n v="71"/>
    <n v="3"/>
    <n v="1"/>
    <x v="1"/>
    <n v="3"/>
    <s v="Divorced"/>
    <n v="2083"/>
    <n v="22653"/>
    <n v="1"/>
    <s v="Y"/>
    <x v="1"/>
    <n v="20"/>
    <n v="4"/>
    <n v="3"/>
    <n v="80"/>
    <n v="1"/>
    <n v="1"/>
    <n v="2"/>
    <n v="3"/>
    <n v="1"/>
    <n v="0"/>
    <n v="0"/>
    <n v="0"/>
    <x v="2"/>
    <s v="Low"/>
  </r>
  <r>
    <n v="53"/>
    <x v="1"/>
    <s v="Travel_Rarely"/>
    <n v="238"/>
    <x v="0"/>
    <n v="1"/>
    <n v="1"/>
    <s v="Medical"/>
    <n v="1"/>
    <n v="682"/>
    <n v="4"/>
    <x v="0"/>
    <n v="34"/>
    <n v="3"/>
    <n v="2"/>
    <x v="0"/>
    <n v="1"/>
    <s v="Single"/>
    <n v="8381"/>
    <n v="7507"/>
    <n v="7"/>
    <s v="Y"/>
    <x v="1"/>
    <n v="20"/>
    <n v="4"/>
    <n v="4"/>
    <n v="80"/>
    <n v="0"/>
    <n v="18"/>
    <n v="2"/>
    <n v="4"/>
    <n v="14"/>
    <n v="7"/>
    <n v="8"/>
    <n v="10"/>
    <x v="1"/>
    <s v="High"/>
  </r>
  <r>
    <n v="34"/>
    <x v="1"/>
    <s v="Travel_Rarely"/>
    <n v="1397"/>
    <x v="1"/>
    <n v="1"/>
    <n v="5"/>
    <s v="Life Sciences"/>
    <n v="1"/>
    <n v="683"/>
    <n v="2"/>
    <x v="1"/>
    <n v="42"/>
    <n v="3"/>
    <n v="1"/>
    <x v="1"/>
    <n v="4"/>
    <s v="Married"/>
    <n v="2691"/>
    <n v="7660"/>
    <n v="1"/>
    <s v="Y"/>
    <x v="1"/>
    <n v="12"/>
    <n v="3"/>
    <n v="4"/>
    <n v="80"/>
    <n v="1"/>
    <n v="10"/>
    <n v="4"/>
    <n v="2"/>
    <n v="10"/>
    <n v="9"/>
    <n v="8"/>
    <n v="8"/>
    <x v="2"/>
    <s v="Low"/>
  </r>
  <r>
    <n v="45"/>
    <x v="0"/>
    <s v="Travel_Frequently"/>
    <n v="306"/>
    <x v="0"/>
    <n v="26"/>
    <n v="4"/>
    <s v="Life Sciences"/>
    <n v="1"/>
    <n v="684"/>
    <n v="1"/>
    <x v="0"/>
    <n v="100"/>
    <n v="3"/>
    <n v="2"/>
    <x v="0"/>
    <n v="1"/>
    <s v="Married"/>
    <n v="4286"/>
    <n v="5630"/>
    <n v="2"/>
    <s v="Y"/>
    <x v="1"/>
    <n v="14"/>
    <n v="3"/>
    <n v="4"/>
    <n v="80"/>
    <n v="2"/>
    <n v="5"/>
    <n v="4"/>
    <n v="3"/>
    <n v="1"/>
    <n v="1"/>
    <n v="0"/>
    <n v="0"/>
    <x v="0"/>
    <s v="Mid"/>
  </r>
  <r>
    <n v="26"/>
    <x v="1"/>
    <s v="Travel_Rarely"/>
    <n v="991"/>
    <x v="1"/>
    <n v="6"/>
    <n v="3"/>
    <s v="Life Sciences"/>
    <n v="1"/>
    <n v="686"/>
    <n v="3"/>
    <x v="0"/>
    <n v="71"/>
    <n v="3"/>
    <n v="1"/>
    <x v="2"/>
    <n v="4"/>
    <s v="Married"/>
    <n v="2659"/>
    <n v="17759"/>
    <n v="1"/>
    <s v="Y"/>
    <x v="0"/>
    <n v="13"/>
    <n v="3"/>
    <n v="3"/>
    <n v="80"/>
    <n v="1"/>
    <n v="3"/>
    <n v="2"/>
    <n v="3"/>
    <n v="3"/>
    <n v="2"/>
    <n v="0"/>
    <n v="2"/>
    <x v="2"/>
    <s v="Low"/>
  </r>
  <r>
    <n v="37"/>
    <x v="1"/>
    <s v="Travel_Rarely"/>
    <n v="482"/>
    <x v="1"/>
    <n v="3"/>
    <n v="3"/>
    <s v="Other"/>
    <n v="1"/>
    <n v="689"/>
    <n v="3"/>
    <x v="1"/>
    <n v="36"/>
    <n v="3"/>
    <n v="3"/>
    <x v="3"/>
    <n v="3"/>
    <s v="Married"/>
    <n v="9434"/>
    <n v="9606"/>
    <n v="1"/>
    <s v="Y"/>
    <x v="1"/>
    <n v="15"/>
    <n v="3"/>
    <n v="3"/>
    <n v="80"/>
    <n v="1"/>
    <n v="10"/>
    <n v="2"/>
    <n v="3"/>
    <n v="10"/>
    <n v="7"/>
    <n v="7"/>
    <n v="8"/>
    <x v="0"/>
    <s v="High"/>
  </r>
  <r>
    <n v="29"/>
    <x v="1"/>
    <s v="Travel_Rarely"/>
    <n v="1176"/>
    <x v="0"/>
    <n v="3"/>
    <n v="2"/>
    <s v="Medical"/>
    <n v="1"/>
    <n v="690"/>
    <n v="2"/>
    <x v="0"/>
    <n v="62"/>
    <n v="3"/>
    <n v="2"/>
    <x v="0"/>
    <n v="3"/>
    <s v="Married"/>
    <n v="5561"/>
    <n v="3487"/>
    <n v="1"/>
    <s v="Y"/>
    <x v="1"/>
    <n v="14"/>
    <n v="3"/>
    <n v="1"/>
    <n v="80"/>
    <n v="1"/>
    <n v="6"/>
    <n v="5"/>
    <n v="2"/>
    <n v="6"/>
    <n v="0"/>
    <n v="1"/>
    <n v="2"/>
    <x v="2"/>
    <s v="Mid"/>
  </r>
  <r>
    <n v="35"/>
    <x v="1"/>
    <s v="Travel_Rarely"/>
    <n v="1017"/>
    <x v="1"/>
    <n v="6"/>
    <n v="4"/>
    <s v="Life Sciences"/>
    <n v="1"/>
    <n v="691"/>
    <n v="2"/>
    <x v="1"/>
    <n v="82"/>
    <n v="1"/>
    <n v="2"/>
    <x v="1"/>
    <n v="4"/>
    <s v="Single"/>
    <n v="6646"/>
    <n v="19368"/>
    <n v="1"/>
    <s v="Y"/>
    <x v="1"/>
    <n v="13"/>
    <n v="3"/>
    <n v="2"/>
    <n v="80"/>
    <n v="0"/>
    <n v="17"/>
    <n v="3"/>
    <n v="3"/>
    <n v="17"/>
    <n v="11"/>
    <n v="11"/>
    <n v="8"/>
    <x v="2"/>
    <s v="Mid"/>
  </r>
  <r>
    <n v="33"/>
    <x v="1"/>
    <s v="Travel_Frequently"/>
    <n v="1296"/>
    <x v="1"/>
    <n v="6"/>
    <n v="3"/>
    <s v="Life Sciences"/>
    <n v="1"/>
    <n v="692"/>
    <n v="3"/>
    <x v="1"/>
    <n v="30"/>
    <n v="3"/>
    <n v="2"/>
    <x v="4"/>
    <n v="4"/>
    <s v="Divorced"/>
    <n v="7725"/>
    <n v="5335"/>
    <n v="3"/>
    <s v="Y"/>
    <x v="1"/>
    <n v="23"/>
    <n v="4"/>
    <n v="3"/>
    <n v="80"/>
    <n v="1"/>
    <n v="15"/>
    <n v="2"/>
    <n v="1"/>
    <n v="13"/>
    <n v="11"/>
    <n v="4"/>
    <n v="7"/>
    <x v="2"/>
    <s v="High"/>
  </r>
  <r>
    <n v="54"/>
    <x v="1"/>
    <s v="Travel_Rarely"/>
    <n v="397"/>
    <x v="2"/>
    <n v="19"/>
    <n v="4"/>
    <s v="Medical"/>
    <n v="1"/>
    <n v="698"/>
    <n v="3"/>
    <x v="1"/>
    <n v="88"/>
    <n v="3"/>
    <n v="3"/>
    <x v="8"/>
    <n v="2"/>
    <s v="Married"/>
    <n v="10725"/>
    <n v="6729"/>
    <n v="2"/>
    <s v="Y"/>
    <x v="1"/>
    <n v="15"/>
    <n v="3"/>
    <n v="3"/>
    <n v="80"/>
    <n v="1"/>
    <n v="16"/>
    <n v="1"/>
    <n v="4"/>
    <n v="9"/>
    <n v="7"/>
    <n v="7"/>
    <n v="1"/>
    <x v="1"/>
    <s v="High"/>
  </r>
  <r>
    <n v="36"/>
    <x v="1"/>
    <s v="Travel_Rarely"/>
    <n v="913"/>
    <x v="1"/>
    <n v="9"/>
    <n v="2"/>
    <s v="Medical"/>
    <n v="1"/>
    <n v="699"/>
    <n v="2"/>
    <x v="1"/>
    <n v="48"/>
    <n v="2"/>
    <n v="2"/>
    <x v="3"/>
    <n v="2"/>
    <s v="Divorced"/>
    <n v="8847"/>
    <n v="13934"/>
    <n v="2"/>
    <s v="Y"/>
    <x v="0"/>
    <n v="11"/>
    <n v="3"/>
    <n v="3"/>
    <n v="80"/>
    <n v="1"/>
    <n v="13"/>
    <n v="2"/>
    <n v="3"/>
    <n v="3"/>
    <n v="2"/>
    <n v="0"/>
    <n v="2"/>
    <x v="0"/>
    <s v="High"/>
  </r>
  <r>
    <n v="27"/>
    <x v="1"/>
    <s v="Travel_Rarely"/>
    <n v="1115"/>
    <x v="1"/>
    <n v="3"/>
    <n v="4"/>
    <s v="Medical"/>
    <n v="1"/>
    <n v="700"/>
    <n v="1"/>
    <x v="1"/>
    <n v="54"/>
    <n v="2"/>
    <n v="1"/>
    <x v="1"/>
    <n v="4"/>
    <s v="Single"/>
    <n v="2045"/>
    <n v="15174"/>
    <n v="0"/>
    <s v="Y"/>
    <x v="1"/>
    <n v="13"/>
    <n v="3"/>
    <n v="4"/>
    <n v="80"/>
    <n v="0"/>
    <n v="5"/>
    <n v="0"/>
    <n v="3"/>
    <n v="4"/>
    <n v="2"/>
    <n v="1"/>
    <n v="1"/>
    <x v="2"/>
    <s v="Low"/>
  </r>
  <r>
    <n v="20"/>
    <x v="0"/>
    <s v="Travel_Rarely"/>
    <n v="1362"/>
    <x v="1"/>
    <n v="10"/>
    <n v="1"/>
    <s v="Medical"/>
    <n v="1"/>
    <n v="701"/>
    <n v="4"/>
    <x v="1"/>
    <n v="32"/>
    <n v="3"/>
    <n v="1"/>
    <x v="1"/>
    <n v="3"/>
    <s v="Single"/>
    <n v="1009"/>
    <n v="26999"/>
    <n v="1"/>
    <s v="Y"/>
    <x v="0"/>
    <n v="11"/>
    <n v="3"/>
    <n v="4"/>
    <n v="80"/>
    <n v="0"/>
    <n v="1"/>
    <n v="5"/>
    <n v="3"/>
    <n v="1"/>
    <n v="0"/>
    <n v="1"/>
    <n v="1"/>
    <x v="3"/>
    <s v="Low"/>
  </r>
  <r>
    <n v="33"/>
    <x v="0"/>
    <s v="Travel_Frequently"/>
    <n v="1076"/>
    <x v="1"/>
    <n v="3"/>
    <n v="3"/>
    <s v="Life Sciences"/>
    <n v="1"/>
    <n v="702"/>
    <n v="1"/>
    <x v="1"/>
    <n v="70"/>
    <n v="3"/>
    <n v="1"/>
    <x v="1"/>
    <n v="1"/>
    <s v="Single"/>
    <n v="3348"/>
    <n v="3164"/>
    <n v="1"/>
    <s v="Y"/>
    <x v="0"/>
    <n v="11"/>
    <n v="3"/>
    <n v="1"/>
    <n v="80"/>
    <n v="0"/>
    <n v="10"/>
    <n v="3"/>
    <n v="3"/>
    <n v="10"/>
    <n v="8"/>
    <n v="9"/>
    <n v="7"/>
    <x v="2"/>
    <s v="Mid"/>
  </r>
  <r>
    <n v="35"/>
    <x v="1"/>
    <s v="Non-Travel"/>
    <n v="727"/>
    <x v="1"/>
    <n v="3"/>
    <n v="3"/>
    <s v="Life Sciences"/>
    <n v="1"/>
    <n v="704"/>
    <n v="3"/>
    <x v="1"/>
    <n v="41"/>
    <n v="2"/>
    <n v="1"/>
    <x v="2"/>
    <n v="3"/>
    <s v="Married"/>
    <n v="1281"/>
    <n v="16900"/>
    <n v="1"/>
    <s v="Y"/>
    <x v="1"/>
    <n v="18"/>
    <n v="3"/>
    <n v="3"/>
    <n v="80"/>
    <n v="2"/>
    <n v="1"/>
    <n v="3"/>
    <n v="3"/>
    <n v="1"/>
    <n v="0"/>
    <n v="0"/>
    <n v="0"/>
    <x v="2"/>
    <s v="Low"/>
  </r>
  <r>
    <n v="23"/>
    <x v="1"/>
    <s v="Travel_Rarely"/>
    <n v="885"/>
    <x v="1"/>
    <n v="4"/>
    <n v="3"/>
    <s v="Medical"/>
    <n v="1"/>
    <n v="705"/>
    <n v="1"/>
    <x v="1"/>
    <n v="58"/>
    <n v="4"/>
    <n v="1"/>
    <x v="1"/>
    <n v="1"/>
    <s v="Married"/>
    <n v="2819"/>
    <n v="8544"/>
    <n v="2"/>
    <s v="Y"/>
    <x v="1"/>
    <n v="16"/>
    <n v="3"/>
    <n v="1"/>
    <n v="80"/>
    <n v="1"/>
    <n v="5"/>
    <n v="3"/>
    <n v="4"/>
    <n v="3"/>
    <n v="2"/>
    <n v="0"/>
    <n v="2"/>
    <x v="3"/>
    <s v="Low"/>
  </r>
  <r>
    <n v="25"/>
    <x v="1"/>
    <s v="Travel_Rarely"/>
    <n v="810"/>
    <x v="0"/>
    <n v="8"/>
    <n v="3"/>
    <s v="Life Sciences"/>
    <n v="1"/>
    <n v="707"/>
    <n v="4"/>
    <x v="1"/>
    <n v="57"/>
    <n v="4"/>
    <n v="2"/>
    <x v="0"/>
    <n v="2"/>
    <s v="Married"/>
    <n v="4851"/>
    <n v="15678"/>
    <n v="0"/>
    <s v="Y"/>
    <x v="1"/>
    <n v="22"/>
    <n v="4"/>
    <n v="3"/>
    <n v="80"/>
    <n v="1"/>
    <n v="4"/>
    <n v="4"/>
    <n v="3"/>
    <n v="3"/>
    <n v="2"/>
    <n v="1"/>
    <n v="2"/>
    <x v="3"/>
    <s v="Mid"/>
  </r>
  <r>
    <n v="38"/>
    <x v="1"/>
    <s v="Travel_Rarely"/>
    <n v="243"/>
    <x v="0"/>
    <n v="7"/>
    <n v="4"/>
    <s v="Marketing"/>
    <n v="1"/>
    <n v="709"/>
    <n v="4"/>
    <x v="0"/>
    <n v="46"/>
    <n v="2"/>
    <n v="2"/>
    <x v="0"/>
    <n v="4"/>
    <s v="Single"/>
    <n v="4028"/>
    <n v="7791"/>
    <n v="0"/>
    <s v="Y"/>
    <x v="1"/>
    <n v="20"/>
    <n v="4"/>
    <n v="1"/>
    <n v="80"/>
    <n v="0"/>
    <n v="8"/>
    <n v="2"/>
    <n v="3"/>
    <n v="7"/>
    <n v="7"/>
    <n v="0"/>
    <n v="5"/>
    <x v="0"/>
    <s v="Mid"/>
  </r>
  <r>
    <n v="29"/>
    <x v="1"/>
    <s v="Travel_Frequently"/>
    <n v="806"/>
    <x v="1"/>
    <n v="1"/>
    <n v="4"/>
    <s v="Life Sciences"/>
    <n v="1"/>
    <n v="710"/>
    <n v="2"/>
    <x v="1"/>
    <n v="76"/>
    <n v="1"/>
    <n v="1"/>
    <x v="1"/>
    <n v="4"/>
    <s v="Divorced"/>
    <n v="2720"/>
    <n v="18959"/>
    <n v="1"/>
    <s v="Y"/>
    <x v="1"/>
    <n v="18"/>
    <n v="3"/>
    <n v="4"/>
    <n v="80"/>
    <n v="1"/>
    <n v="10"/>
    <n v="5"/>
    <n v="3"/>
    <n v="10"/>
    <n v="7"/>
    <n v="2"/>
    <n v="8"/>
    <x v="2"/>
    <s v="Low"/>
  </r>
  <r>
    <n v="48"/>
    <x v="1"/>
    <s v="Travel_Rarely"/>
    <n v="817"/>
    <x v="0"/>
    <n v="2"/>
    <n v="1"/>
    <s v="Marketing"/>
    <n v="1"/>
    <n v="712"/>
    <n v="2"/>
    <x v="1"/>
    <n v="56"/>
    <n v="4"/>
    <n v="2"/>
    <x v="0"/>
    <n v="2"/>
    <s v="Married"/>
    <n v="8120"/>
    <n v="18597"/>
    <n v="3"/>
    <s v="Y"/>
    <x v="1"/>
    <n v="12"/>
    <n v="3"/>
    <n v="4"/>
    <n v="80"/>
    <n v="0"/>
    <n v="12"/>
    <n v="3"/>
    <n v="3"/>
    <n v="2"/>
    <n v="2"/>
    <n v="2"/>
    <n v="2"/>
    <x v="1"/>
    <s v="High"/>
  </r>
  <r>
    <n v="27"/>
    <x v="1"/>
    <s v="Travel_Frequently"/>
    <n v="1410"/>
    <x v="0"/>
    <n v="3"/>
    <n v="1"/>
    <s v="Medical"/>
    <n v="1"/>
    <n v="714"/>
    <n v="4"/>
    <x v="0"/>
    <n v="71"/>
    <n v="4"/>
    <n v="2"/>
    <x v="0"/>
    <n v="4"/>
    <s v="Divorced"/>
    <n v="4647"/>
    <n v="16673"/>
    <n v="1"/>
    <s v="Y"/>
    <x v="0"/>
    <n v="20"/>
    <n v="4"/>
    <n v="2"/>
    <n v="80"/>
    <n v="2"/>
    <n v="6"/>
    <n v="3"/>
    <n v="3"/>
    <n v="6"/>
    <n v="5"/>
    <n v="0"/>
    <n v="4"/>
    <x v="2"/>
    <s v="Mid"/>
  </r>
  <r>
    <n v="37"/>
    <x v="1"/>
    <s v="Travel_Rarely"/>
    <n v="1225"/>
    <x v="1"/>
    <n v="10"/>
    <n v="2"/>
    <s v="Life Sciences"/>
    <n v="1"/>
    <n v="715"/>
    <n v="4"/>
    <x v="1"/>
    <n v="80"/>
    <n v="4"/>
    <n v="1"/>
    <x v="1"/>
    <n v="4"/>
    <s v="Single"/>
    <n v="4680"/>
    <n v="15232"/>
    <n v="3"/>
    <s v="Y"/>
    <x v="1"/>
    <n v="17"/>
    <n v="3"/>
    <n v="1"/>
    <n v="80"/>
    <n v="0"/>
    <n v="4"/>
    <n v="2"/>
    <n v="3"/>
    <n v="1"/>
    <n v="0"/>
    <n v="0"/>
    <n v="0"/>
    <x v="0"/>
    <s v="Mid"/>
  </r>
  <r>
    <n v="50"/>
    <x v="1"/>
    <s v="Travel_Rarely"/>
    <n v="1207"/>
    <x v="1"/>
    <n v="28"/>
    <n v="1"/>
    <s v="Medical"/>
    <n v="1"/>
    <n v="716"/>
    <n v="4"/>
    <x v="1"/>
    <n v="74"/>
    <n v="4"/>
    <n v="1"/>
    <x v="2"/>
    <n v="3"/>
    <s v="Married"/>
    <n v="3221"/>
    <n v="3297"/>
    <n v="1"/>
    <s v="Y"/>
    <x v="0"/>
    <n v="11"/>
    <n v="3"/>
    <n v="3"/>
    <n v="80"/>
    <n v="3"/>
    <n v="20"/>
    <n v="3"/>
    <n v="3"/>
    <n v="20"/>
    <n v="8"/>
    <n v="3"/>
    <n v="8"/>
    <x v="1"/>
    <s v="Mid"/>
  </r>
  <r>
    <n v="34"/>
    <x v="1"/>
    <s v="Travel_Rarely"/>
    <n v="1442"/>
    <x v="1"/>
    <n v="9"/>
    <n v="3"/>
    <s v="Medical"/>
    <n v="1"/>
    <n v="717"/>
    <n v="4"/>
    <x v="0"/>
    <n v="46"/>
    <n v="2"/>
    <n v="3"/>
    <x v="4"/>
    <n v="2"/>
    <s v="Single"/>
    <n v="8621"/>
    <n v="17654"/>
    <n v="1"/>
    <s v="Y"/>
    <x v="1"/>
    <n v="14"/>
    <n v="3"/>
    <n v="2"/>
    <n v="80"/>
    <n v="0"/>
    <n v="9"/>
    <n v="3"/>
    <n v="4"/>
    <n v="8"/>
    <n v="7"/>
    <n v="7"/>
    <n v="7"/>
    <x v="2"/>
    <s v="High"/>
  </r>
  <r>
    <n v="24"/>
    <x v="0"/>
    <s v="Travel_Rarely"/>
    <n v="693"/>
    <x v="0"/>
    <n v="3"/>
    <n v="2"/>
    <s v="Life Sciences"/>
    <n v="1"/>
    <n v="720"/>
    <n v="1"/>
    <x v="0"/>
    <n v="65"/>
    <n v="3"/>
    <n v="2"/>
    <x v="0"/>
    <n v="3"/>
    <s v="Single"/>
    <n v="4577"/>
    <n v="24785"/>
    <n v="9"/>
    <s v="Y"/>
    <x v="1"/>
    <n v="14"/>
    <n v="3"/>
    <n v="1"/>
    <n v="80"/>
    <n v="0"/>
    <n v="4"/>
    <n v="3"/>
    <n v="3"/>
    <n v="2"/>
    <n v="2"/>
    <n v="2"/>
    <n v="0"/>
    <x v="3"/>
    <s v="Mid"/>
  </r>
  <r>
    <n v="39"/>
    <x v="1"/>
    <s v="Travel_Rarely"/>
    <n v="408"/>
    <x v="1"/>
    <n v="2"/>
    <n v="4"/>
    <s v="Technical Degree"/>
    <n v="1"/>
    <n v="721"/>
    <n v="4"/>
    <x v="0"/>
    <n v="80"/>
    <n v="2"/>
    <n v="2"/>
    <x v="4"/>
    <n v="3"/>
    <s v="Single"/>
    <n v="4553"/>
    <n v="20978"/>
    <n v="1"/>
    <s v="Y"/>
    <x v="1"/>
    <n v="11"/>
    <n v="3"/>
    <n v="1"/>
    <n v="80"/>
    <n v="0"/>
    <n v="20"/>
    <n v="4"/>
    <n v="3"/>
    <n v="20"/>
    <n v="7"/>
    <n v="11"/>
    <n v="10"/>
    <x v="0"/>
    <s v="Mid"/>
  </r>
  <r>
    <n v="32"/>
    <x v="1"/>
    <s v="Travel_Rarely"/>
    <n v="929"/>
    <x v="0"/>
    <n v="10"/>
    <n v="3"/>
    <s v="Marketing"/>
    <n v="1"/>
    <n v="722"/>
    <n v="4"/>
    <x v="1"/>
    <n v="55"/>
    <n v="3"/>
    <n v="2"/>
    <x v="0"/>
    <n v="4"/>
    <s v="Single"/>
    <n v="5396"/>
    <n v="21703"/>
    <n v="1"/>
    <s v="Y"/>
    <x v="1"/>
    <n v="12"/>
    <n v="3"/>
    <n v="4"/>
    <n v="80"/>
    <n v="0"/>
    <n v="10"/>
    <n v="2"/>
    <n v="2"/>
    <n v="10"/>
    <n v="7"/>
    <n v="0"/>
    <n v="8"/>
    <x v="2"/>
    <s v="Mid"/>
  </r>
  <r>
    <n v="50"/>
    <x v="0"/>
    <s v="Travel_Frequently"/>
    <n v="562"/>
    <x v="0"/>
    <n v="8"/>
    <n v="2"/>
    <s v="Technical Degree"/>
    <n v="1"/>
    <n v="723"/>
    <n v="2"/>
    <x v="1"/>
    <n v="50"/>
    <n v="3"/>
    <n v="2"/>
    <x v="0"/>
    <n v="3"/>
    <s v="Married"/>
    <n v="6796"/>
    <n v="23452"/>
    <n v="3"/>
    <s v="Y"/>
    <x v="0"/>
    <n v="14"/>
    <n v="3"/>
    <n v="1"/>
    <n v="80"/>
    <n v="1"/>
    <n v="18"/>
    <n v="4"/>
    <n v="3"/>
    <n v="4"/>
    <n v="3"/>
    <n v="1"/>
    <n v="3"/>
    <x v="1"/>
    <s v="Mid"/>
  </r>
  <r>
    <n v="38"/>
    <x v="1"/>
    <s v="Travel_Rarely"/>
    <n v="827"/>
    <x v="1"/>
    <n v="1"/>
    <n v="4"/>
    <s v="Life Sciences"/>
    <n v="1"/>
    <n v="724"/>
    <n v="2"/>
    <x v="0"/>
    <n v="33"/>
    <n v="4"/>
    <n v="2"/>
    <x v="4"/>
    <n v="4"/>
    <s v="Single"/>
    <n v="7625"/>
    <n v="19383"/>
    <n v="0"/>
    <s v="Y"/>
    <x v="1"/>
    <n v="13"/>
    <n v="3"/>
    <n v="3"/>
    <n v="80"/>
    <n v="0"/>
    <n v="10"/>
    <n v="4"/>
    <n v="2"/>
    <n v="9"/>
    <n v="7"/>
    <n v="1"/>
    <n v="8"/>
    <x v="0"/>
    <s v="High"/>
  </r>
  <r>
    <n v="27"/>
    <x v="1"/>
    <s v="Travel_Rarely"/>
    <n v="608"/>
    <x v="1"/>
    <n v="1"/>
    <n v="2"/>
    <s v="Life Sciences"/>
    <n v="1"/>
    <n v="725"/>
    <n v="3"/>
    <x v="0"/>
    <n v="68"/>
    <n v="3"/>
    <n v="3"/>
    <x v="3"/>
    <n v="1"/>
    <s v="Married"/>
    <n v="7412"/>
    <n v="6009"/>
    <n v="1"/>
    <s v="Y"/>
    <x v="1"/>
    <n v="11"/>
    <n v="3"/>
    <n v="4"/>
    <n v="80"/>
    <n v="0"/>
    <n v="9"/>
    <n v="3"/>
    <n v="3"/>
    <n v="9"/>
    <n v="7"/>
    <n v="0"/>
    <n v="7"/>
    <x v="2"/>
    <s v="High"/>
  </r>
  <r>
    <n v="32"/>
    <x v="1"/>
    <s v="Travel_Rarely"/>
    <n v="1018"/>
    <x v="1"/>
    <n v="3"/>
    <n v="2"/>
    <s v="Life Sciences"/>
    <n v="1"/>
    <n v="727"/>
    <n v="3"/>
    <x v="0"/>
    <n v="39"/>
    <n v="3"/>
    <n v="3"/>
    <x v="7"/>
    <n v="4"/>
    <s v="Single"/>
    <n v="11159"/>
    <n v="19373"/>
    <n v="3"/>
    <s v="Y"/>
    <x v="1"/>
    <n v="15"/>
    <n v="3"/>
    <n v="4"/>
    <n v="80"/>
    <n v="0"/>
    <n v="10"/>
    <n v="6"/>
    <n v="3"/>
    <n v="7"/>
    <n v="7"/>
    <n v="7"/>
    <n v="7"/>
    <x v="2"/>
    <s v="High"/>
  </r>
  <r>
    <n v="47"/>
    <x v="1"/>
    <s v="Travel_Rarely"/>
    <n v="703"/>
    <x v="0"/>
    <n v="14"/>
    <n v="4"/>
    <s v="Marketing"/>
    <n v="1"/>
    <n v="728"/>
    <n v="4"/>
    <x v="1"/>
    <n v="42"/>
    <n v="3"/>
    <n v="2"/>
    <x v="0"/>
    <n v="1"/>
    <s v="Single"/>
    <n v="4960"/>
    <n v="11825"/>
    <n v="2"/>
    <s v="Y"/>
    <x v="1"/>
    <n v="12"/>
    <n v="3"/>
    <n v="4"/>
    <n v="80"/>
    <n v="0"/>
    <n v="20"/>
    <n v="2"/>
    <n v="3"/>
    <n v="7"/>
    <n v="7"/>
    <n v="1"/>
    <n v="7"/>
    <x v="1"/>
    <s v="Mid"/>
  </r>
  <r>
    <n v="40"/>
    <x v="1"/>
    <s v="Travel_Frequently"/>
    <n v="580"/>
    <x v="0"/>
    <n v="5"/>
    <n v="4"/>
    <s v="Life Sciences"/>
    <n v="1"/>
    <n v="729"/>
    <n v="4"/>
    <x v="1"/>
    <n v="48"/>
    <n v="2"/>
    <n v="3"/>
    <x v="0"/>
    <n v="1"/>
    <s v="Married"/>
    <n v="10475"/>
    <n v="23772"/>
    <n v="5"/>
    <s v="Y"/>
    <x v="0"/>
    <n v="21"/>
    <n v="4"/>
    <n v="3"/>
    <n v="80"/>
    <n v="1"/>
    <n v="20"/>
    <n v="2"/>
    <n v="3"/>
    <n v="18"/>
    <n v="13"/>
    <n v="1"/>
    <n v="12"/>
    <x v="0"/>
    <s v="High"/>
  </r>
  <r>
    <n v="53"/>
    <x v="1"/>
    <s v="Travel_Rarely"/>
    <n v="970"/>
    <x v="1"/>
    <n v="7"/>
    <n v="3"/>
    <s v="Life Sciences"/>
    <n v="1"/>
    <n v="730"/>
    <n v="3"/>
    <x v="1"/>
    <n v="59"/>
    <n v="4"/>
    <n v="4"/>
    <x v="7"/>
    <n v="3"/>
    <s v="Married"/>
    <n v="14814"/>
    <n v="13514"/>
    <n v="3"/>
    <s v="Y"/>
    <x v="1"/>
    <n v="19"/>
    <n v="3"/>
    <n v="3"/>
    <n v="80"/>
    <n v="0"/>
    <n v="32"/>
    <n v="3"/>
    <n v="3"/>
    <n v="5"/>
    <n v="1"/>
    <n v="1"/>
    <n v="3"/>
    <x v="1"/>
    <s v="Top"/>
  </r>
  <r>
    <n v="41"/>
    <x v="1"/>
    <s v="Travel_Rarely"/>
    <n v="427"/>
    <x v="2"/>
    <n v="10"/>
    <n v="4"/>
    <s v="Human Resources"/>
    <n v="1"/>
    <n v="731"/>
    <n v="2"/>
    <x v="1"/>
    <n v="73"/>
    <n v="2"/>
    <n v="5"/>
    <x v="5"/>
    <n v="4"/>
    <s v="Divorced"/>
    <n v="19141"/>
    <n v="8861"/>
    <n v="3"/>
    <s v="Y"/>
    <x v="1"/>
    <n v="15"/>
    <n v="3"/>
    <n v="2"/>
    <n v="80"/>
    <n v="3"/>
    <n v="23"/>
    <n v="2"/>
    <n v="2"/>
    <n v="21"/>
    <n v="6"/>
    <n v="12"/>
    <n v="6"/>
    <x v="0"/>
    <s v="Top"/>
  </r>
  <r>
    <n v="60"/>
    <x v="1"/>
    <s v="Travel_Rarely"/>
    <n v="1179"/>
    <x v="0"/>
    <n v="16"/>
    <n v="4"/>
    <s v="Marketing"/>
    <n v="1"/>
    <n v="732"/>
    <n v="1"/>
    <x v="1"/>
    <n v="84"/>
    <n v="3"/>
    <n v="2"/>
    <x v="0"/>
    <n v="1"/>
    <s v="Single"/>
    <n v="5405"/>
    <n v="11924"/>
    <n v="8"/>
    <s v="Y"/>
    <x v="1"/>
    <n v="14"/>
    <n v="3"/>
    <n v="4"/>
    <n v="80"/>
    <n v="0"/>
    <n v="10"/>
    <n v="1"/>
    <n v="3"/>
    <n v="2"/>
    <n v="2"/>
    <n v="2"/>
    <n v="2"/>
    <x v="1"/>
    <s v="Mid"/>
  </r>
  <r>
    <n v="27"/>
    <x v="1"/>
    <s v="Travel_Frequently"/>
    <n v="294"/>
    <x v="1"/>
    <n v="10"/>
    <n v="2"/>
    <s v="Life Sciences"/>
    <n v="1"/>
    <n v="733"/>
    <n v="4"/>
    <x v="1"/>
    <n v="32"/>
    <n v="3"/>
    <n v="3"/>
    <x v="3"/>
    <n v="1"/>
    <s v="Divorced"/>
    <n v="8793"/>
    <n v="4809"/>
    <n v="1"/>
    <s v="Y"/>
    <x v="1"/>
    <n v="21"/>
    <n v="4"/>
    <n v="3"/>
    <n v="80"/>
    <n v="2"/>
    <n v="9"/>
    <n v="4"/>
    <n v="2"/>
    <n v="9"/>
    <n v="7"/>
    <n v="1"/>
    <n v="7"/>
    <x v="2"/>
    <s v="High"/>
  </r>
  <r>
    <n v="41"/>
    <x v="1"/>
    <s v="Travel_Rarely"/>
    <n v="314"/>
    <x v="2"/>
    <n v="1"/>
    <n v="3"/>
    <s v="Human Resources"/>
    <n v="1"/>
    <n v="734"/>
    <n v="4"/>
    <x v="1"/>
    <n v="59"/>
    <n v="2"/>
    <n v="5"/>
    <x v="5"/>
    <n v="3"/>
    <s v="Married"/>
    <n v="19189"/>
    <n v="19562"/>
    <n v="1"/>
    <s v="Y"/>
    <x v="1"/>
    <n v="12"/>
    <n v="3"/>
    <n v="2"/>
    <n v="80"/>
    <n v="1"/>
    <n v="22"/>
    <n v="3"/>
    <n v="3"/>
    <n v="22"/>
    <n v="7"/>
    <n v="2"/>
    <n v="10"/>
    <x v="0"/>
    <s v="Top"/>
  </r>
  <r>
    <n v="50"/>
    <x v="1"/>
    <s v="Travel_Rarely"/>
    <n v="316"/>
    <x v="0"/>
    <n v="8"/>
    <n v="4"/>
    <s v="Marketing"/>
    <n v="1"/>
    <n v="738"/>
    <n v="4"/>
    <x v="1"/>
    <n v="54"/>
    <n v="3"/>
    <n v="1"/>
    <x v="6"/>
    <n v="2"/>
    <s v="Married"/>
    <n v="3875"/>
    <n v="9983"/>
    <n v="7"/>
    <s v="Y"/>
    <x v="1"/>
    <n v="15"/>
    <n v="3"/>
    <n v="4"/>
    <n v="80"/>
    <n v="1"/>
    <n v="4"/>
    <n v="2"/>
    <n v="3"/>
    <n v="2"/>
    <n v="2"/>
    <n v="2"/>
    <n v="2"/>
    <x v="1"/>
    <s v="Mid"/>
  </r>
  <r>
    <n v="28"/>
    <x v="0"/>
    <s v="Travel_Rarely"/>
    <n v="654"/>
    <x v="1"/>
    <n v="1"/>
    <n v="2"/>
    <s v="Life Sciences"/>
    <n v="1"/>
    <n v="741"/>
    <n v="1"/>
    <x v="0"/>
    <n v="67"/>
    <n v="1"/>
    <n v="1"/>
    <x v="1"/>
    <n v="2"/>
    <s v="Single"/>
    <n v="2216"/>
    <n v="3872"/>
    <n v="7"/>
    <s v="Y"/>
    <x v="0"/>
    <n v="13"/>
    <n v="3"/>
    <n v="4"/>
    <n v="80"/>
    <n v="0"/>
    <n v="10"/>
    <n v="4"/>
    <n v="3"/>
    <n v="7"/>
    <n v="7"/>
    <n v="3"/>
    <n v="7"/>
    <x v="2"/>
    <s v="Low"/>
  </r>
  <r>
    <n v="36"/>
    <x v="1"/>
    <s v="Non-Travel"/>
    <n v="427"/>
    <x v="1"/>
    <n v="8"/>
    <n v="3"/>
    <s v="Life Sciences"/>
    <n v="1"/>
    <n v="742"/>
    <n v="1"/>
    <x v="0"/>
    <n v="63"/>
    <n v="4"/>
    <n v="3"/>
    <x v="7"/>
    <n v="1"/>
    <s v="Married"/>
    <n v="11713"/>
    <n v="20335"/>
    <n v="9"/>
    <s v="Y"/>
    <x v="1"/>
    <n v="14"/>
    <n v="3"/>
    <n v="1"/>
    <n v="80"/>
    <n v="1"/>
    <n v="10"/>
    <n v="2"/>
    <n v="3"/>
    <n v="8"/>
    <n v="7"/>
    <n v="0"/>
    <n v="5"/>
    <x v="0"/>
    <s v="High"/>
  </r>
  <r>
    <n v="38"/>
    <x v="1"/>
    <s v="Travel_Rarely"/>
    <n v="168"/>
    <x v="1"/>
    <n v="1"/>
    <n v="3"/>
    <s v="Life Sciences"/>
    <n v="1"/>
    <n v="743"/>
    <n v="3"/>
    <x v="0"/>
    <n v="81"/>
    <n v="3"/>
    <n v="3"/>
    <x v="3"/>
    <n v="3"/>
    <s v="Single"/>
    <n v="7861"/>
    <n v="15397"/>
    <n v="4"/>
    <s v="Y"/>
    <x v="0"/>
    <n v="14"/>
    <n v="3"/>
    <n v="4"/>
    <n v="80"/>
    <n v="0"/>
    <n v="10"/>
    <n v="4"/>
    <n v="4"/>
    <n v="1"/>
    <n v="0"/>
    <n v="0"/>
    <n v="0"/>
    <x v="0"/>
    <s v="High"/>
  </r>
  <r>
    <n v="44"/>
    <x v="1"/>
    <s v="Non-Travel"/>
    <n v="381"/>
    <x v="1"/>
    <n v="24"/>
    <n v="3"/>
    <s v="Medical"/>
    <n v="1"/>
    <n v="744"/>
    <n v="1"/>
    <x v="1"/>
    <n v="49"/>
    <n v="1"/>
    <n v="1"/>
    <x v="2"/>
    <n v="3"/>
    <s v="Single"/>
    <n v="3708"/>
    <n v="2104"/>
    <n v="2"/>
    <s v="Y"/>
    <x v="1"/>
    <n v="14"/>
    <n v="3"/>
    <n v="3"/>
    <n v="80"/>
    <n v="0"/>
    <n v="9"/>
    <n v="5"/>
    <n v="3"/>
    <n v="5"/>
    <n v="2"/>
    <n v="1"/>
    <n v="4"/>
    <x v="0"/>
    <s v="Mid"/>
  </r>
  <r>
    <n v="47"/>
    <x v="1"/>
    <s v="Travel_Frequently"/>
    <n v="217"/>
    <x v="0"/>
    <n v="3"/>
    <n v="3"/>
    <s v="Medical"/>
    <n v="1"/>
    <n v="746"/>
    <n v="4"/>
    <x v="0"/>
    <n v="49"/>
    <n v="3"/>
    <n v="4"/>
    <x v="0"/>
    <n v="3"/>
    <s v="Divorced"/>
    <n v="13770"/>
    <n v="10225"/>
    <n v="9"/>
    <s v="Y"/>
    <x v="0"/>
    <n v="12"/>
    <n v="3"/>
    <n v="4"/>
    <n v="80"/>
    <n v="2"/>
    <n v="28"/>
    <n v="2"/>
    <n v="2"/>
    <n v="22"/>
    <n v="2"/>
    <n v="11"/>
    <n v="13"/>
    <x v="1"/>
    <s v="Top"/>
  </r>
  <r>
    <n v="30"/>
    <x v="1"/>
    <s v="Travel_Rarely"/>
    <n v="501"/>
    <x v="0"/>
    <n v="27"/>
    <n v="5"/>
    <s v="Marketing"/>
    <n v="1"/>
    <n v="747"/>
    <n v="3"/>
    <x v="1"/>
    <n v="99"/>
    <n v="3"/>
    <n v="2"/>
    <x v="0"/>
    <n v="4"/>
    <s v="Divorced"/>
    <n v="5304"/>
    <n v="25275"/>
    <n v="7"/>
    <s v="Y"/>
    <x v="1"/>
    <n v="23"/>
    <n v="4"/>
    <n v="4"/>
    <n v="80"/>
    <n v="1"/>
    <n v="10"/>
    <n v="2"/>
    <n v="2"/>
    <n v="8"/>
    <n v="7"/>
    <n v="7"/>
    <n v="7"/>
    <x v="2"/>
    <s v="Mid"/>
  </r>
  <r>
    <n v="29"/>
    <x v="1"/>
    <s v="Travel_Rarely"/>
    <n v="1396"/>
    <x v="0"/>
    <n v="10"/>
    <n v="3"/>
    <s v="Life Sciences"/>
    <n v="1"/>
    <n v="749"/>
    <n v="3"/>
    <x v="1"/>
    <n v="99"/>
    <n v="3"/>
    <n v="1"/>
    <x v="6"/>
    <n v="3"/>
    <s v="Single"/>
    <n v="2642"/>
    <n v="2755"/>
    <n v="1"/>
    <s v="Y"/>
    <x v="1"/>
    <n v="11"/>
    <n v="3"/>
    <n v="3"/>
    <n v="80"/>
    <n v="0"/>
    <n v="1"/>
    <n v="6"/>
    <n v="3"/>
    <n v="1"/>
    <n v="0"/>
    <n v="0"/>
    <n v="0"/>
    <x v="2"/>
    <s v="Low"/>
  </r>
  <r>
    <n v="42"/>
    <x v="0"/>
    <s v="Travel_Frequently"/>
    <n v="933"/>
    <x v="1"/>
    <n v="19"/>
    <n v="3"/>
    <s v="Medical"/>
    <n v="1"/>
    <n v="752"/>
    <n v="3"/>
    <x v="1"/>
    <n v="57"/>
    <n v="4"/>
    <n v="1"/>
    <x v="1"/>
    <n v="3"/>
    <s v="Divorced"/>
    <n v="2759"/>
    <n v="20366"/>
    <n v="6"/>
    <s v="Y"/>
    <x v="0"/>
    <n v="12"/>
    <n v="3"/>
    <n v="4"/>
    <n v="80"/>
    <n v="0"/>
    <n v="7"/>
    <n v="2"/>
    <n v="3"/>
    <n v="2"/>
    <n v="2"/>
    <n v="2"/>
    <n v="2"/>
    <x v="0"/>
    <s v="Low"/>
  </r>
  <r>
    <n v="43"/>
    <x v="1"/>
    <s v="Travel_Frequently"/>
    <n v="775"/>
    <x v="0"/>
    <n v="15"/>
    <n v="3"/>
    <s v="Life Sciences"/>
    <n v="1"/>
    <n v="754"/>
    <n v="4"/>
    <x v="1"/>
    <n v="47"/>
    <n v="2"/>
    <n v="2"/>
    <x v="0"/>
    <n v="4"/>
    <s v="Married"/>
    <n v="6804"/>
    <n v="23683"/>
    <n v="3"/>
    <s v="Y"/>
    <x v="1"/>
    <n v="18"/>
    <n v="3"/>
    <n v="3"/>
    <n v="80"/>
    <n v="1"/>
    <n v="7"/>
    <n v="5"/>
    <n v="3"/>
    <n v="2"/>
    <n v="2"/>
    <n v="2"/>
    <n v="2"/>
    <x v="0"/>
    <s v="Mid"/>
  </r>
  <r>
    <n v="34"/>
    <x v="1"/>
    <s v="Travel_Rarely"/>
    <n v="970"/>
    <x v="1"/>
    <n v="8"/>
    <n v="2"/>
    <s v="Medical"/>
    <n v="1"/>
    <n v="757"/>
    <n v="2"/>
    <x v="0"/>
    <n v="96"/>
    <n v="3"/>
    <n v="2"/>
    <x v="4"/>
    <n v="3"/>
    <s v="Single"/>
    <n v="6142"/>
    <n v="7360"/>
    <n v="3"/>
    <s v="Y"/>
    <x v="1"/>
    <n v="11"/>
    <n v="3"/>
    <n v="4"/>
    <n v="80"/>
    <n v="0"/>
    <n v="10"/>
    <n v="2"/>
    <n v="3"/>
    <n v="5"/>
    <n v="1"/>
    <n v="4"/>
    <n v="3"/>
    <x v="2"/>
    <s v="Mid"/>
  </r>
  <r>
    <n v="23"/>
    <x v="1"/>
    <s v="Travel_Rarely"/>
    <n v="650"/>
    <x v="1"/>
    <n v="9"/>
    <n v="1"/>
    <s v="Medical"/>
    <n v="1"/>
    <n v="758"/>
    <n v="2"/>
    <x v="1"/>
    <n v="37"/>
    <n v="3"/>
    <n v="1"/>
    <x v="2"/>
    <n v="1"/>
    <s v="Married"/>
    <n v="2500"/>
    <n v="4344"/>
    <n v="1"/>
    <s v="Y"/>
    <x v="1"/>
    <n v="14"/>
    <n v="3"/>
    <n v="4"/>
    <n v="80"/>
    <n v="1"/>
    <n v="5"/>
    <n v="2"/>
    <n v="4"/>
    <n v="4"/>
    <n v="3"/>
    <n v="0"/>
    <n v="2"/>
    <x v="3"/>
    <s v="Low"/>
  </r>
  <r>
    <n v="39"/>
    <x v="1"/>
    <s v="Travel_Rarely"/>
    <n v="141"/>
    <x v="2"/>
    <n v="3"/>
    <n v="3"/>
    <s v="Human Resources"/>
    <n v="1"/>
    <n v="760"/>
    <n v="3"/>
    <x v="0"/>
    <n v="44"/>
    <n v="4"/>
    <n v="2"/>
    <x v="8"/>
    <n v="2"/>
    <s v="Married"/>
    <n v="6389"/>
    <n v="18767"/>
    <n v="9"/>
    <s v="Y"/>
    <x v="1"/>
    <n v="15"/>
    <n v="3"/>
    <n v="3"/>
    <n v="80"/>
    <n v="1"/>
    <n v="12"/>
    <n v="3"/>
    <n v="1"/>
    <n v="8"/>
    <n v="3"/>
    <n v="3"/>
    <n v="6"/>
    <x v="0"/>
    <s v="Mid"/>
  </r>
  <r>
    <n v="56"/>
    <x v="1"/>
    <s v="Travel_Rarely"/>
    <n v="832"/>
    <x v="1"/>
    <n v="9"/>
    <n v="3"/>
    <s v="Medical"/>
    <n v="1"/>
    <n v="762"/>
    <n v="3"/>
    <x v="1"/>
    <n v="81"/>
    <n v="3"/>
    <n v="4"/>
    <x v="4"/>
    <n v="4"/>
    <s v="Married"/>
    <n v="11103"/>
    <n v="20420"/>
    <n v="7"/>
    <s v="Y"/>
    <x v="1"/>
    <n v="11"/>
    <n v="3"/>
    <n v="3"/>
    <n v="80"/>
    <n v="0"/>
    <n v="30"/>
    <n v="1"/>
    <n v="2"/>
    <n v="10"/>
    <n v="7"/>
    <n v="1"/>
    <n v="1"/>
    <x v="1"/>
    <s v="High"/>
  </r>
  <r>
    <n v="40"/>
    <x v="1"/>
    <s v="Travel_Rarely"/>
    <n v="804"/>
    <x v="1"/>
    <n v="2"/>
    <n v="1"/>
    <s v="Medical"/>
    <n v="1"/>
    <n v="763"/>
    <n v="4"/>
    <x v="0"/>
    <n v="86"/>
    <n v="2"/>
    <n v="1"/>
    <x v="1"/>
    <n v="4"/>
    <s v="Single"/>
    <n v="2342"/>
    <n v="22929"/>
    <n v="0"/>
    <s v="Y"/>
    <x v="0"/>
    <n v="20"/>
    <n v="4"/>
    <n v="4"/>
    <n v="80"/>
    <n v="0"/>
    <n v="5"/>
    <n v="2"/>
    <n v="2"/>
    <n v="4"/>
    <n v="2"/>
    <n v="2"/>
    <n v="3"/>
    <x v="0"/>
    <s v="Low"/>
  </r>
  <r>
    <n v="27"/>
    <x v="1"/>
    <s v="Travel_Rarely"/>
    <n v="975"/>
    <x v="1"/>
    <n v="7"/>
    <n v="3"/>
    <s v="Medical"/>
    <n v="1"/>
    <n v="764"/>
    <n v="4"/>
    <x v="0"/>
    <n v="55"/>
    <n v="2"/>
    <n v="2"/>
    <x v="4"/>
    <n v="1"/>
    <s v="Single"/>
    <n v="6811"/>
    <n v="23398"/>
    <n v="8"/>
    <s v="Y"/>
    <x v="1"/>
    <n v="19"/>
    <n v="3"/>
    <n v="1"/>
    <n v="80"/>
    <n v="0"/>
    <n v="9"/>
    <n v="2"/>
    <n v="1"/>
    <n v="7"/>
    <n v="6"/>
    <n v="0"/>
    <n v="7"/>
    <x v="2"/>
    <s v="Mid"/>
  </r>
  <r>
    <n v="29"/>
    <x v="1"/>
    <s v="Travel_Rarely"/>
    <n v="1090"/>
    <x v="0"/>
    <n v="10"/>
    <n v="3"/>
    <s v="Marketing"/>
    <n v="1"/>
    <n v="766"/>
    <n v="4"/>
    <x v="1"/>
    <n v="83"/>
    <n v="3"/>
    <n v="1"/>
    <x v="6"/>
    <n v="2"/>
    <s v="Divorced"/>
    <n v="2297"/>
    <n v="17967"/>
    <n v="1"/>
    <s v="Y"/>
    <x v="1"/>
    <n v="14"/>
    <n v="3"/>
    <n v="4"/>
    <n v="80"/>
    <n v="2"/>
    <n v="2"/>
    <n v="2"/>
    <n v="3"/>
    <n v="2"/>
    <n v="2"/>
    <n v="2"/>
    <n v="2"/>
    <x v="2"/>
    <s v="Low"/>
  </r>
  <r>
    <n v="53"/>
    <x v="1"/>
    <s v="Travel_Rarely"/>
    <n v="346"/>
    <x v="1"/>
    <n v="6"/>
    <n v="3"/>
    <s v="Life Sciences"/>
    <n v="1"/>
    <n v="769"/>
    <n v="4"/>
    <x v="1"/>
    <n v="86"/>
    <n v="3"/>
    <n v="2"/>
    <x v="2"/>
    <n v="4"/>
    <s v="Single"/>
    <n v="2450"/>
    <n v="10919"/>
    <n v="2"/>
    <s v="Y"/>
    <x v="1"/>
    <n v="17"/>
    <n v="3"/>
    <n v="4"/>
    <n v="80"/>
    <n v="0"/>
    <n v="19"/>
    <n v="4"/>
    <n v="3"/>
    <n v="2"/>
    <n v="2"/>
    <n v="2"/>
    <n v="2"/>
    <x v="1"/>
    <s v="Low"/>
  </r>
  <r>
    <n v="35"/>
    <x v="1"/>
    <s v="Non-Travel"/>
    <n v="1225"/>
    <x v="1"/>
    <n v="2"/>
    <n v="4"/>
    <s v="Life Sciences"/>
    <n v="1"/>
    <n v="771"/>
    <n v="4"/>
    <x v="0"/>
    <n v="61"/>
    <n v="3"/>
    <n v="2"/>
    <x v="4"/>
    <n v="1"/>
    <s v="Divorced"/>
    <n v="5093"/>
    <n v="4761"/>
    <n v="2"/>
    <s v="Y"/>
    <x v="1"/>
    <n v="11"/>
    <n v="3"/>
    <n v="1"/>
    <n v="80"/>
    <n v="1"/>
    <n v="16"/>
    <n v="2"/>
    <n v="4"/>
    <n v="1"/>
    <n v="0"/>
    <n v="0"/>
    <n v="0"/>
    <x v="2"/>
    <s v="Mid"/>
  </r>
  <r>
    <n v="32"/>
    <x v="1"/>
    <s v="Travel_Frequently"/>
    <n v="430"/>
    <x v="1"/>
    <n v="24"/>
    <n v="4"/>
    <s v="Life Sciences"/>
    <n v="1"/>
    <n v="772"/>
    <n v="1"/>
    <x v="1"/>
    <n v="80"/>
    <n v="3"/>
    <n v="2"/>
    <x v="2"/>
    <n v="4"/>
    <s v="Married"/>
    <n v="5309"/>
    <n v="21146"/>
    <n v="1"/>
    <s v="Y"/>
    <x v="1"/>
    <n v="15"/>
    <n v="3"/>
    <n v="4"/>
    <n v="80"/>
    <n v="2"/>
    <n v="10"/>
    <n v="2"/>
    <n v="3"/>
    <n v="10"/>
    <n v="8"/>
    <n v="4"/>
    <n v="7"/>
    <x v="2"/>
    <s v="Mid"/>
  </r>
  <r>
    <n v="38"/>
    <x v="1"/>
    <s v="Travel_Rarely"/>
    <n v="268"/>
    <x v="1"/>
    <n v="2"/>
    <n v="5"/>
    <s v="Medical"/>
    <n v="1"/>
    <n v="773"/>
    <n v="4"/>
    <x v="1"/>
    <n v="92"/>
    <n v="3"/>
    <n v="1"/>
    <x v="1"/>
    <n v="3"/>
    <s v="Married"/>
    <n v="3057"/>
    <n v="20471"/>
    <n v="6"/>
    <s v="Y"/>
    <x v="0"/>
    <n v="13"/>
    <n v="3"/>
    <n v="2"/>
    <n v="80"/>
    <n v="1"/>
    <n v="6"/>
    <n v="0"/>
    <n v="1"/>
    <n v="1"/>
    <n v="0"/>
    <n v="0"/>
    <n v="1"/>
    <x v="0"/>
    <s v="Mid"/>
  </r>
  <r>
    <n v="34"/>
    <x v="1"/>
    <s v="Travel_Rarely"/>
    <n v="167"/>
    <x v="1"/>
    <n v="8"/>
    <n v="5"/>
    <s v="Life Sciences"/>
    <n v="1"/>
    <n v="775"/>
    <n v="2"/>
    <x v="0"/>
    <n v="32"/>
    <n v="3"/>
    <n v="2"/>
    <x v="3"/>
    <n v="1"/>
    <s v="Divorced"/>
    <n v="5121"/>
    <n v="4187"/>
    <n v="3"/>
    <s v="Y"/>
    <x v="1"/>
    <n v="14"/>
    <n v="3"/>
    <n v="3"/>
    <n v="80"/>
    <n v="1"/>
    <n v="7"/>
    <n v="3"/>
    <n v="3"/>
    <n v="0"/>
    <n v="0"/>
    <n v="0"/>
    <n v="0"/>
    <x v="2"/>
    <s v="Mid"/>
  </r>
  <r>
    <n v="52"/>
    <x v="1"/>
    <s v="Travel_Rarely"/>
    <n v="621"/>
    <x v="0"/>
    <n v="3"/>
    <n v="4"/>
    <s v="Marketing"/>
    <n v="1"/>
    <n v="776"/>
    <n v="3"/>
    <x v="1"/>
    <n v="31"/>
    <n v="2"/>
    <n v="4"/>
    <x v="5"/>
    <n v="1"/>
    <s v="Married"/>
    <n v="16856"/>
    <n v="10084"/>
    <n v="1"/>
    <s v="Y"/>
    <x v="1"/>
    <n v="11"/>
    <n v="3"/>
    <n v="1"/>
    <n v="80"/>
    <n v="0"/>
    <n v="34"/>
    <n v="3"/>
    <n v="4"/>
    <n v="34"/>
    <n v="6"/>
    <n v="1"/>
    <n v="16"/>
    <x v="1"/>
    <s v="Top"/>
  </r>
  <r>
    <n v="33"/>
    <x v="0"/>
    <s v="Travel_Rarely"/>
    <n v="527"/>
    <x v="1"/>
    <n v="1"/>
    <n v="4"/>
    <s v="Other"/>
    <n v="1"/>
    <n v="780"/>
    <n v="4"/>
    <x v="1"/>
    <n v="63"/>
    <n v="3"/>
    <n v="1"/>
    <x v="1"/>
    <n v="4"/>
    <s v="Single"/>
    <n v="2686"/>
    <n v="5207"/>
    <n v="1"/>
    <s v="Y"/>
    <x v="0"/>
    <n v="13"/>
    <n v="3"/>
    <n v="3"/>
    <n v="80"/>
    <n v="0"/>
    <n v="10"/>
    <n v="2"/>
    <n v="2"/>
    <n v="10"/>
    <n v="9"/>
    <n v="7"/>
    <n v="8"/>
    <x v="2"/>
    <s v="Low"/>
  </r>
  <r>
    <n v="25"/>
    <x v="1"/>
    <s v="Travel_Rarely"/>
    <n v="883"/>
    <x v="0"/>
    <n v="26"/>
    <n v="1"/>
    <s v="Medical"/>
    <n v="1"/>
    <n v="781"/>
    <n v="3"/>
    <x v="0"/>
    <n v="32"/>
    <n v="3"/>
    <n v="2"/>
    <x v="0"/>
    <n v="4"/>
    <s v="Single"/>
    <n v="6180"/>
    <n v="22807"/>
    <n v="1"/>
    <s v="Y"/>
    <x v="1"/>
    <n v="23"/>
    <n v="4"/>
    <n v="2"/>
    <n v="80"/>
    <n v="0"/>
    <n v="6"/>
    <n v="5"/>
    <n v="2"/>
    <n v="6"/>
    <n v="5"/>
    <n v="1"/>
    <n v="4"/>
    <x v="3"/>
    <s v="Mid"/>
  </r>
  <r>
    <n v="45"/>
    <x v="1"/>
    <s v="Travel_Rarely"/>
    <n v="954"/>
    <x v="0"/>
    <n v="2"/>
    <n v="2"/>
    <s v="Technical Degree"/>
    <n v="1"/>
    <n v="783"/>
    <n v="2"/>
    <x v="1"/>
    <n v="46"/>
    <n v="1"/>
    <n v="2"/>
    <x v="6"/>
    <n v="3"/>
    <s v="Single"/>
    <n v="6632"/>
    <n v="12388"/>
    <n v="0"/>
    <s v="Y"/>
    <x v="1"/>
    <n v="13"/>
    <n v="3"/>
    <n v="1"/>
    <n v="80"/>
    <n v="0"/>
    <n v="9"/>
    <n v="3"/>
    <n v="3"/>
    <n v="8"/>
    <n v="7"/>
    <n v="3"/>
    <n v="1"/>
    <x v="0"/>
    <s v="Mid"/>
  </r>
  <r>
    <n v="23"/>
    <x v="1"/>
    <s v="Travel_Rarely"/>
    <n v="310"/>
    <x v="1"/>
    <n v="10"/>
    <n v="1"/>
    <s v="Medical"/>
    <n v="1"/>
    <n v="784"/>
    <n v="1"/>
    <x v="1"/>
    <n v="79"/>
    <n v="4"/>
    <n v="1"/>
    <x v="1"/>
    <n v="3"/>
    <s v="Single"/>
    <n v="3505"/>
    <n v="19630"/>
    <n v="1"/>
    <s v="Y"/>
    <x v="1"/>
    <n v="18"/>
    <n v="3"/>
    <n v="4"/>
    <n v="80"/>
    <n v="0"/>
    <n v="2"/>
    <n v="3"/>
    <n v="3"/>
    <n v="2"/>
    <n v="2"/>
    <n v="0"/>
    <n v="2"/>
    <x v="3"/>
    <s v="Mid"/>
  </r>
  <r>
    <n v="47"/>
    <x v="0"/>
    <s v="Travel_Frequently"/>
    <n v="719"/>
    <x v="0"/>
    <n v="27"/>
    <n v="2"/>
    <s v="Life Sciences"/>
    <n v="1"/>
    <n v="785"/>
    <n v="2"/>
    <x v="0"/>
    <n v="77"/>
    <n v="4"/>
    <n v="2"/>
    <x v="0"/>
    <n v="3"/>
    <s v="Single"/>
    <n v="6397"/>
    <n v="10339"/>
    <n v="4"/>
    <s v="Y"/>
    <x v="0"/>
    <n v="12"/>
    <n v="3"/>
    <n v="4"/>
    <n v="80"/>
    <n v="0"/>
    <n v="8"/>
    <n v="2"/>
    <n v="3"/>
    <n v="5"/>
    <n v="4"/>
    <n v="1"/>
    <n v="3"/>
    <x v="1"/>
    <s v="Mid"/>
  </r>
  <r>
    <n v="34"/>
    <x v="1"/>
    <s v="Travel_Rarely"/>
    <n v="304"/>
    <x v="0"/>
    <n v="2"/>
    <n v="3"/>
    <s v="Other"/>
    <n v="1"/>
    <n v="786"/>
    <n v="4"/>
    <x v="1"/>
    <n v="60"/>
    <n v="3"/>
    <n v="2"/>
    <x v="0"/>
    <n v="4"/>
    <s v="Single"/>
    <n v="6274"/>
    <n v="18686"/>
    <n v="1"/>
    <s v="Y"/>
    <x v="1"/>
    <n v="22"/>
    <n v="4"/>
    <n v="3"/>
    <n v="80"/>
    <n v="0"/>
    <n v="6"/>
    <n v="5"/>
    <n v="3"/>
    <n v="6"/>
    <n v="5"/>
    <n v="1"/>
    <n v="4"/>
    <x v="2"/>
    <s v="Mid"/>
  </r>
  <r>
    <n v="55"/>
    <x v="0"/>
    <s v="Travel_Rarely"/>
    <n v="725"/>
    <x v="1"/>
    <n v="2"/>
    <n v="3"/>
    <s v="Medical"/>
    <n v="1"/>
    <n v="787"/>
    <n v="4"/>
    <x v="1"/>
    <n v="78"/>
    <n v="3"/>
    <n v="5"/>
    <x v="5"/>
    <n v="1"/>
    <s v="Married"/>
    <n v="19859"/>
    <n v="21199"/>
    <n v="5"/>
    <s v="Y"/>
    <x v="0"/>
    <n v="13"/>
    <n v="3"/>
    <n v="4"/>
    <n v="80"/>
    <n v="1"/>
    <n v="24"/>
    <n v="2"/>
    <n v="3"/>
    <n v="5"/>
    <n v="2"/>
    <n v="1"/>
    <n v="4"/>
    <x v="1"/>
    <s v="Top"/>
  </r>
  <r>
    <n v="36"/>
    <x v="1"/>
    <s v="Non-Travel"/>
    <n v="1434"/>
    <x v="0"/>
    <n v="8"/>
    <n v="4"/>
    <s v="Life Sciences"/>
    <n v="1"/>
    <n v="789"/>
    <n v="1"/>
    <x v="1"/>
    <n v="76"/>
    <n v="2"/>
    <n v="3"/>
    <x v="0"/>
    <n v="1"/>
    <s v="Single"/>
    <n v="7587"/>
    <n v="14229"/>
    <n v="1"/>
    <s v="Y"/>
    <x v="1"/>
    <n v="15"/>
    <n v="3"/>
    <n v="2"/>
    <n v="80"/>
    <n v="0"/>
    <n v="10"/>
    <n v="1"/>
    <n v="3"/>
    <n v="10"/>
    <n v="7"/>
    <n v="0"/>
    <n v="9"/>
    <x v="0"/>
    <s v="High"/>
  </r>
  <r>
    <n v="52"/>
    <x v="1"/>
    <s v="Non-Travel"/>
    <n v="715"/>
    <x v="1"/>
    <n v="19"/>
    <n v="4"/>
    <s v="Medical"/>
    <n v="1"/>
    <n v="791"/>
    <n v="4"/>
    <x v="1"/>
    <n v="41"/>
    <n v="3"/>
    <n v="1"/>
    <x v="1"/>
    <n v="4"/>
    <s v="Married"/>
    <n v="4258"/>
    <n v="26589"/>
    <n v="0"/>
    <s v="Y"/>
    <x v="1"/>
    <n v="18"/>
    <n v="3"/>
    <n v="1"/>
    <n v="80"/>
    <n v="1"/>
    <n v="5"/>
    <n v="3"/>
    <n v="3"/>
    <n v="4"/>
    <n v="3"/>
    <n v="1"/>
    <n v="2"/>
    <x v="1"/>
    <s v="Mid"/>
  </r>
  <r>
    <n v="26"/>
    <x v="1"/>
    <s v="Travel_Frequently"/>
    <n v="575"/>
    <x v="1"/>
    <n v="1"/>
    <n v="2"/>
    <s v="Life Sciences"/>
    <n v="1"/>
    <n v="792"/>
    <n v="1"/>
    <x v="0"/>
    <n v="71"/>
    <n v="1"/>
    <n v="1"/>
    <x v="2"/>
    <n v="4"/>
    <s v="Divorced"/>
    <n v="4364"/>
    <n v="5288"/>
    <n v="3"/>
    <s v="Y"/>
    <x v="1"/>
    <n v="14"/>
    <n v="3"/>
    <n v="1"/>
    <n v="80"/>
    <n v="1"/>
    <n v="5"/>
    <n v="2"/>
    <n v="3"/>
    <n v="2"/>
    <n v="2"/>
    <n v="2"/>
    <n v="0"/>
    <x v="2"/>
    <s v="Mid"/>
  </r>
  <r>
    <n v="29"/>
    <x v="1"/>
    <s v="Travel_Rarely"/>
    <n v="657"/>
    <x v="1"/>
    <n v="27"/>
    <n v="3"/>
    <s v="Medical"/>
    <n v="1"/>
    <n v="793"/>
    <n v="2"/>
    <x v="0"/>
    <n v="66"/>
    <n v="3"/>
    <n v="2"/>
    <x v="4"/>
    <n v="3"/>
    <s v="Married"/>
    <n v="4335"/>
    <n v="25549"/>
    <n v="4"/>
    <s v="Y"/>
    <x v="1"/>
    <n v="12"/>
    <n v="3"/>
    <n v="1"/>
    <n v="80"/>
    <n v="1"/>
    <n v="11"/>
    <n v="3"/>
    <n v="2"/>
    <n v="8"/>
    <n v="7"/>
    <n v="1"/>
    <n v="1"/>
    <x v="2"/>
    <s v="Mid"/>
  </r>
  <r>
    <n v="26"/>
    <x v="0"/>
    <s v="Travel_Rarely"/>
    <n v="1146"/>
    <x v="0"/>
    <n v="8"/>
    <n v="3"/>
    <s v="Technical Degree"/>
    <n v="1"/>
    <n v="796"/>
    <n v="4"/>
    <x v="1"/>
    <n v="38"/>
    <n v="2"/>
    <n v="2"/>
    <x v="0"/>
    <n v="1"/>
    <s v="Single"/>
    <n v="5326"/>
    <n v="3064"/>
    <n v="6"/>
    <s v="Y"/>
    <x v="1"/>
    <n v="17"/>
    <n v="3"/>
    <n v="3"/>
    <n v="80"/>
    <n v="0"/>
    <n v="6"/>
    <n v="2"/>
    <n v="2"/>
    <n v="4"/>
    <n v="3"/>
    <n v="1"/>
    <n v="2"/>
    <x v="2"/>
    <s v="Mid"/>
  </r>
  <r>
    <n v="34"/>
    <x v="1"/>
    <s v="Travel_Rarely"/>
    <n v="182"/>
    <x v="1"/>
    <n v="1"/>
    <n v="4"/>
    <s v="Life Sciences"/>
    <n v="1"/>
    <n v="797"/>
    <n v="2"/>
    <x v="0"/>
    <n v="72"/>
    <n v="4"/>
    <n v="1"/>
    <x v="1"/>
    <n v="4"/>
    <s v="Single"/>
    <n v="3280"/>
    <n v="13551"/>
    <n v="2"/>
    <s v="Y"/>
    <x v="1"/>
    <n v="16"/>
    <n v="3"/>
    <n v="3"/>
    <n v="80"/>
    <n v="0"/>
    <n v="10"/>
    <n v="2"/>
    <n v="3"/>
    <n v="4"/>
    <n v="2"/>
    <n v="1"/>
    <n v="3"/>
    <x v="2"/>
    <s v="Mid"/>
  </r>
  <r>
    <n v="54"/>
    <x v="1"/>
    <s v="Travel_Rarely"/>
    <n v="376"/>
    <x v="1"/>
    <n v="19"/>
    <n v="4"/>
    <s v="Medical"/>
    <n v="1"/>
    <n v="799"/>
    <n v="4"/>
    <x v="0"/>
    <n v="95"/>
    <n v="3"/>
    <n v="2"/>
    <x v="3"/>
    <n v="1"/>
    <s v="Divorced"/>
    <n v="5485"/>
    <n v="22670"/>
    <n v="9"/>
    <s v="Y"/>
    <x v="0"/>
    <n v="11"/>
    <n v="3"/>
    <n v="2"/>
    <n v="80"/>
    <n v="2"/>
    <n v="9"/>
    <n v="4"/>
    <n v="3"/>
    <n v="5"/>
    <n v="3"/>
    <n v="1"/>
    <n v="4"/>
    <x v="1"/>
    <s v="Mid"/>
  </r>
  <r>
    <n v="27"/>
    <x v="1"/>
    <s v="Travel_Frequently"/>
    <n v="829"/>
    <x v="0"/>
    <n v="8"/>
    <n v="1"/>
    <s v="Marketing"/>
    <n v="1"/>
    <n v="800"/>
    <n v="3"/>
    <x v="1"/>
    <n v="84"/>
    <n v="3"/>
    <n v="2"/>
    <x v="0"/>
    <n v="4"/>
    <s v="Married"/>
    <n v="4342"/>
    <n v="24008"/>
    <n v="0"/>
    <s v="Y"/>
    <x v="1"/>
    <n v="19"/>
    <n v="3"/>
    <n v="2"/>
    <n v="80"/>
    <n v="1"/>
    <n v="5"/>
    <n v="3"/>
    <n v="3"/>
    <n v="4"/>
    <n v="2"/>
    <n v="1"/>
    <n v="1"/>
    <x v="2"/>
    <s v="Mid"/>
  </r>
  <r>
    <n v="37"/>
    <x v="1"/>
    <s v="Travel_Rarely"/>
    <n v="571"/>
    <x v="1"/>
    <n v="10"/>
    <n v="1"/>
    <s v="Life Sciences"/>
    <n v="1"/>
    <n v="802"/>
    <n v="4"/>
    <x v="0"/>
    <n v="82"/>
    <n v="3"/>
    <n v="1"/>
    <x v="1"/>
    <n v="1"/>
    <s v="Divorced"/>
    <n v="2782"/>
    <n v="19905"/>
    <n v="0"/>
    <s v="Y"/>
    <x v="0"/>
    <n v="13"/>
    <n v="3"/>
    <n v="2"/>
    <n v="80"/>
    <n v="2"/>
    <n v="6"/>
    <n v="3"/>
    <n v="2"/>
    <n v="5"/>
    <n v="3"/>
    <n v="4"/>
    <n v="3"/>
    <x v="0"/>
    <s v="Low"/>
  </r>
  <r>
    <n v="38"/>
    <x v="1"/>
    <s v="Travel_Frequently"/>
    <n v="240"/>
    <x v="1"/>
    <n v="2"/>
    <n v="4"/>
    <s v="Life Sciences"/>
    <n v="1"/>
    <n v="803"/>
    <n v="1"/>
    <x v="0"/>
    <n v="75"/>
    <n v="4"/>
    <n v="2"/>
    <x v="3"/>
    <n v="1"/>
    <s v="Single"/>
    <n v="5980"/>
    <n v="26085"/>
    <n v="6"/>
    <s v="Y"/>
    <x v="0"/>
    <n v="12"/>
    <n v="3"/>
    <n v="4"/>
    <n v="80"/>
    <n v="0"/>
    <n v="17"/>
    <n v="2"/>
    <n v="3"/>
    <n v="15"/>
    <n v="7"/>
    <n v="4"/>
    <n v="12"/>
    <x v="0"/>
    <s v="Mid"/>
  </r>
  <r>
    <n v="34"/>
    <x v="1"/>
    <s v="Travel_Rarely"/>
    <n v="121"/>
    <x v="1"/>
    <n v="2"/>
    <n v="4"/>
    <s v="Medical"/>
    <n v="1"/>
    <n v="804"/>
    <n v="3"/>
    <x v="0"/>
    <n v="86"/>
    <n v="2"/>
    <n v="1"/>
    <x v="1"/>
    <n v="1"/>
    <s v="Single"/>
    <n v="4381"/>
    <n v="7530"/>
    <n v="1"/>
    <s v="Y"/>
    <x v="1"/>
    <n v="11"/>
    <n v="3"/>
    <n v="3"/>
    <n v="80"/>
    <n v="0"/>
    <n v="6"/>
    <n v="3"/>
    <n v="3"/>
    <n v="6"/>
    <n v="5"/>
    <n v="1"/>
    <n v="3"/>
    <x v="2"/>
    <s v="Mid"/>
  </r>
  <r>
    <n v="35"/>
    <x v="1"/>
    <s v="Travel_Rarely"/>
    <n v="384"/>
    <x v="0"/>
    <n v="8"/>
    <n v="4"/>
    <s v="Life Sciences"/>
    <n v="1"/>
    <n v="805"/>
    <n v="1"/>
    <x v="0"/>
    <n v="72"/>
    <n v="3"/>
    <n v="1"/>
    <x v="6"/>
    <n v="4"/>
    <s v="Married"/>
    <n v="2572"/>
    <n v="20317"/>
    <n v="1"/>
    <s v="Y"/>
    <x v="1"/>
    <n v="16"/>
    <n v="3"/>
    <n v="2"/>
    <n v="80"/>
    <n v="1"/>
    <n v="3"/>
    <n v="1"/>
    <n v="2"/>
    <n v="3"/>
    <n v="2"/>
    <n v="0"/>
    <n v="2"/>
    <x v="2"/>
    <s v="Low"/>
  </r>
  <r>
    <n v="30"/>
    <x v="1"/>
    <s v="Travel_Rarely"/>
    <n v="921"/>
    <x v="1"/>
    <n v="1"/>
    <n v="3"/>
    <s v="Life Sciences"/>
    <n v="1"/>
    <n v="806"/>
    <n v="4"/>
    <x v="1"/>
    <n v="38"/>
    <n v="1"/>
    <n v="1"/>
    <x v="2"/>
    <n v="3"/>
    <s v="Married"/>
    <n v="3833"/>
    <n v="24375"/>
    <n v="3"/>
    <s v="Y"/>
    <x v="1"/>
    <n v="21"/>
    <n v="4"/>
    <n v="3"/>
    <n v="80"/>
    <n v="2"/>
    <n v="7"/>
    <n v="2"/>
    <n v="3"/>
    <n v="2"/>
    <n v="2"/>
    <n v="0"/>
    <n v="2"/>
    <x v="2"/>
    <s v="Mid"/>
  </r>
  <r>
    <n v="40"/>
    <x v="1"/>
    <s v="Travel_Frequently"/>
    <n v="791"/>
    <x v="1"/>
    <n v="2"/>
    <n v="2"/>
    <s v="Medical"/>
    <n v="1"/>
    <n v="807"/>
    <n v="3"/>
    <x v="0"/>
    <n v="38"/>
    <n v="4"/>
    <n v="2"/>
    <x v="4"/>
    <n v="2"/>
    <s v="Married"/>
    <n v="4244"/>
    <n v="9931"/>
    <n v="1"/>
    <s v="Y"/>
    <x v="1"/>
    <n v="24"/>
    <n v="4"/>
    <n v="4"/>
    <n v="80"/>
    <n v="1"/>
    <n v="8"/>
    <n v="2"/>
    <n v="3"/>
    <n v="8"/>
    <n v="7"/>
    <n v="3"/>
    <n v="7"/>
    <x v="0"/>
    <s v="Mid"/>
  </r>
  <r>
    <n v="34"/>
    <x v="1"/>
    <s v="Travel_Rarely"/>
    <n v="1111"/>
    <x v="0"/>
    <n v="8"/>
    <n v="2"/>
    <s v="Life Sciences"/>
    <n v="1"/>
    <n v="808"/>
    <n v="3"/>
    <x v="0"/>
    <n v="93"/>
    <n v="3"/>
    <n v="2"/>
    <x v="0"/>
    <n v="1"/>
    <s v="Married"/>
    <n v="6500"/>
    <n v="13305"/>
    <n v="5"/>
    <s v="Y"/>
    <x v="1"/>
    <n v="17"/>
    <n v="3"/>
    <n v="2"/>
    <n v="80"/>
    <n v="1"/>
    <n v="6"/>
    <n v="1"/>
    <n v="3"/>
    <n v="3"/>
    <n v="2"/>
    <n v="1"/>
    <n v="2"/>
    <x v="2"/>
    <s v="Mid"/>
  </r>
  <r>
    <n v="42"/>
    <x v="1"/>
    <s v="Travel_Frequently"/>
    <n v="570"/>
    <x v="1"/>
    <n v="8"/>
    <n v="3"/>
    <s v="Life Sciences"/>
    <n v="1"/>
    <n v="809"/>
    <n v="2"/>
    <x v="1"/>
    <n v="66"/>
    <n v="3"/>
    <n v="5"/>
    <x v="5"/>
    <n v="4"/>
    <s v="Divorced"/>
    <n v="18430"/>
    <n v="16225"/>
    <n v="1"/>
    <s v="Y"/>
    <x v="1"/>
    <n v="13"/>
    <n v="3"/>
    <n v="2"/>
    <n v="80"/>
    <n v="1"/>
    <n v="24"/>
    <n v="4"/>
    <n v="2"/>
    <n v="24"/>
    <n v="7"/>
    <n v="14"/>
    <n v="9"/>
    <x v="0"/>
    <s v="Top"/>
  </r>
  <r>
    <n v="23"/>
    <x v="0"/>
    <s v="Travel_Rarely"/>
    <n v="1243"/>
    <x v="1"/>
    <n v="6"/>
    <n v="3"/>
    <s v="Life Sciences"/>
    <n v="1"/>
    <n v="811"/>
    <n v="3"/>
    <x v="1"/>
    <n v="63"/>
    <n v="4"/>
    <n v="1"/>
    <x v="2"/>
    <n v="1"/>
    <s v="Married"/>
    <n v="1601"/>
    <n v="3445"/>
    <n v="1"/>
    <s v="Y"/>
    <x v="0"/>
    <n v="21"/>
    <n v="4"/>
    <n v="3"/>
    <n v="80"/>
    <n v="2"/>
    <n v="1"/>
    <n v="2"/>
    <n v="3"/>
    <n v="0"/>
    <n v="0"/>
    <n v="0"/>
    <n v="0"/>
    <x v="3"/>
    <s v="Low"/>
  </r>
  <r>
    <n v="24"/>
    <x v="1"/>
    <s v="Non-Travel"/>
    <n v="1092"/>
    <x v="1"/>
    <n v="9"/>
    <n v="3"/>
    <s v="Life Sciences"/>
    <n v="1"/>
    <n v="812"/>
    <n v="3"/>
    <x v="1"/>
    <n v="60"/>
    <n v="2"/>
    <n v="1"/>
    <x v="2"/>
    <n v="2"/>
    <s v="Divorced"/>
    <n v="2694"/>
    <n v="26551"/>
    <n v="1"/>
    <s v="Y"/>
    <x v="1"/>
    <n v="11"/>
    <n v="3"/>
    <n v="3"/>
    <n v="80"/>
    <n v="3"/>
    <n v="1"/>
    <n v="4"/>
    <n v="3"/>
    <n v="1"/>
    <n v="0"/>
    <n v="0"/>
    <n v="0"/>
    <x v="3"/>
    <s v="Low"/>
  </r>
  <r>
    <n v="52"/>
    <x v="1"/>
    <s v="Travel_Rarely"/>
    <n v="1325"/>
    <x v="1"/>
    <n v="11"/>
    <n v="4"/>
    <s v="Life Sciences"/>
    <n v="1"/>
    <n v="813"/>
    <n v="4"/>
    <x v="0"/>
    <n v="82"/>
    <n v="3"/>
    <n v="2"/>
    <x v="2"/>
    <n v="3"/>
    <s v="Married"/>
    <n v="3149"/>
    <n v="21821"/>
    <n v="8"/>
    <s v="Y"/>
    <x v="1"/>
    <n v="20"/>
    <n v="4"/>
    <n v="2"/>
    <n v="80"/>
    <n v="1"/>
    <n v="9"/>
    <n v="3"/>
    <n v="3"/>
    <n v="5"/>
    <n v="2"/>
    <n v="1"/>
    <n v="4"/>
    <x v="1"/>
    <s v="Mid"/>
  </r>
  <r>
    <n v="50"/>
    <x v="1"/>
    <s v="Travel_Rarely"/>
    <n v="691"/>
    <x v="1"/>
    <n v="2"/>
    <n v="3"/>
    <s v="Medical"/>
    <n v="1"/>
    <n v="815"/>
    <n v="3"/>
    <x v="1"/>
    <n v="64"/>
    <n v="3"/>
    <n v="4"/>
    <x v="7"/>
    <n v="3"/>
    <s v="Married"/>
    <n v="17639"/>
    <n v="6881"/>
    <n v="5"/>
    <s v="Y"/>
    <x v="1"/>
    <n v="16"/>
    <n v="3"/>
    <n v="4"/>
    <n v="80"/>
    <n v="0"/>
    <n v="30"/>
    <n v="3"/>
    <n v="3"/>
    <n v="4"/>
    <n v="3"/>
    <n v="0"/>
    <n v="3"/>
    <x v="1"/>
    <s v="Top"/>
  </r>
  <r>
    <n v="29"/>
    <x v="0"/>
    <s v="Travel_Rarely"/>
    <n v="805"/>
    <x v="1"/>
    <n v="1"/>
    <n v="2"/>
    <s v="Life Sciences"/>
    <n v="1"/>
    <n v="816"/>
    <n v="2"/>
    <x v="0"/>
    <n v="36"/>
    <n v="2"/>
    <n v="1"/>
    <x v="2"/>
    <n v="1"/>
    <s v="Married"/>
    <n v="2319"/>
    <n v="6689"/>
    <n v="1"/>
    <s v="Y"/>
    <x v="0"/>
    <n v="11"/>
    <n v="3"/>
    <n v="4"/>
    <n v="80"/>
    <n v="1"/>
    <n v="1"/>
    <n v="1"/>
    <n v="3"/>
    <n v="1"/>
    <n v="0"/>
    <n v="0"/>
    <n v="0"/>
    <x v="2"/>
    <s v="Low"/>
  </r>
  <r>
    <n v="33"/>
    <x v="1"/>
    <s v="Travel_Rarely"/>
    <n v="213"/>
    <x v="1"/>
    <n v="7"/>
    <n v="3"/>
    <s v="Medical"/>
    <n v="1"/>
    <n v="817"/>
    <n v="3"/>
    <x v="1"/>
    <n v="49"/>
    <n v="3"/>
    <n v="3"/>
    <x v="7"/>
    <n v="3"/>
    <s v="Married"/>
    <n v="11691"/>
    <n v="25995"/>
    <n v="0"/>
    <s v="Y"/>
    <x v="1"/>
    <n v="11"/>
    <n v="3"/>
    <n v="4"/>
    <n v="80"/>
    <n v="0"/>
    <n v="14"/>
    <n v="3"/>
    <n v="4"/>
    <n v="13"/>
    <n v="9"/>
    <n v="3"/>
    <n v="7"/>
    <x v="2"/>
    <s v="High"/>
  </r>
  <r>
    <n v="33"/>
    <x v="0"/>
    <s v="Travel_Rarely"/>
    <n v="118"/>
    <x v="0"/>
    <n v="16"/>
    <n v="3"/>
    <s v="Marketing"/>
    <n v="1"/>
    <n v="819"/>
    <n v="1"/>
    <x v="0"/>
    <n v="69"/>
    <n v="3"/>
    <n v="2"/>
    <x v="0"/>
    <n v="1"/>
    <s v="Single"/>
    <n v="5324"/>
    <n v="26507"/>
    <n v="5"/>
    <s v="Y"/>
    <x v="1"/>
    <n v="15"/>
    <n v="3"/>
    <n v="3"/>
    <n v="80"/>
    <n v="0"/>
    <n v="6"/>
    <n v="3"/>
    <n v="3"/>
    <n v="3"/>
    <n v="2"/>
    <n v="0"/>
    <n v="2"/>
    <x v="2"/>
    <s v="Mid"/>
  </r>
  <r>
    <n v="47"/>
    <x v="1"/>
    <s v="Travel_Rarely"/>
    <n v="202"/>
    <x v="1"/>
    <n v="2"/>
    <n v="2"/>
    <s v="Other"/>
    <n v="1"/>
    <n v="820"/>
    <n v="3"/>
    <x v="0"/>
    <n v="33"/>
    <n v="3"/>
    <n v="4"/>
    <x v="5"/>
    <n v="4"/>
    <s v="Married"/>
    <n v="16752"/>
    <n v="12982"/>
    <n v="1"/>
    <s v="Y"/>
    <x v="0"/>
    <n v="11"/>
    <n v="3"/>
    <n v="3"/>
    <n v="80"/>
    <n v="1"/>
    <n v="26"/>
    <n v="3"/>
    <n v="2"/>
    <n v="26"/>
    <n v="14"/>
    <n v="3"/>
    <n v="0"/>
    <x v="1"/>
    <s v="Top"/>
  </r>
  <r>
    <n v="36"/>
    <x v="1"/>
    <s v="Travel_Rarely"/>
    <n v="676"/>
    <x v="1"/>
    <n v="1"/>
    <n v="3"/>
    <s v="Other"/>
    <n v="1"/>
    <n v="823"/>
    <n v="3"/>
    <x v="0"/>
    <n v="35"/>
    <n v="3"/>
    <n v="2"/>
    <x v="3"/>
    <n v="2"/>
    <s v="Married"/>
    <n v="5228"/>
    <n v="23361"/>
    <n v="0"/>
    <s v="Y"/>
    <x v="1"/>
    <n v="15"/>
    <n v="3"/>
    <n v="1"/>
    <n v="80"/>
    <n v="1"/>
    <n v="10"/>
    <n v="2"/>
    <n v="3"/>
    <n v="9"/>
    <n v="7"/>
    <n v="0"/>
    <n v="5"/>
    <x v="0"/>
    <s v="Mid"/>
  </r>
  <r>
    <n v="29"/>
    <x v="1"/>
    <s v="Travel_Rarely"/>
    <n v="1252"/>
    <x v="1"/>
    <n v="23"/>
    <n v="2"/>
    <s v="Life Sciences"/>
    <n v="1"/>
    <n v="824"/>
    <n v="3"/>
    <x v="1"/>
    <n v="81"/>
    <n v="4"/>
    <n v="1"/>
    <x v="1"/>
    <n v="3"/>
    <s v="Married"/>
    <n v="2700"/>
    <n v="23779"/>
    <n v="1"/>
    <s v="Y"/>
    <x v="1"/>
    <n v="24"/>
    <n v="4"/>
    <n v="3"/>
    <n v="80"/>
    <n v="1"/>
    <n v="10"/>
    <n v="3"/>
    <n v="3"/>
    <n v="10"/>
    <n v="7"/>
    <n v="0"/>
    <n v="7"/>
    <x v="2"/>
    <s v="Low"/>
  </r>
  <r>
    <n v="58"/>
    <x v="0"/>
    <s v="Travel_Rarely"/>
    <n v="286"/>
    <x v="1"/>
    <n v="2"/>
    <n v="4"/>
    <s v="Life Sciences"/>
    <n v="1"/>
    <n v="825"/>
    <n v="4"/>
    <x v="1"/>
    <n v="31"/>
    <n v="3"/>
    <n v="5"/>
    <x v="7"/>
    <n v="2"/>
    <s v="Single"/>
    <n v="19246"/>
    <n v="25761"/>
    <n v="7"/>
    <s v="Y"/>
    <x v="0"/>
    <n v="12"/>
    <n v="3"/>
    <n v="4"/>
    <n v="80"/>
    <n v="0"/>
    <n v="40"/>
    <n v="2"/>
    <n v="3"/>
    <n v="31"/>
    <n v="15"/>
    <n v="13"/>
    <n v="8"/>
    <x v="1"/>
    <s v="Top"/>
  </r>
  <r>
    <n v="35"/>
    <x v="1"/>
    <s v="Travel_Rarely"/>
    <n v="1258"/>
    <x v="1"/>
    <n v="1"/>
    <n v="4"/>
    <s v="Life Sciences"/>
    <n v="1"/>
    <n v="826"/>
    <n v="4"/>
    <x v="0"/>
    <n v="40"/>
    <n v="4"/>
    <n v="1"/>
    <x v="1"/>
    <n v="3"/>
    <s v="Single"/>
    <n v="2506"/>
    <n v="13301"/>
    <n v="3"/>
    <s v="Y"/>
    <x v="1"/>
    <n v="13"/>
    <n v="3"/>
    <n v="3"/>
    <n v="80"/>
    <n v="0"/>
    <n v="7"/>
    <n v="0"/>
    <n v="3"/>
    <n v="2"/>
    <n v="2"/>
    <n v="2"/>
    <n v="2"/>
    <x v="2"/>
    <s v="Low"/>
  </r>
  <r>
    <n v="42"/>
    <x v="1"/>
    <s v="Travel_Rarely"/>
    <n v="932"/>
    <x v="1"/>
    <n v="1"/>
    <n v="2"/>
    <s v="Life Sciences"/>
    <n v="1"/>
    <n v="827"/>
    <n v="4"/>
    <x v="0"/>
    <n v="43"/>
    <n v="2"/>
    <n v="2"/>
    <x v="3"/>
    <n v="4"/>
    <s v="Married"/>
    <n v="6062"/>
    <n v="4051"/>
    <n v="9"/>
    <s v="Y"/>
    <x v="0"/>
    <n v="13"/>
    <n v="3"/>
    <n v="4"/>
    <n v="80"/>
    <n v="1"/>
    <n v="8"/>
    <n v="4"/>
    <n v="3"/>
    <n v="4"/>
    <n v="3"/>
    <n v="0"/>
    <n v="2"/>
    <x v="0"/>
    <s v="Mid"/>
  </r>
  <r>
    <n v="28"/>
    <x v="0"/>
    <s v="Travel_Rarely"/>
    <n v="890"/>
    <x v="1"/>
    <n v="2"/>
    <n v="4"/>
    <s v="Medical"/>
    <n v="1"/>
    <n v="828"/>
    <n v="3"/>
    <x v="1"/>
    <n v="46"/>
    <n v="3"/>
    <n v="1"/>
    <x v="1"/>
    <n v="3"/>
    <s v="Single"/>
    <n v="4382"/>
    <n v="16374"/>
    <n v="6"/>
    <s v="Y"/>
    <x v="1"/>
    <n v="17"/>
    <n v="3"/>
    <n v="4"/>
    <n v="80"/>
    <n v="0"/>
    <n v="5"/>
    <n v="3"/>
    <n v="2"/>
    <n v="2"/>
    <n v="2"/>
    <n v="2"/>
    <n v="1"/>
    <x v="2"/>
    <s v="Mid"/>
  </r>
  <r>
    <n v="36"/>
    <x v="1"/>
    <s v="Travel_Rarely"/>
    <n v="1041"/>
    <x v="2"/>
    <n v="13"/>
    <n v="3"/>
    <s v="Human Resources"/>
    <n v="1"/>
    <n v="829"/>
    <n v="3"/>
    <x v="1"/>
    <n v="36"/>
    <n v="3"/>
    <n v="1"/>
    <x v="8"/>
    <n v="2"/>
    <s v="Married"/>
    <n v="2143"/>
    <n v="25527"/>
    <n v="4"/>
    <s v="Y"/>
    <x v="1"/>
    <n v="13"/>
    <n v="3"/>
    <n v="2"/>
    <n v="80"/>
    <n v="1"/>
    <n v="8"/>
    <n v="2"/>
    <n v="3"/>
    <n v="5"/>
    <n v="2"/>
    <n v="0"/>
    <n v="4"/>
    <x v="0"/>
    <s v="Low"/>
  </r>
  <r>
    <n v="32"/>
    <x v="1"/>
    <s v="Travel_Rarely"/>
    <n v="859"/>
    <x v="1"/>
    <n v="4"/>
    <n v="3"/>
    <s v="Life Sciences"/>
    <n v="1"/>
    <n v="830"/>
    <n v="3"/>
    <x v="0"/>
    <n v="98"/>
    <n v="2"/>
    <n v="2"/>
    <x v="3"/>
    <n v="3"/>
    <s v="Married"/>
    <n v="6162"/>
    <n v="19124"/>
    <n v="1"/>
    <s v="Y"/>
    <x v="1"/>
    <n v="12"/>
    <n v="3"/>
    <n v="3"/>
    <n v="80"/>
    <n v="1"/>
    <n v="14"/>
    <n v="3"/>
    <n v="3"/>
    <n v="14"/>
    <n v="13"/>
    <n v="6"/>
    <n v="8"/>
    <x v="2"/>
    <s v="Mid"/>
  </r>
  <r>
    <n v="40"/>
    <x v="1"/>
    <s v="Travel_Frequently"/>
    <n v="720"/>
    <x v="1"/>
    <n v="16"/>
    <n v="4"/>
    <s v="Medical"/>
    <n v="1"/>
    <n v="832"/>
    <n v="1"/>
    <x v="1"/>
    <n v="51"/>
    <n v="2"/>
    <n v="2"/>
    <x v="2"/>
    <n v="3"/>
    <s v="Single"/>
    <n v="5094"/>
    <n v="11983"/>
    <n v="6"/>
    <s v="Y"/>
    <x v="1"/>
    <n v="14"/>
    <n v="3"/>
    <n v="4"/>
    <n v="80"/>
    <n v="0"/>
    <n v="10"/>
    <n v="6"/>
    <n v="3"/>
    <n v="1"/>
    <n v="0"/>
    <n v="0"/>
    <n v="0"/>
    <x v="0"/>
    <s v="Mid"/>
  </r>
  <r>
    <n v="30"/>
    <x v="1"/>
    <s v="Travel_Rarely"/>
    <n v="946"/>
    <x v="1"/>
    <n v="2"/>
    <n v="3"/>
    <s v="Medical"/>
    <n v="1"/>
    <n v="833"/>
    <n v="3"/>
    <x v="0"/>
    <n v="52"/>
    <n v="2"/>
    <n v="2"/>
    <x v="3"/>
    <n v="4"/>
    <s v="Single"/>
    <n v="6877"/>
    <n v="20234"/>
    <n v="5"/>
    <s v="Y"/>
    <x v="0"/>
    <n v="24"/>
    <n v="4"/>
    <n v="2"/>
    <n v="80"/>
    <n v="0"/>
    <n v="12"/>
    <n v="4"/>
    <n v="2"/>
    <n v="0"/>
    <n v="0"/>
    <n v="0"/>
    <n v="0"/>
    <x v="2"/>
    <s v="Mid"/>
  </r>
  <r>
    <n v="45"/>
    <x v="1"/>
    <s v="Travel_Rarely"/>
    <n v="252"/>
    <x v="1"/>
    <n v="2"/>
    <n v="3"/>
    <s v="Life Sciences"/>
    <n v="1"/>
    <n v="834"/>
    <n v="2"/>
    <x v="0"/>
    <n v="95"/>
    <n v="2"/>
    <n v="1"/>
    <x v="1"/>
    <n v="3"/>
    <s v="Single"/>
    <n v="2274"/>
    <n v="6153"/>
    <n v="1"/>
    <s v="Y"/>
    <x v="1"/>
    <n v="14"/>
    <n v="3"/>
    <n v="4"/>
    <n v="80"/>
    <n v="0"/>
    <n v="1"/>
    <n v="3"/>
    <n v="3"/>
    <n v="1"/>
    <n v="0"/>
    <n v="0"/>
    <n v="0"/>
    <x v="0"/>
    <s v="Low"/>
  </r>
  <r>
    <n v="42"/>
    <x v="1"/>
    <s v="Travel_Rarely"/>
    <n v="933"/>
    <x v="1"/>
    <n v="29"/>
    <n v="3"/>
    <s v="Life Sciences"/>
    <n v="1"/>
    <n v="836"/>
    <n v="2"/>
    <x v="1"/>
    <n v="98"/>
    <n v="3"/>
    <n v="2"/>
    <x v="3"/>
    <n v="2"/>
    <s v="Married"/>
    <n v="4434"/>
    <n v="11806"/>
    <n v="1"/>
    <s v="Y"/>
    <x v="1"/>
    <n v="13"/>
    <n v="3"/>
    <n v="4"/>
    <n v="80"/>
    <n v="1"/>
    <n v="10"/>
    <n v="3"/>
    <n v="2"/>
    <n v="9"/>
    <n v="8"/>
    <n v="7"/>
    <n v="8"/>
    <x v="0"/>
    <s v="Mid"/>
  </r>
  <r>
    <n v="38"/>
    <x v="1"/>
    <s v="Travel_Frequently"/>
    <n v="471"/>
    <x v="1"/>
    <n v="12"/>
    <n v="3"/>
    <s v="Life Sciences"/>
    <n v="1"/>
    <n v="837"/>
    <n v="1"/>
    <x v="1"/>
    <n v="45"/>
    <n v="2"/>
    <n v="2"/>
    <x v="4"/>
    <n v="1"/>
    <s v="Divorced"/>
    <n v="6288"/>
    <n v="4284"/>
    <n v="2"/>
    <s v="Y"/>
    <x v="1"/>
    <n v="15"/>
    <n v="3"/>
    <n v="3"/>
    <n v="80"/>
    <n v="1"/>
    <n v="13"/>
    <n v="3"/>
    <n v="2"/>
    <n v="4"/>
    <n v="3"/>
    <n v="1"/>
    <n v="2"/>
    <x v="0"/>
    <s v="Mid"/>
  </r>
  <r>
    <n v="34"/>
    <x v="1"/>
    <s v="Travel_Frequently"/>
    <n v="702"/>
    <x v="1"/>
    <n v="16"/>
    <n v="4"/>
    <s v="Life Sciences"/>
    <n v="1"/>
    <n v="838"/>
    <n v="3"/>
    <x v="0"/>
    <n v="100"/>
    <n v="2"/>
    <n v="1"/>
    <x v="1"/>
    <n v="4"/>
    <s v="Single"/>
    <n v="2553"/>
    <n v="8306"/>
    <n v="1"/>
    <s v="Y"/>
    <x v="1"/>
    <n v="16"/>
    <n v="3"/>
    <n v="3"/>
    <n v="80"/>
    <n v="0"/>
    <n v="6"/>
    <n v="3"/>
    <n v="3"/>
    <n v="5"/>
    <n v="2"/>
    <n v="1"/>
    <n v="3"/>
    <x v="2"/>
    <s v="Low"/>
  </r>
  <r>
    <n v="49"/>
    <x v="0"/>
    <s v="Travel_Rarely"/>
    <n v="1184"/>
    <x v="0"/>
    <n v="11"/>
    <n v="3"/>
    <s v="Marketing"/>
    <n v="1"/>
    <n v="840"/>
    <n v="3"/>
    <x v="0"/>
    <n v="43"/>
    <n v="3"/>
    <n v="3"/>
    <x v="0"/>
    <n v="4"/>
    <s v="Married"/>
    <n v="7654"/>
    <n v="5860"/>
    <n v="1"/>
    <s v="Y"/>
    <x v="1"/>
    <n v="18"/>
    <n v="3"/>
    <n v="1"/>
    <n v="80"/>
    <n v="2"/>
    <n v="9"/>
    <n v="3"/>
    <n v="4"/>
    <n v="9"/>
    <n v="8"/>
    <n v="7"/>
    <n v="7"/>
    <x v="1"/>
    <s v="High"/>
  </r>
  <r>
    <n v="55"/>
    <x v="0"/>
    <s v="Travel_Rarely"/>
    <n v="436"/>
    <x v="0"/>
    <n v="2"/>
    <n v="1"/>
    <s v="Medical"/>
    <n v="1"/>
    <n v="842"/>
    <n v="3"/>
    <x v="1"/>
    <n v="37"/>
    <n v="3"/>
    <n v="2"/>
    <x v="0"/>
    <n v="4"/>
    <s v="Single"/>
    <n v="5160"/>
    <n v="21519"/>
    <n v="4"/>
    <s v="Y"/>
    <x v="1"/>
    <n v="16"/>
    <n v="3"/>
    <n v="3"/>
    <n v="80"/>
    <n v="0"/>
    <n v="12"/>
    <n v="3"/>
    <n v="2"/>
    <n v="9"/>
    <n v="7"/>
    <n v="7"/>
    <n v="3"/>
    <x v="1"/>
    <s v="Mid"/>
  </r>
  <r>
    <n v="43"/>
    <x v="1"/>
    <s v="Travel_Rarely"/>
    <n v="589"/>
    <x v="1"/>
    <n v="14"/>
    <n v="2"/>
    <s v="Life Sciences"/>
    <n v="1"/>
    <n v="843"/>
    <n v="2"/>
    <x v="1"/>
    <n v="94"/>
    <n v="3"/>
    <n v="4"/>
    <x v="7"/>
    <n v="1"/>
    <s v="Married"/>
    <n v="17159"/>
    <n v="5200"/>
    <n v="6"/>
    <s v="Y"/>
    <x v="1"/>
    <n v="24"/>
    <n v="4"/>
    <n v="3"/>
    <n v="80"/>
    <n v="1"/>
    <n v="22"/>
    <n v="3"/>
    <n v="3"/>
    <n v="4"/>
    <n v="1"/>
    <n v="1"/>
    <n v="0"/>
    <x v="0"/>
    <s v="Top"/>
  </r>
  <r>
    <n v="27"/>
    <x v="1"/>
    <s v="Travel_Rarely"/>
    <n v="269"/>
    <x v="1"/>
    <n v="5"/>
    <n v="1"/>
    <s v="Technical Degree"/>
    <n v="1"/>
    <n v="844"/>
    <n v="3"/>
    <x v="1"/>
    <n v="42"/>
    <n v="2"/>
    <n v="3"/>
    <x v="7"/>
    <n v="4"/>
    <s v="Divorced"/>
    <n v="12808"/>
    <n v="8842"/>
    <n v="1"/>
    <s v="Y"/>
    <x v="0"/>
    <n v="16"/>
    <n v="3"/>
    <n v="2"/>
    <n v="80"/>
    <n v="1"/>
    <n v="9"/>
    <n v="3"/>
    <n v="3"/>
    <n v="9"/>
    <n v="8"/>
    <n v="0"/>
    <n v="8"/>
    <x v="2"/>
    <s v="Top"/>
  </r>
  <r>
    <n v="35"/>
    <x v="1"/>
    <s v="Travel_Rarely"/>
    <n v="950"/>
    <x v="1"/>
    <n v="7"/>
    <n v="3"/>
    <s v="Other"/>
    <n v="1"/>
    <n v="845"/>
    <n v="3"/>
    <x v="1"/>
    <n v="59"/>
    <n v="3"/>
    <n v="3"/>
    <x v="3"/>
    <n v="3"/>
    <s v="Single"/>
    <n v="10221"/>
    <n v="18869"/>
    <n v="3"/>
    <s v="Y"/>
    <x v="1"/>
    <n v="21"/>
    <n v="4"/>
    <n v="2"/>
    <n v="80"/>
    <n v="0"/>
    <n v="17"/>
    <n v="3"/>
    <n v="4"/>
    <n v="8"/>
    <n v="5"/>
    <n v="1"/>
    <n v="6"/>
    <x v="2"/>
    <s v="High"/>
  </r>
  <r>
    <n v="28"/>
    <x v="1"/>
    <s v="Travel_Rarely"/>
    <n v="760"/>
    <x v="0"/>
    <n v="2"/>
    <n v="4"/>
    <s v="Marketing"/>
    <n v="1"/>
    <n v="846"/>
    <n v="2"/>
    <x v="0"/>
    <n v="81"/>
    <n v="3"/>
    <n v="2"/>
    <x v="0"/>
    <n v="2"/>
    <s v="Married"/>
    <n v="4779"/>
    <n v="3698"/>
    <n v="1"/>
    <s v="Y"/>
    <x v="0"/>
    <n v="20"/>
    <n v="4"/>
    <n v="1"/>
    <n v="80"/>
    <n v="0"/>
    <n v="8"/>
    <n v="2"/>
    <n v="3"/>
    <n v="8"/>
    <n v="7"/>
    <n v="7"/>
    <n v="5"/>
    <x v="2"/>
    <s v="Mid"/>
  </r>
  <r>
    <n v="34"/>
    <x v="1"/>
    <s v="Travel_Rarely"/>
    <n v="829"/>
    <x v="2"/>
    <n v="3"/>
    <n v="2"/>
    <s v="Human Resources"/>
    <n v="1"/>
    <n v="847"/>
    <n v="3"/>
    <x v="1"/>
    <n v="88"/>
    <n v="3"/>
    <n v="1"/>
    <x v="8"/>
    <n v="4"/>
    <s v="Married"/>
    <n v="3737"/>
    <n v="2243"/>
    <n v="0"/>
    <s v="Y"/>
    <x v="1"/>
    <n v="19"/>
    <n v="3"/>
    <n v="3"/>
    <n v="80"/>
    <n v="1"/>
    <n v="4"/>
    <n v="1"/>
    <n v="1"/>
    <n v="3"/>
    <n v="2"/>
    <n v="0"/>
    <n v="2"/>
    <x v="2"/>
    <s v="Mid"/>
  </r>
  <r>
    <n v="26"/>
    <x v="0"/>
    <s v="Travel_Frequently"/>
    <n v="887"/>
    <x v="1"/>
    <n v="5"/>
    <n v="2"/>
    <s v="Medical"/>
    <n v="1"/>
    <n v="848"/>
    <n v="3"/>
    <x v="0"/>
    <n v="88"/>
    <n v="2"/>
    <n v="1"/>
    <x v="1"/>
    <n v="3"/>
    <s v="Married"/>
    <n v="2366"/>
    <n v="20898"/>
    <n v="1"/>
    <s v="Y"/>
    <x v="0"/>
    <n v="14"/>
    <n v="3"/>
    <n v="1"/>
    <n v="80"/>
    <n v="1"/>
    <n v="8"/>
    <n v="2"/>
    <n v="3"/>
    <n v="8"/>
    <n v="7"/>
    <n v="1"/>
    <n v="7"/>
    <x v="2"/>
    <s v="Low"/>
  </r>
  <r>
    <n v="27"/>
    <x v="1"/>
    <s v="Non-Travel"/>
    <n v="443"/>
    <x v="1"/>
    <n v="3"/>
    <n v="3"/>
    <s v="Medical"/>
    <n v="1"/>
    <n v="850"/>
    <n v="4"/>
    <x v="1"/>
    <n v="50"/>
    <n v="3"/>
    <n v="1"/>
    <x v="1"/>
    <n v="4"/>
    <s v="Married"/>
    <n v="1706"/>
    <n v="16571"/>
    <n v="1"/>
    <s v="Y"/>
    <x v="1"/>
    <n v="11"/>
    <n v="3"/>
    <n v="3"/>
    <n v="80"/>
    <n v="3"/>
    <n v="0"/>
    <n v="6"/>
    <n v="2"/>
    <n v="0"/>
    <n v="0"/>
    <n v="0"/>
    <n v="0"/>
    <x v="2"/>
    <s v="Low"/>
  </r>
  <r>
    <n v="51"/>
    <x v="1"/>
    <s v="Travel_Rarely"/>
    <n v="1318"/>
    <x v="0"/>
    <n v="26"/>
    <n v="4"/>
    <s v="Marketing"/>
    <n v="1"/>
    <n v="851"/>
    <n v="1"/>
    <x v="0"/>
    <n v="66"/>
    <n v="3"/>
    <n v="4"/>
    <x v="5"/>
    <n v="3"/>
    <s v="Married"/>
    <n v="16307"/>
    <n v="5594"/>
    <n v="2"/>
    <s v="Y"/>
    <x v="1"/>
    <n v="14"/>
    <n v="3"/>
    <n v="3"/>
    <n v="80"/>
    <n v="1"/>
    <n v="29"/>
    <n v="2"/>
    <n v="2"/>
    <n v="20"/>
    <n v="6"/>
    <n v="4"/>
    <n v="17"/>
    <x v="1"/>
    <s v="Top"/>
  </r>
  <r>
    <n v="44"/>
    <x v="1"/>
    <s v="Travel_Rarely"/>
    <n v="625"/>
    <x v="1"/>
    <n v="4"/>
    <n v="3"/>
    <s v="Medical"/>
    <n v="1"/>
    <n v="852"/>
    <n v="4"/>
    <x v="1"/>
    <n v="50"/>
    <n v="3"/>
    <n v="2"/>
    <x v="4"/>
    <n v="2"/>
    <s v="Single"/>
    <n v="5933"/>
    <n v="5197"/>
    <n v="9"/>
    <s v="Y"/>
    <x v="1"/>
    <n v="12"/>
    <n v="3"/>
    <n v="4"/>
    <n v="80"/>
    <n v="0"/>
    <n v="10"/>
    <n v="2"/>
    <n v="2"/>
    <n v="5"/>
    <n v="2"/>
    <n v="2"/>
    <n v="3"/>
    <x v="0"/>
    <s v="Mid"/>
  </r>
  <r>
    <n v="25"/>
    <x v="1"/>
    <s v="Travel_Rarely"/>
    <n v="180"/>
    <x v="1"/>
    <n v="2"/>
    <n v="1"/>
    <s v="Medical"/>
    <n v="1"/>
    <n v="854"/>
    <n v="1"/>
    <x v="1"/>
    <n v="65"/>
    <n v="4"/>
    <n v="1"/>
    <x v="1"/>
    <n v="1"/>
    <s v="Single"/>
    <n v="3424"/>
    <n v="21632"/>
    <n v="7"/>
    <s v="Y"/>
    <x v="1"/>
    <n v="13"/>
    <n v="3"/>
    <n v="3"/>
    <n v="80"/>
    <n v="0"/>
    <n v="6"/>
    <n v="3"/>
    <n v="2"/>
    <n v="4"/>
    <n v="3"/>
    <n v="0"/>
    <n v="1"/>
    <x v="3"/>
    <s v="Mid"/>
  </r>
  <r>
    <n v="33"/>
    <x v="1"/>
    <s v="Travel_Rarely"/>
    <n v="586"/>
    <x v="0"/>
    <n v="1"/>
    <n v="3"/>
    <s v="Medical"/>
    <n v="1"/>
    <n v="855"/>
    <n v="1"/>
    <x v="1"/>
    <n v="48"/>
    <n v="4"/>
    <n v="2"/>
    <x v="0"/>
    <n v="1"/>
    <s v="Divorced"/>
    <n v="4037"/>
    <n v="21816"/>
    <n v="1"/>
    <s v="Y"/>
    <x v="1"/>
    <n v="22"/>
    <n v="4"/>
    <n v="1"/>
    <n v="80"/>
    <n v="1"/>
    <n v="9"/>
    <n v="5"/>
    <n v="3"/>
    <n v="9"/>
    <n v="8"/>
    <n v="0"/>
    <n v="8"/>
    <x v="2"/>
    <s v="Mid"/>
  </r>
  <r>
    <n v="35"/>
    <x v="1"/>
    <s v="Travel_Rarely"/>
    <n v="1343"/>
    <x v="1"/>
    <n v="27"/>
    <n v="1"/>
    <s v="Medical"/>
    <n v="1"/>
    <n v="856"/>
    <n v="3"/>
    <x v="0"/>
    <n v="53"/>
    <n v="2"/>
    <n v="1"/>
    <x v="1"/>
    <n v="1"/>
    <s v="Single"/>
    <n v="2559"/>
    <n v="17852"/>
    <n v="1"/>
    <s v="Y"/>
    <x v="1"/>
    <n v="11"/>
    <n v="3"/>
    <n v="4"/>
    <n v="80"/>
    <n v="0"/>
    <n v="6"/>
    <n v="3"/>
    <n v="2"/>
    <n v="6"/>
    <n v="5"/>
    <n v="1"/>
    <n v="1"/>
    <x v="2"/>
    <s v="Low"/>
  </r>
  <r>
    <n v="36"/>
    <x v="1"/>
    <s v="Travel_Rarely"/>
    <n v="928"/>
    <x v="0"/>
    <n v="1"/>
    <n v="2"/>
    <s v="Life Sciences"/>
    <n v="1"/>
    <n v="857"/>
    <n v="2"/>
    <x v="1"/>
    <n v="56"/>
    <n v="3"/>
    <n v="2"/>
    <x v="0"/>
    <n v="4"/>
    <s v="Married"/>
    <n v="6201"/>
    <n v="2823"/>
    <n v="1"/>
    <s v="Y"/>
    <x v="0"/>
    <n v="14"/>
    <n v="3"/>
    <n v="4"/>
    <n v="80"/>
    <n v="1"/>
    <n v="18"/>
    <n v="1"/>
    <n v="2"/>
    <n v="18"/>
    <n v="14"/>
    <n v="4"/>
    <n v="11"/>
    <x v="0"/>
    <s v="Mid"/>
  </r>
  <r>
    <n v="32"/>
    <x v="1"/>
    <s v="Travel_Rarely"/>
    <n v="117"/>
    <x v="0"/>
    <n v="13"/>
    <n v="4"/>
    <s v="Life Sciences"/>
    <n v="1"/>
    <n v="859"/>
    <n v="2"/>
    <x v="1"/>
    <n v="73"/>
    <n v="3"/>
    <n v="2"/>
    <x v="0"/>
    <n v="4"/>
    <s v="Divorced"/>
    <n v="4403"/>
    <n v="9250"/>
    <n v="2"/>
    <s v="Y"/>
    <x v="1"/>
    <n v="11"/>
    <n v="3"/>
    <n v="3"/>
    <n v="80"/>
    <n v="1"/>
    <n v="8"/>
    <n v="3"/>
    <n v="2"/>
    <n v="5"/>
    <n v="2"/>
    <n v="0"/>
    <n v="3"/>
    <x v="2"/>
    <s v="Mid"/>
  </r>
  <r>
    <n v="30"/>
    <x v="1"/>
    <s v="Travel_Frequently"/>
    <n v="1012"/>
    <x v="1"/>
    <n v="5"/>
    <n v="4"/>
    <s v="Life Sciences"/>
    <n v="1"/>
    <n v="861"/>
    <n v="2"/>
    <x v="1"/>
    <n v="75"/>
    <n v="2"/>
    <n v="1"/>
    <x v="1"/>
    <n v="4"/>
    <s v="Divorced"/>
    <n v="3761"/>
    <n v="2373"/>
    <n v="9"/>
    <s v="Y"/>
    <x v="1"/>
    <n v="12"/>
    <n v="3"/>
    <n v="2"/>
    <n v="80"/>
    <n v="1"/>
    <n v="10"/>
    <n v="3"/>
    <n v="2"/>
    <n v="5"/>
    <n v="4"/>
    <n v="0"/>
    <n v="3"/>
    <x v="2"/>
    <s v="Mid"/>
  </r>
  <r>
    <n v="53"/>
    <x v="1"/>
    <s v="Travel_Rarely"/>
    <n v="661"/>
    <x v="0"/>
    <n v="7"/>
    <n v="2"/>
    <s v="Marketing"/>
    <n v="1"/>
    <n v="862"/>
    <n v="1"/>
    <x v="0"/>
    <n v="78"/>
    <n v="2"/>
    <n v="3"/>
    <x v="0"/>
    <n v="4"/>
    <s v="Married"/>
    <n v="10934"/>
    <n v="20715"/>
    <n v="7"/>
    <s v="Y"/>
    <x v="0"/>
    <n v="18"/>
    <n v="3"/>
    <n v="4"/>
    <n v="80"/>
    <n v="1"/>
    <n v="35"/>
    <n v="3"/>
    <n v="3"/>
    <n v="5"/>
    <n v="2"/>
    <n v="0"/>
    <n v="4"/>
    <x v="1"/>
    <s v="High"/>
  </r>
  <r>
    <n v="45"/>
    <x v="1"/>
    <s v="Travel_Rarely"/>
    <n v="930"/>
    <x v="0"/>
    <n v="9"/>
    <n v="3"/>
    <s v="Marketing"/>
    <n v="1"/>
    <n v="864"/>
    <n v="4"/>
    <x v="1"/>
    <n v="74"/>
    <n v="3"/>
    <n v="3"/>
    <x v="0"/>
    <n v="1"/>
    <s v="Divorced"/>
    <n v="10761"/>
    <n v="19239"/>
    <n v="4"/>
    <s v="Y"/>
    <x v="0"/>
    <n v="12"/>
    <n v="3"/>
    <n v="3"/>
    <n v="80"/>
    <n v="1"/>
    <n v="18"/>
    <n v="2"/>
    <n v="3"/>
    <n v="5"/>
    <n v="4"/>
    <n v="0"/>
    <n v="2"/>
    <x v="0"/>
    <s v="High"/>
  </r>
  <r>
    <n v="32"/>
    <x v="1"/>
    <s v="Travel_Rarely"/>
    <n v="638"/>
    <x v="1"/>
    <n v="8"/>
    <n v="2"/>
    <s v="Medical"/>
    <n v="1"/>
    <n v="865"/>
    <n v="3"/>
    <x v="0"/>
    <n v="91"/>
    <n v="4"/>
    <n v="2"/>
    <x v="1"/>
    <n v="3"/>
    <s v="Married"/>
    <n v="5175"/>
    <n v="22162"/>
    <n v="5"/>
    <s v="Y"/>
    <x v="1"/>
    <n v="12"/>
    <n v="3"/>
    <n v="3"/>
    <n v="80"/>
    <n v="1"/>
    <n v="9"/>
    <n v="3"/>
    <n v="2"/>
    <n v="5"/>
    <n v="3"/>
    <n v="1"/>
    <n v="3"/>
    <x v="2"/>
    <s v="Mid"/>
  </r>
  <r>
    <n v="52"/>
    <x v="1"/>
    <s v="Travel_Frequently"/>
    <n v="890"/>
    <x v="1"/>
    <n v="25"/>
    <n v="4"/>
    <s v="Medical"/>
    <n v="1"/>
    <n v="867"/>
    <n v="3"/>
    <x v="0"/>
    <n v="81"/>
    <n v="2"/>
    <n v="4"/>
    <x v="3"/>
    <n v="4"/>
    <s v="Married"/>
    <n v="13826"/>
    <n v="19028"/>
    <n v="3"/>
    <s v="Y"/>
    <x v="1"/>
    <n v="22"/>
    <n v="4"/>
    <n v="3"/>
    <n v="80"/>
    <n v="0"/>
    <n v="31"/>
    <n v="3"/>
    <n v="3"/>
    <n v="9"/>
    <n v="8"/>
    <n v="0"/>
    <n v="0"/>
    <x v="1"/>
    <s v="Top"/>
  </r>
  <r>
    <n v="37"/>
    <x v="1"/>
    <s v="Travel_Rarely"/>
    <n v="342"/>
    <x v="0"/>
    <n v="16"/>
    <n v="4"/>
    <s v="Marketing"/>
    <n v="1"/>
    <n v="868"/>
    <n v="4"/>
    <x v="1"/>
    <n v="66"/>
    <n v="2"/>
    <n v="2"/>
    <x v="0"/>
    <n v="3"/>
    <s v="Divorced"/>
    <n v="6334"/>
    <n v="24558"/>
    <n v="4"/>
    <s v="Y"/>
    <x v="1"/>
    <n v="19"/>
    <n v="3"/>
    <n v="4"/>
    <n v="80"/>
    <n v="2"/>
    <n v="9"/>
    <n v="2"/>
    <n v="3"/>
    <n v="1"/>
    <n v="0"/>
    <n v="0"/>
    <n v="0"/>
    <x v="0"/>
    <s v="Mid"/>
  </r>
  <r>
    <n v="28"/>
    <x v="1"/>
    <s v="Travel_Rarely"/>
    <n v="1169"/>
    <x v="2"/>
    <n v="8"/>
    <n v="2"/>
    <s v="Medical"/>
    <n v="1"/>
    <n v="869"/>
    <n v="2"/>
    <x v="1"/>
    <n v="63"/>
    <n v="2"/>
    <n v="1"/>
    <x v="8"/>
    <n v="4"/>
    <s v="Divorced"/>
    <n v="4936"/>
    <n v="23965"/>
    <n v="1"/>
    <s v="Y"/>
    <x v="1"/>
    <n v="13"/>
    <n v="3"/>
    <n v="4"/>
    <n v="80"/>
    <n v="1"/>
    <n v="6"/>
    <n v="6"/>
    <n v="3"/>
    <n v="5"/>
    <n v="1"/>
    <n v="0"/>
    <n v="4"/>
    <x v="2"/>
    <s v="Mid"/>
  </r>
  <r>
    <n v="22"/>
    <x v="1"/>
    <s v="Travel_Rarely"/>
    <n v="1230"/>
    <x v="1"/>
    <n v="1"/>
    <n v="2"/>
    <s v="Life Sciences"/>
    <n v="1"/>
    <n v="872"/>
    <n v="4"/>
    <x v="1"/>
    <n v="33"/>
    <n v="2"/>
    <n v="2"/>
    <x v="3"/>
    <n v="4"/>
    <s v="Married"/>
    <n v="4775"/>
    <n v="19146"/>
    <n v="6"/>
    <s v="Y"/>
    <x v="1"/>
    <n v="22"/>
    <n v="4"/>
    <n v="1"/>
    <n v="80"/>
    <n v="2"/>
    <n v="4"/>
    <n v="2"/>
    <n v="1"/>
    <n v="2"/>
    <n v="2"/>
    <n v="2"/>
    <n v="2"/>
    <x v="3"/>
    <s v="Mid"/>
  </r>
  <r>
    <n v="44"/>
    <x v="1"/>
    <s v="Travel_Rarely"/>
    <n v="986"/>
    <x v="1"/>
    <n v="8"/>
    <n v="4"/>
    <s v="Life Sciences"/>
    <n v="1"/>
    <n v="874"/>
    <n v="1"/>
    <x v="1"/>
    <n v="62"/>
    <n v="4"/>
    <n v="1"/>
    <x v="2"/>
    <n v="4"/>
    <s v="Married"/>
    <n v="2818"/>
    <n v="5044"/>
    <n v="2"/>
    <s v="Y"/>
    <x v="0"/>
    <n v="24"/>
    <n v="4"/>
    <n v="3"/>
    <n v="80"/>
    <n v="1"/>
    <n v="10"/>
    <n v="2"/>
    <n v="2"/>
    <n v="3"/>
    <n v="2"/>
    <n v="0"/>
    <n v="2"/>
    <x v="0"/>
    <s v="Low"/>
  </r>
  <r>
    <n v="42"/>
    <x v="1"/>
    <s v="Travel_Frequently"/>
    <n v="1271"/>
    <x v="1"/>
    <n v="2"/>
    <n v="1"/>
    <s v="Medical"/>
    <n v="1"/>
    <n v="875"/>
    <n v="2"/>
    <x v="1"/>
    <n v="35"/>
    <n v="3"/>
    <n v="1"/>
    <x v="1"/>
    <n v="4"/>
    <s v="Single"/>
    <n v="2515"/>
    <n v="9068"/>
    <n v="5"/>
    <s v="Y"/>
    <x v="0"/>
    <n v="14"/>
    <n v="3"/>
    <n v="4"/>
    <n v="80"/>
    <n v="0"/>
    <n v="8"/>
    <n v="2"/>
    <n v="3"/>
    <n v="2"/>
    <n v="1"/>
    <n v="2"/>
    <n v="2"/>
    <x v="0"/>
    <s v="Low"/>
  </r>
  <r>
    <n v="36"/>
    <x v="1"/>
    <s v="Travel_Rarely"/>
    <n v="1278"/>
    <x v="2"/>
    <n v="8"/>
    <n v="3"/>
    <s v="Life Sciences"/>
    <n v="1"/>
    <n v="878"/>
    <n v="1"/>
    <x v="1"/>
    <n v="77"/>
    <n v="2"/>
    <n v="1"/>
    <x v="8"/>
    <n v="1"/>
    <s v="Married"/>
    <n v="2342"/>
    <n v="8635"/>
    <n v="0"/>
    <s v="Y"/>
    <x v="1"/>
    <n v="21"/>
    <n v="4"/>
    <n v="3"/>
    <n v="80"/>
    <n v="0"/>
    <n v="6"/>
    <n v="3"/>
    <n v="3"/>
    <n v="5"/>
    <n v="4"/>
    <n v="0"/>
    <n v="3"/>
    <x v="0"/>
    <s v="Low"/>
  </r>
  <r>
    <n v="25"/>
    <x v="1"/>
    <s v="Travel_Rarely"/>
    <n v="141"/>
    <x v="0"/>
    <n v="3"/>
    <n v="1"/>
    <s v="Other"/>
    <n v="1"/>
    <n v="879"/>
    <n v="3"/>
    <x v="1"/>
    <n v="98"/>
    <n v="3"/>
    <n v="2"/>
    <x v="0"/>
    <n v="1"/>
    <s v="Married"/>
    <n v="4194"/>
    <n v="14363"/>
    <n v="1"/>
    <s v="Y"/>
    <x v="0"/>
    <n v="18"/>
    <n v="3"/>
    <n v="4"/>
    <n v="80"/>
    <n v="0"/>
    <n v="5"/>
    <n v="3"/>
    <n v="3"/>
    <n v="5"/>
    <n v="3"/>
    <n v="0"/>
    <n v="3"/>
    <x v="3"/>
    <s v="Mid"/>
  </r>
  <r>
    <n v="35"/>
    <x v="1"/>
    <s v="Travel_Rarely"/>
    <n v="607"/>
    <x v="1"/>
    <n v="9"/>
    <n v="3"/>
    <s v="Life Sciences"/>
    <n v="1"/>
    <n v="880"/>
    <n v="4"/>
    <x v="0"/>
    <n v="66"/>
    <n v="2"/>
    <n v="3"/>
    <x v="3"/>
    <n v="3"/>
    <s v="Married"/>
    <n v="10685"/>
    <n v="23457"/>
    <n v="1"/>
    <s v="Y"/>
    <x v="0"/>
    <n v="20"/>
    <n v="4"/>
    <n v="2"/>
    <n v="80"/>
    <n v="1"/>
    <n v="17"/>
    <n v="2"/>
    <n v="3"/>
    <n v="17"/>
    <n v="14"/>
    <n v="5"/>
    <n v="15"/>
    <x v="2"/>
    <s v="High"/>
  </r>
  <r>
    <n v="35"/>
    <x v="0"/>
    <s v="Travel_Frequently"/>
    <n v="130"/>
    <x v="1"/>
    <n v="25"/>
    <n v="4"/>
    <s v="Life Sciences"/>
    <n v="1"/>
    <n v="881"/>
    <n v="4"/>
    <x v="0"/>
    <n v="96"/>
    <n v="3"/>
    <n v="1"/>
    <x v="1"/>
    <n v="2"/>
    <s v="Divorced"/>
    <n v="2022"/>
    <n v="16612"/>
    <n v="1"/>
    <s v="Y"/>
    <x v="0"/>
    <n v="19"/>
    <n v="3"/>
    <n v="1"/>
    <n v="80"/>
    <n v="1"/>
    <n v="10"/>
    <n v="3"/>
    <n v="2"/>
    <n v="10"/>
    <n v="2"/>
    <n v="7"/>
    <n v="8"/>
    <x v="2"/>
    <s v="Low"/>
  </r>
  <r>
    <n v="32"/>
    <x v="1"/>
    <s v="Non-Travel"/>
    <n v="300"/>
    <x v="1"/>
    <n v="1"/>
    <n v="3"/>
    <s v="Life Sciences"/>
    <n v="1"/>
    <n v="882"/>
    <n v="4"/>
    <x v="1"/>
    <n v="61"/>
    <n v="3"/>
    <n v="1"/>
    <x v="2"/>
    <n v="4"/>
    <s v="Divorced"/>
    <n v="2314"/>
    <n v="9148"/>
    <n v="0"/>
    <s v="Y"/>
    <x v="1"/>
    <n v="12"/>
    <n v="3"/>
    <n v="2"/>
    <n v="80"/>
    <n v="1"/>
    <n v="4"/>
    <n v="2"/>
    <n v="3"/>
    <n v="3"/>
    <n v="0"/>
    <n v="0"/>
    <n v="2"/>
    <x v="2"/>
    <s v="Low"/>
  </r>
  <r>
    <n v="25"/>
    <x v="1"/>
    <s v="Travel_Rarely"/>
    <n v="583"/>
    <x v="0"/>
    <n v="4"/>
    <n v="1"/>
    <s v="Marketing"/>
    <n v="1"/>
    <n v="885"/>
    <n v="3"/>
    <x v="1"/>
    <n v="87"/>
    <n v="2"/>
    <n v="2"/>
    <x v="0"/>
    <n v="1"/>
    <s v="Married"/>
    <n v="4256"/>
    <n v="18154"/>
    <n v="1"/>
    <s v="Y"/>
    <x v="1"/>
    <n v="12"/>
    <n v="3"/>
    <n v="1"/>
    <n v="80"/>
    <n v="0"/>
    <n v="5"/>
    <n v="1"/>
    <n v="4"/>
    <n v="5"/>
    <n v="2"/>
    <n v="0"/>
    <n v="3"/>
    <x v="3"/>
    <s v="Mid"/>
  </r>
  <r>
    <n v="49"/>
    <x v="1"/>
    <s v="Travel_Rarely"/>
    <n v="1418"/>
    <x v="1"/>
    <n v="1"/>
    <n v="3"/>
    <s v="Technical Degree"/>
    <n v="1"/>
    <n v="887"/>
    <n v="3"/>
    <x v="0"/>
    <n v="36"/>
    <n v="3"/>
    <n v="1"/>
    <x v="1"/>
    <n v="1"/>
    <s v="Married"/>
    <n v="3580"/>
    <n v="10554"/>
    <n v="2"/>
    <s v="Y"/>
    <x v="1"/>
    <n v="16"/>
    <n v="3"/>
    <n v="2"/>
    <n v="80"/>
    <n v="1"/>
    <n v="7"/>
    <n v="2"/>
    <n v="3"/>
    <n v="4"/>
    <n v="2"/>
    <n v="0"/>
    <n v="2"/>
    <x v="1"/>
    <s v="Mid"/>
  </r>
  <r>
    <n v="24"/>
    <x v="1"/>
    <s v="Non-Travel"/>
    <n v="1269"/>
    <x v="1"/>
    <n v="4"/>
    <n v="1"/>
    <s v="Life Sciences"/>
    <n v="1"/>
    <n v="888"/>
    <n v="1"/>
    <x v="1"/>
    <n v="46"/>
    <n v="2"/>
    <n v="1"/>
    <x v="2"/>
    <n v="4"/>
    <s v="Married"/>
    <n v="3162"/>
    <n v="10778"/>
    <n v="0"/>
    <s v="Y"/>
    <x v="1"/>
    <n v="17"/>
    <n v="3"/>
    <n v="4"/>
    <n v="80"/>
    <n v="0"/>
    <n v="6"/>
    <n v="2"/>
    <n v="2"/>
    <n v="5"/>
    <n v="2"/>
    <n v="3"/>
    <n v="4"/>
    <x v="3"/>
    <s v="Mid"/>
  </r>
  <r>
    <n v="32"/>
    <x v="1"/>
    <s v="Travel_Frequently"/>
    <n v="379"/>
    <x v="0"/>
    <n v="5"/>
    <n v="2"/>
    <s v="Life Sciences"/>
    <n v="1"/>
    <n v="889"/>
    <n v="2"/>
    <x v="1"/>
    <n v="48"/>
    <n v="3"/>
    <n v="2"/>
    <x v="0"/>
    <n v="2"/>
    <s v="Married"/>
    <n v="6524"/>
    <n v="8891"/>
    <n v="1"/>
    <s v="Y"/>
    <x v="1"/>
    <n v="14"/>
    <n v="3"/>
    <n v="4"/>
    <n v="80"/>
    <n v="1"/>
    <n v="10"/>
    <n v="3"/>
    <n v="3"/>
    <n v="10"/>
    <n v="8"/>
    <n v="5"/>
    <n v="3"/>
    <x v="2"/>
    <s v="Mid"/>
  </r>
  <r>
    <n v="38"/>
    <x v="1"/>
    <s v="Travel_Rarely"/>
    <n v="395"/>
    <x v="0"/>
    <n v="9"/>
    <n v="3"/>
    <s v="Marketing"/>
    <n v="1"/>
    <n v="893"/>
    <n v="2"/>
    <x v="1"/>
    <n v="98"/>
    <n v="2"/>
    <n v="1"/>
    <x v="6"/>
    <n v="2"/>
    <s v="Married"/>
    <n v="2899"/>
    <n v="12102"/>
    <n v="0"/>
    <s v="Y"/>
    <x v="1"/>
    <n v="19"/>
    <n v="3"/>
    <n v="4"/>
    <n v="80"/>
    <n v="1"/>
    <n v="3"/>
    <n v="3"/>
    <n v="3"/>
    <n v="2"/>
    <n v="2"/>
    <n v="1"/>
    <n v="2"/>
    <x v="0"/>
    <s v="Low"/>
  </r>
  <r>
    <n v="42"/>
    <x v="1"/>
    <s v="Travel_Rarely"/>
    <n v="1265"/>
    <x v="1"/>
    <n v="3"/>
    <n v="3"/>
    <s v="Life Sciences"/>
    <n v="1"/>
    <n v="894"/>
    <n v="3"/>
    <x v="0"/>
    <n v="95"/>
    <n v="4"/>
    <n v="2"/>
    <x v="2"/>
    <n v="4"/>
    <s v="Married"/>
    <n v="5231"/>
    <n v="23726"/>
    <n v="2"/>
    <s v="Y"/>
    <x v="0"/>
    <n v="13"/>
    <n v="3"/>
    <n v="2"/>
    <n v="80"/>
    <n v="1"/>
    <n v="17"/>
    <n v="1"/>
    <n v="2"/>
    <n v="5"/>
    <n v="3"/>
    <n v="1"/>
    <n v="3"/>
    <x v="0"/>
    <s v="Mid"/>
  </r>
  <r>
    <n v="31"/>
    <x v="1"/>
    <s v="Travel_Rarely"/>
    <n v="1222"/>
    <x v="1"/>
    <n v="11"/>
    <n v="4"/>
    <s v="Life Sciences"/>
    <n v="1"/>
    <n v="895"/>
    <n v="4"/>
    <x v="1"/>
    <n v="48"/>
    <n v="3"/>
    <n v="1"/>
    <x v="1"/>
    <n v="4"/>
    <s v="Married"/>
    <n v="2356"/>
    <n v="14871"/>
    <n v="3"/>
    <s v="Y"/>
    <x v="0"/>
    <n v="19"/>
    <n v="3"/>
    <n v="2"/>
    <n v="80"/>
    <n v="1"/>
    <n v="8"/>
    <n v="2"/>
    <n v="3"/>
    <n v="6"/>
    <n v="4"/>
    <n v="0"/>
    <n v="2"/>
    <x v="2"/>
    <s v="Low"/>
  </r>
  <r>
    <n v="29"/>
    <x v="0"/>
    <s v="Travel_Rarely"/>
    <n v="341"/>
    <x v="0"/>
    <n v="1"/>
    <n v="3"/>
    <s v="Medical"/>
    <n v="1"/>
    <n v="896"/>
    <n v="2"/>
    <x v="0"/>
    <n v="48"/>
    <n v="2"/>
    <n v="1"/>
    <x v="6"/>
    <n v="3"/>
    <s v="Divorced"/>
    <n v="2800"/>
    <n v="23522"/>
    <n v="6"/>
    <s v="Y"/>
    <x v="0"/>
    <n v="19"/>
    <n v="3"/>
    <n v="3"/>
    <n v="80"/>
    <n v="3"/>
    <n v="5"/>
    <n v="3"/>
    <n v="3"/>
    <n v="3"/>
    <n v="2"/>
    <n v="0"/>
    <n v="2"/>
    <x v="2"/>
    <s v="Low"/>
  </r>
  <r>
    <n v="53"/>
    <x v="1"/>
    <s v="Travel_Rarely"/>
    <n v="868"/>
    <x v="0"/>
    <n v="8"/>
    <n v="3"/>
    <s v="Marketing"/>
    <n v="1"/>
    <n v="897"/>
    <n v="1"/>
    <x v="1"/>
    <n v="73"/>
    <n v="3"/>
    <n v="4"/>
    <x v="0"/>
    <n v="4"/>
    <s v="Married"/>
    <n v="11836"/>
    <n v="22789"/>
    <n v="5"/>
    <s v="Y"/>
    <x v="1"/>
    <n v="14"/>
    <n v="3"/>
    <n v="3"/>
    <n v="80"/>
    <n v="1"/>
    <n v="28"/>
    <n v="3"/>
    <n v="3"/>
    <n v="2"/>
    <n v="0"/>
    <n v="2"/>
    <n v="2"/>
    <x v="1"/>
    <s v="High"/>
  </r>
  <r>
    <n v="35"/>
    <x v="1"/>
    <s v="Travel_Rarely"/>
    <n v="672"/>
    <x v="1"/>
    <n v="25"/>
    <n v="3"/>
    <s v="Technical Degree"/>
    <n v="1"/>
    <n v="899"/>
    <n v="4"/>
    <x v="1"/>
    <n v="78"/>
    <n v="2"/>
    <n v="3"/>
    <x v="3"/>
    <n v="2"/>
    <s v="Married"/>
    <n v="10903"/>
    <n v="9129"/>
    <n v="3"/>
    <s v="Y"/>
    <x v="1"/>
    <n v="16"/>
    <n v="3"/>
    <n v="1"/>
    <n v="80"/>
    <n v="0"/>
    <n v="16"/>
    <n v="2"/>
    <n v="3"/>
    <n v="13"/>
    <n v="10"/>
    <n v="4"/>
    <n v="8"/>
    <x v="2"/>
    <s v="High"/>
  </r>
  <r>
    <n v="37"/>
    <x v="1"/>
    <s v="Travel_Frequently"/>
    <n v="1231"/>
    <x v="0"/>
    <n v="21"/>
    <n v="2"/>
    <s v="Medical"/>
    <n v="1"/>
    <n v="900"/>
    <n v="3"/>
    <x v="0"/>
    <n v="54"/>
    <n v="3"/>
    <n v="1"/>
    <x v="6"/>
    <n v="4"/>
    <s v="Married"/>
    <n v="2973"/>
    <n v="21222"/>
    <n v="5"/>
    <s v="Y"/>
    <x v="1"/>
    <n v="15"/>
    <n v="3"/>
    <n v="2"/>
    <n v="80"/>
    <n v="1"/>
    <n v="10"/>
    <n v="3"/>
    <n v="3"/>
    <n v="5"/>
    <n v="4"/>
    <n v="0"/>
    <n v="0"/>
    <x v="0"/>
    <s v="Low"/>
  </r>
  <r>
    <n v="53"/>
    <x v="1"/>
    <s v="Travel_Rarely"/>
    <n v="102"/>
    <x v="1"/>
    <n v="23"/>
    <n v="4"/>
    <s v="Life Sciences"/>
    <n v="1"/>
    <n v="901"/>
    <n v="4"/>
    <x v="0"/>
    <n v="72"/>
    <n v="3"/>
    <n v="4"/>
    <x v="7"/>
    <n v="4"/>
    <s v="Single"/>
    <n v="14275"/>
    <n v="20206"/>
    <n v="6"/>
    <s v="Y"/>
    <x v="1"/>
    <n v="18"/>
    <n v="3"/>
    <n v="3"/>
    <n v="80"/>
    <n v="0"/>
    <n v="33"/>
    <n v="0"/>
    <n v="3"/>
    <n v="12"/>
    <n v="9"/>
    <n v="3"/>
    <n v="8"/>
    <x v="1"/>
    <s v="Top"/>
  </r>
  <r>
    <n v="43"/>
    <x v="1"/>
    <s v="Travel_Frequently"/>
    <n v="422"/>
    <x v="1"/>
    <n v="1"/>
    <n v="3"/>
    <s v="Life Sciences"/>
    <n v="1"/>
    <n v="902"/>
    <n v="4"/>
    <x v="0"/>
    <n v="33"/>
    <n v="3"/>
    <n v="2"/>
    <x v="4"/>
    <n v="4"/>
    <s v="Married"/>
    <n v="5562"/>
    <n v="21782"/>
    <n v="4"/>
    <s v="Y"/>
    <x v="1"/>
    <n v="13"/>
    <n v="3"/>
    <n v="2"/>
    <n v="80"/>
    <n v="1"/>
    <n v="12"/>
    <n v="2"/>
    <n v="2"/>
    <n v="5"/>
    <n v="2"/>
    <n v="2"/>
    <n v="2"/>
    <x v="0"/>
    <s v="Mid"/>
  </r>
  <r>
    <n v="47"/>
    <x v="1"/>
    <s v="Travel_Rarely"/>
    <n v="249"/>
    <x v="0"/>
    <n v="2"/>
    <n v="2"/>
    <s v="Marketing"/>
    <n v="1"/>
    <n v="903"/>
    <n v="3"/>
    <x v="0"/>
    <n v="35"/>
    <n v="3"/>
    <n v="2"/>
    <x v="0"/>
    <n v="4"/>
    <s v="Married"/>
    <n v="4537"/>
    <n v="17783"/>
    <n v="0"/>
    <s v="Y"/>
    <x v="0"/>
    <n v="22"/>
    <n v="4"/>
    <n v="1"/>
    <n v="80"/>
    <n v="1"/>
    <n v="8"/>
    <n v="2"/>
    <n v="3"/>
    <n v="7"/>
    <n v="6"/>
    <n v="7"/>
    <n v="7"/>
    <x v="1"/>
    <s v="Mid"/>
  </r>
  <r>
    <n v="37"/>
    <x v="1"/>
    <s v="Non-Travel"/>
    <n v="1252"/>
    <x v="0"/>
    <n v="19"/>
    <n v="2"/>
    <s v="Medical"/>
    <n v="1"/>
    <n v="904"/>
    <n v="1"/>
    <x v="1"/>
    <n v="32"/>
    <n v="3"/>
    <n v="3"/>
    <x v="0"/>
    <n v="2"/>
    <s v="Single"/>
    <n v="7642"/>
    <n v="4814"/>
    <n v="1"/>
    <s v="Y"/>
    <x v="0"/>
    <n v="13"/>
    <n v="3"/>
    <n v="4"/>
    <n v="80"/>
    <n v="0"/>
    <n v="10"/>
    <n v="2"/>
    <n v="3"/>
    <n v="10"/>
    <n v="0"/>
    <n v="0"/>
    <n v="9"/>
    <x v="0"/>
    <s v="High"/>
  </r>
  <r>
    <n v="50"/>
    <x v="1"/>
    <s v="Non-Travel"/>
    <n v="881"/>
    <x v="1"/>
    <n v="2"/>
    <n v="4"/>
    <s v="Life Sciences"/>
    <n v="1"/>
    <n v="905"/>
    <n v="1"/>
    <x v="1"/>
    <n v="98"/>
    <n v="3"/>
    <n v="4"/>
    <x v="5"/>
    <n v="1"/>
    <s v="Divorced"/>
    <n v="17924"/>
    <n v="4544"/>
    <n v="1"/>
    <s v="Y"/>
    <x v="1"/>
    <n v="11"/>
    <n v="3"/>
    <n v="4"/>
    <n v="80"/>
    <n v="1"/>
    <n v="31"/>
    <n v="3"/>
    <n v="3"/>
    <n v="31"/>
    <n v="6"/>
    <n v="14"/>
    <n v="7"/>
    <x v="1"/>
    <s v="Top"/>
  </r>
  <r>
    <n v="39"/>
    <x v="1"/>
    <s v="Travel_Rarely"/>
    <n v="1383"/>
    <x v="2"/>
    <n v="2"/>
    <n v="3"/>
    <s v="Life Sciences"/>
    <n v="1"/>
    <n v="909"/>
    <n v="4"/>
    <x v="0"/>
    <n v="42"/>
    <n v="2"/>
    <n v="2"/>
    <x v="8"/>
    <n v="4"/>
    <s v="Married"/>
    <n v="5204"/>
    <n v="7790"/>
    <n v="8"/>
    <s v="Y"/>
    <x v="1"/>
    <n v="11"/>
    <n v="3"/>
    <n v="3"/>
    <n v="80"/>
    <n v="2"/>
    <n v="13"/>
    <n v="2"/>
    <n v="3"/>
    <n v="5"/>
    <n v="4"/>
    <n v="0"/>
    <n v="4"/>
    <x v="0"/>
    <s v="Mid"/>
  </r>
  <r>
    <n v="33"/>
    <x v="1"/>
    <s v="Travel_Rarely"/>
    <n v="1075"/>
    <x v="2"/>
    <n v="3"/>
    <n v="2"/>
    <s v="Human Resources"/>
    <n v="1"/>
    <n v="910"/>
    <n v="4"/>
    <x v="1"/>
    <n v="57"/>
    <n v="3"/>
    <n v="1"/>
    <x v="8"/>
    <n v="2"/>
    <s v="Divorced"/>
    <n v="2277"/>
    <n v="22650"/>
    <n v="3"/>
    <s v="Y"/>
    <x v="0"/>
    <n v="11"/>
    <n v="3"/>
    <n v="3"/>
    <n v="80"/>
    <n v="1"/>
    <n v="7"/>
    <n v="4"/>
    <n v="4"/>
    <n v="4"/>
    <n v="3"/>
    <n v="0"/>
    <n v="3"/>
    <x v="2"/>
    <s v="Low"/>
  </r>
  <r>
    <n v="32"/>
    <x v="0"/>
    <s v="Travel_Rarely"/>
    <n v="374"/>
    <x v="1"/>
    <n v="25"/>
    <n v="4"/>
    <s v="Life Sciences"/>
    <n v="1"/>
    <n v="911"/>
    <n v="1"/>
    <x v="1"/>
    <n v="87"/>
    <n v="3"/>
    <n v="1"/>
    <x v="2"/>
    <n v="4"/>
    <s v="Single"/>
    <n v="2795"/>
    <n v="18016"/>
    <n v="1"/>
    <s v="Y"/>
    <x v="0"/>
    <n v="24"/>
    <n v="4"/>
    <n v="3"/>
    <n v="80"/>
    <n v="0"/>
    <n v="1"/>
    <n v="2"/>
    <n v="1"/>
    <n v="1"/>
    <n v="0"/>
    <n v="0"/>
    <n v="1"/>
    <x v="2"/>
    <s v="Low"/>
  </r>
  <r>
    <n v="29"/>
    <x v="1"/>
    <s v="Travel_Rarely"/>
    <n v="1086"/>
    <x v="1"/>
    <n v="7"/>
    <n v="1"/>
    <s v="Medical"/>
    <n v="1"/>
    <n v="912"/>
    <n v="1"/>
    <x v="0"/>
    <n v="62"/>
    <n v="2"/>
    <n v="1"/>
    <x v="2"/>
    <n v="4"/>
    <s v="Divorced"/>
    <n v="2532"/>
    <n v="6054"/>
    <n v="6"/>
    <s v="Y"/>
    <x v="1"/>
    <n v="14"/>
    <n v="3"/>
    <n v="3"/>
    <n v="80"/>
    <n v="3"/>
    <n v="8"/>
    <n v="5"/>
    <n v="3"/>
    <n v="4"/>
    <n v="3"/>
    <n v="0"/>
    <n v="3"/>
    <x v="2"/>
    <s v="Low"/>
  </r>
  <r>
    <n v="44"/>
    <x v="1"/>
    <s v="Travel_Rarely"/>
    <n v="661"/>
    <x v="1"/>
    <n v="9"/>
    <n v="2"/>
    <s v="Life Sciences"/>
    <n v="1"/>
    <n v="913"/>
    <n v="2"/>
    <x v="1"/>
    <n v="61"/>
    <n v="3"/>
    <n v="1"/>
    <x v="1"/>
    <n v="1"/>
    <s v="Married"/>
    <n v="2559"/>
    <n v="7508"/>
    <n v="1"/>
    <s v="Y"/>
    <x v="0"/>
    <n v="13"/>
    <n v="3"/>
    <n v="4"/>
    <n v="80"/>
    <n v="0"/>
    <n v="8"/>
    <n v="0"/>
    <n v="3"/>
    <n v="8"/>
    <n v="7"/>
    <n v="7"/>
    <n v="1"/>
    <x v="0"/>
    <s v="Low"/>
  </r>
  <r>
    <n v="28"/>
    <x v="1"/>
    <s v="Travel_Rarely"/>
    <n v="821"/>
    <x v="0"/>
    <n v="5"/>
    <n v="4"/>
    <s v="Medical"/>
    <n v="1"/>
    <n v="916"/>
    <n v="1"/>
    <x v="1"/>
    <n v="98"/>
    <n v="3"/>
    <n v="2"/>
    <x v="0"/>
    <n v="4"/>
    <s v="Single"/>
    <n v="4908"/>
    <n v="24252"/>
    <n v="1"/>
    <s v="Y"/>
    <x v="1"/>
    <n v="14"/>
    <n v="3"/>
    <n v="2"/>
    <n v="80"/>
    <n v="0"/>
    <n v="4"/>
    <n v="3"/>
    <n v="3"/>
    <n v="4"/>
    <n v="2"/>
    <n v="0"/>
    <n v="2"/>
    <x v="2"/>
    <s v="Mid"/>
  </r>
  <r>
    <n v="58"/>
    <x v="0"/>
    <s v="Travel_Frequently"/>
    <n v="781"/>
    <x v="1"/>
    <n v="2"/>
    <n v="1"/>
    <s v="Life Sciences"/>
    <n v="1"/>
    <n v="918"/>
    <n v="4"/>
    <x v="1"/>
    <n v="57"/>
    <n v="2"/>
    <n v="1"/>
    <x v="2"/>
    <n v="4"/>
    <s v="Divorced"/>
    <n v="2380"/>
    <n v="13384"/>
    <n v="9"/>
    <s v="Y"/>
    <x v="0"/>
    <n v="14"/>
    <n v="3"/>
    <n v="4"/>
    <n v="80"/>
    <n v="1"/>
    <n v="3"/>
    <n v="3"/>
    <n v="2"/>
    <n v="1"/>
    <n v="0"/>
    <n v="0"/>
    <n v="0"/>
    <x v="1"/>
    <s v="Low"/>
  </r>
  <r>
    <n v="43"/>
    <x v="1"/>
    <s v="Travel_Rarely"/>
    <n v="177"/>
    <x v="1"/>
    <n v="8"/>
    <n v="3"/>
    <s v="Life Sciences"/>
    <n v="1"/>
    <n v="920"/>
    <n v="1"/>
    <x v="0"/>
    <n v="55"/>
    <n v="3"/>
    <n v="2"/>
    <x v="3"/>
    <n v="2"/>
    <s v="Divorced"/>
    <n v="4765"/>
    <n v="23814"/>
    <n v="4"/>
    <s v="Y"/>
    <x v="1"/>
    <n v="21"/>
    <n v="4"/>
    <n v="3"/>
    <n v="80"/>
    <n v="1"/>
    <n v="4"/>
    <n v="2"/>
    <n v="4"/>
    <n v="1"/>
    <n v="0"/>
    <n v="0"/>
    <n v="0"/>
    <x v="0"/>
    <s v="Mid"/>
  </r>
  <r>
    <n v="20"/>
    <x v="0"/>
    <s v="Travel_Rarely"/>
    <n v="500"/>
    <x v="0"/>
    <n v="2"/>
    <n v="3"/>
    <s v="Medical"/>
    <n v="1"/>
    <n v="922"/>
    <n v="3"/>
    <x v="0"/>
    <n v="49"/>
    <n v="2"/>
    <n v="1"/>
    <x v="6"/>
    <n v="3"/>
    <s v="Single"/>
    <n v="2044"/>
    <n v="22052"/>
    <n v="1"/>
    <s v="Y"/>
    <x v="1"/>
    <n v="13"/>
    <n v="3"/>
    <n v="4"/>
    <n v="80"/>
    <n v="0"/>
    <n v="2"/>
    <n v="3"/>
    <n v="2"/>
    <n v="2"/>
    <n v="2"/>
    <n v="0"/>
    <n v="2"/>
    <x v="3"/>
    <s v="Low"/>
  </r>
  <r>
    <n v="21"/>
    <x v="0"/>
    <s v="Travel_Rarely"/>
    <n v="1427"/>
    <x v="1"/>
    <n v="18"/>
    <n v="1"/>
    <s v="Other"/>
    <n v="1"/>
    <n v="923"/>
    <n v="4"/>
    <x v="0"/>
    <n v="65"/>
    <n v="3"/>
    <n v="1"/>
    <x v="1"/>
    <n v="4"/>
    <s v="Single"/>
    <n v="2693"/>
    <n v="8870"/>
    <n v="1"/>
    <s v="Y"/>
    <x v="1"/>
    <n v="19"/>
    <n v="3"/>
    <n v="1"/>
    <n v="80"/>
    <n v="0"/>
    <n v="1"/>
    <n v="3"/>
    <n v="2"/>
    <n v="1"/>
    <n v="0"/>
    <n v="0"/>
    <n v="0"/>
    <x v="3"/>
    <s v="Low"/>
  </r>
  <r>
    <n v="36"/>
    <x v="1"/>
    <s v="Travel_Rarely"/>
    <n v="1425"/>
    <x v="1"/>
    <n v="14"/>
    <n v="1"/>
    <s v="Life Sciences"/>
    <n v="1"/>
    <n v="924"/>
    <n v="3"/>
    <x v="1"/>
    <n v="68"/>
    <n v="3"/>
    <n v="2"/>
    <x v="4"/>
    <n v="4"/>
    <s v="Married"/>
    <n v="6586"/>
    <n v="4821"/>
    <n v="0"/>
    <s v="Y"/>
    <x v="0"/>
    <n v="17"/>
    <n v="3"/>
    <n v="1"/>
    <n v="80"/>
    <n v="1"/>
    <n v="17"/>
    <n v="2"/>
    <n v="2"/>
    <n v="16"/>
    <n v="8"/>
    <n v="4"/>
    <n v="11"/>
    <x v="0"/>
    <s v="Mid"/>
  </r>
  <r>
    <n v="47"/>
    <x v="1"/>
    <s v="Travel_Rarely"/>
    <n v="1454"/>
    <x v="0"/>
    <n v="2"/>
    <n v="4"/>
    <s v="Life Sciences"/>
    <n v="1"/>
    <n v="925"/>
    <n v="4"/>
    <x v="0"/>
    <n v="65"/>
    <n v="2"/>
    <n v="1"/>
    <x v="6"/>
    <n v="4"/>
    <s v="Single"/>
    <n v="3294"/>
    <n v="13137"/>
    <n v="1"/>
    <s v="Y"/>
    <x v="0"/>
    <n v="18"/>
    <n v="3"/>
    <n v="1"/>
    <n v="80"/>
    <n v="0"/>
    <n v="3"/>
    <n v="3"/>
    <n v="2"/>
    <n v="3"/>
    <n v="2"/>
    <n v="1"/>
    <n v="2"/>
    <x v="1"/>
    <s v="Mid"/>
  </r>
  <r>
    <n v="22"/>
    <x v="0"/>
    <s v="Travel_Rarely"/>
    <n v="617"/>
    <x v="1"/>
    <n v="3"/>
    <n v="1"/>
    <s v="Life Sciences"/>
    <n v="1"/>
    <n v="926"/>
    <n v="2"/>
    <x v="0"/>
    <n v="34"/>
    <n v="3"/>
    <n v="2"/>
    <x v="3"/>
    <n v="3"/>
    <s v="Married"/>
    <n v="4171"/>
    <n v="10022"/>
    <n v="0"/>
    <s v="Y"/>
    <x v="0"/>
    <n v="19"/>
    <n v="3"/>
    <n v="1"/>
    <n v="80"/>
    <n v="1"/>
    <n v="4"/>
    <n v="3"/>
    <n v="4"/>
    <n v="3"/>
    <n v="2"/>
    <n v="0"/>
    <n v="2"/>
    <x v="3"/>
    <s v="Mid"/>
  </r>
  <r>
    <n v="41"/>
    <x v="0"/>
    <s v="Travel_Rarely"/>
    <n v="1085"/>
    <x v="1"/>
    <n v="2"/>
    <n v="4"/>
    <s v="Life Sciences"/>
    <n v="1"/>
    <n v="927"/>
    <n v="2"/>
    <x v="0"/>
    <n v="57"/>
    <n v="1"/>
    <n v="1"/>
    <x v="2"/>
    <n v="4"/>
    <s v="Divorced"/>
    <n v="2778"/>
    <n v="17725"/>
    <n v="4"/>
    <s v="Y"/>
    <x v="0"/>
    <n v="13"/>
    <n v="3"/>
    <n v="3"/>
    <n v="80"/>
    <n v="1"/>
    <n v="10"/>
    <n v="1"/>
    <n v="2"/>
    <n v="7"/>
    <n v="7"/>
    <n v="1"/>
    <n v="0"/>
    <x v="0"/>
    <s v="Low"/>
  </r>
  <r>
    <n v="28"/>
    <x v="1"/>
    <s v="Travel_Rarely"/>
    <n v="995"/>
    <x v="1"/>
    <n v="9"/>
    <n v="3"/>
    <s v="Medical"/>
    <n v="1"/>
    <n v="930"/>
    <n v="3"/>
    <x v="0"/>
    <n v="77"/>
    <n v="3"/>
    <n v="1"/>
    <x v="1"/>
    <n v="3"/>
    <s v="Divorced"/>
    <n v="2377"/>
    <n v="9834"/>
    <n v="5"/>
    <s v="Y"/>
    <x v="1"/>
    <n v="18"/>
    <n v="3"/>
    <n v="2"/>
    <n v="80"/>
    <n v="1"/>
    <n v="6"/>
    <n v="2"/>
    <n v="3"/>
    <n v="2"/>
    <n v="2"/>
    <n v="2"/>
    <n v="2"/>
    <x v="2"/>
    <s v="Low"/>
  </r>
  <r>
    <n v="39"/>
    <x v="0"/>
    <s v="Travel_Rarely"/>
    <n v="1122"/>
    <x v="1"/>
    <n v="6"/>
    <n v="3"/>
    <s v="Medical"/>
    <n v="1"/>
    <n v="932"/>
    <n v="4"/>
    <x v="1"/>
    <n v="70"/>
    <n v="3"/>
    <n v="1"/>
    <x v="2"/>
    <n v="1"/>
    <s v="Married"/>
    <n v="2404"/>
    <n v="4303"/>
    <n v="7"/>
    <s v="Y"/>
    <x v="0"/>
    <n v="21"/>
    <n v="4"/>
    <n v="4"/>
    <n v="80"/>
    <n v="0"/>
    <n v="8"/>
    <n v="2"/>
    <n v="1"/>
    <n v="2"/>
    <n v="2"/>
    <n v="2"/>
    <n v="2"/>
    <x v="0"/>
    <s v="Low"/>
  </r>
  <r>
    <n v="27"/>
    <x v="1"/>
    <s v="Travel_Rarely"/>
    <n v="618"/>
    <x v="1"/>
    <n v="4"/>
    <n v="3"/>
    <s v="Life Sciences"/>
    <n v="1"/>
    <n v="933"/>
    <n v="2"/>
    <x v="0"/>
    <n v="76"/>
    <n v="3"/>
    <n v="1"/>
    <x v="1"/>
    <n v="3"/>
    <s v="Single"/>
    <n v="2318"/>
    <n v="17808"/>
    <n v="1"/>
    <s v="Y"/>
    <x v="1"/>
    <n v="19"/>
    <n v="3"/>
    <n v="3"/>
    <n v="80"/>
    <n v="0"/>
    <n v="1"/>
    <n v="2"/>
    <n v="3"/>
    <n v="1"/>
    <n v="1"/>
    <n v="0"/>
    <n v="0"/>
    <x v="2"/>
    <s v="Low"/>
  </r>
  <r>
    <n v="34"/>
    <x v="1"/>
    <s v="Travel_Rarely"/>
    <n v="546"/>
    <x v="1"/>
    <n v="10"/>
    <n v="3"/>
    <s v="Life Sciences"/>
    <n v="1"/>
    <n v="934"/>
    <n v="2"/>
    <x v="1"/>
    <n v="83"/>
    <n v="3"/>
    <n v="1"/>
    <x v="2"/>
    <n v="2"/>
    <s v="Divorced"/>
    <n v="2008"/>
    <n v="6896"/>
    <n v="1"/>
    <s v="Y"/>
    <x v="1"/>
    <n v="14"/>
    <n v="3"/>
    <n v="2"/>
    <n v="80"/>
    <n v="2"/>
    <n v="1"/>
    <n v="3"/>
    <n v="3"/>
    <n v="1"/>
    <n v="0"/>
    <n v="1"/>
    <n v="0"/>
    <x v="2"/>
    <s v="Low"/>
  </r>
  <r>
    <n v="42"/>
    <x v="1"/>
    <s v="Travel_Rarely"/>
    <n v="462"/>
    <x v="0"/>
    <n v="14"/>
    <n v="2"/>
    <s v="Medical"/>
    <n v="1"/>
    <n v="936"/>
    <n v="3"/>
    <x v="0"/>
    <n v="68"/>
    <n v="2"/>
    <n v="2"/>
    <x v="0"/>
    <n v="3"/>
    <s v="Single"/>
    <n v="6244"/>
    <n v="7824"/>
    <n v="7"/>
    <s v="Y"/>
    <x v="1"/>
    <n v="17"/>
    <n v="3"/>
    <n v="1"/>
    <n v="80"/>
    <n v="0"/>
    <n v="10"/>
    <n v="6"/>
    <n v="3"/>
    <n v="5"/>
    <n v="4"/>
    <n v="0"/>
    <n v="3"/>
    <x v="0"/>
    <s v="Mid"/>
  </r>
  <r>
    <n v="33"/>
    <x v="1"/>
    <s v="Travel_Rarely"/>
    <n v="1198"/>
    <x v="1"/>
    <n v="1"/>
    <n v="4"/>
    <s v="Other"/>
    <n v="1"/>
    <n v="939"/>
    <n v="3"/>
    <x v="1"/>
    <n v="100"/>
    <n v="2"/>
    <n v="1"/>
    <x v="1"/>
    <n v="1"/>
    <s v="Single"/>
    <n v="2799"/>
    <n v="3339"/>
    <n v="3"/>
    <s v="Y"/>
    <x v="0"/>
    <n v="11"/>
    <n v="3"/>
    <n v="2"/>
    <n v="80"/>
    <n v="0"/>
    <n v="6"/>
    <n v="1"/>
    <n v="3"/>
    <n v="3"/>
    <n v="2"/>
    <n v="0"/>
    <n v="2"/>
    <x v="2"/>
    <s v="Low"/>
  </r>
  <r>
    <n v="58"/>
    <x v="1"/>
    <s v="Travel_Rarely"/>
    <n v="1272"/>
    <x v="1"/>
    <n v="5"/>
    <n v="3"/>
    <s v="Technical Degree"/>
    <n v="1"/>
    <n v="940"/>
    <n v="3"/>
    <x v="0"/>
    <n v="37"/>
    <n v="2"/>
    <n v="3"/>
    <x v="4"/>
    <n v="2"/>
    <s v="Divorced"/>
    <n v="10552"/>
    <n v="9255"/>
    <n v="2"/>
    <s v="Y"/>
    <x v="0"/>
    <n v="13"/>
    <n v="3"/>
    <n v="4"/>
    <n v="80"/>
    <n v="1"/>
    <n v="24"/>
    <n v="3"/>
    <n v="3"/>
    <n v="6"/>
    <n v="0"/>
    <n v="0"/>
    <n v="4"/>
    <x v="1"/>
    <s v="High"/>
  </r>
  <r>
    <n v="31"/>
    <x v="1"/>
    <s v="Travel_Rarely"/>
    <n v="154"/>
    <x v="0"/>
    <n v="7"/>
    <n v="4"/>
    <s v="Life Sciences"/>
    <n v="1"/>
    <n v="941"/>
    <n v="2"/>
    <x v="1"/>
    <n v="41"/>
    <n v="2"/>
    <n v="1"/>
    <x v="6"/>
    <n v="3"/>
    <s v="Married"/>
    <n v="2329"/>
    <n v="11737"/>
    <n v="3"/>
    <s v="Y"/>
    <x v="1"/>
    <n v="15"/>
    <n v="3"/>
    <n v="2"/>
    <n v="80"/>
    <n v="0"/>
    <n v="13"/>
    <n v="2"/>
    <n v="4"/>
    <n v="7"/>
    <n v="7"/>
    <n v="5"/>
    <n v="2"/>
    <x v="2"/>
    <s v="Low"/>
  </r>
  <r>
    <n v="35"/>
    <x v="1"/>
    <s v="Travel_Rarely"/>
    <n v="1137"/>
    <x v="1"/>
    <n v="21"/>
    <n v="1"/>
    <s v="Life Sciences"/>
    <n v="1"/>
    <n v="942"/>
    <n v="4"/>
    <x v="0"/>
    <n v="51"/>
    <n v="3"/>
    <n v="2"/>
    <x v="4"/>
    <n v="4"/>
    <s v="Married"/>
    <n v="4014"/>
    <n v="19170"/>
    <n v="1"/>
    <s v="Y"/>
    <x v="0"/>
    <n v="25"/>
    <n v="4"/>
    <n v="4"/>
    <n v="80"/>
    <n v="1"/>
    <n v="10"/>
    <n v="2"/>
    <n v="1"/>
    <n v="10"/>
    <n v="6"/>
    <n v="0"/>
    <n v="7"/>
    <x v="2"/>
    <s v="Mid"/>
  </r>
  <r>
    <n v="49"/>
    <x v="1"/>
    <s v="Travel_Rarely"/>
    <n v="527"/>
    <x v="1"/>
    <n v="8"/>
    <n v="2"/>
    <s v="Other"/>
    <n v="1"/>
    <n v="944"/>
    <n v="1"/>
    <x v="0"/>
    <n v="51"/>
    <n v="3"/>
    <n v="3"/>
    <x v="2"/>
    <n v="2"/>
    <s v="Married"/>
    <n v="7403"/>
    <n v="22477"/>
    <n v="4"/>
    <s v="Y"/>
    <x v="1"/>
    <n v="11"/>
    <n v="3"/>
    <n v="3"/>
    <n v="80"/>
    <n v="1"/>
    <n v="29"/>
    <n v="3"/>
    <n v="2"/>
    <n v="26"/>
    <n v="9"/>
    <n v="1"/>
    <n v="7"/>
    <x v="1"/>
    <s v="High"/>
  </r>
  <r>
    <n v="48"/>
    <x v="1"/>
    <s v="Travel_Rarely"/>
    <n v="1469"/>
    <x v="1"/>
    <n v="20"/>
    <n v="4"/>
    <s v="Medical"/>
    <n v="1"/>
    <n v="945"/>
    <n v="4"/>
    <x v="1"/>
    <n v="51"/>
    <n v="3"/>
    <n v="1"/>
    <x v="1"/>
    <n v="3"/>
    <s v="Married"/>
    <n v="2259"/>
    <n v="5543"/>
    <n v="4"/>
    <s v="Y"/>
    <x v="1"/>
    <n v="17"/>
    <n v="3"/>
    <n v="1"/>
    <n v="80"/>
    <n v="2"/>
    <n v="13"/>
    <n v="2"/>
    <n v="2"/>
    <n v="0"/>
    <n v="0"/>
    <n v="0"/>
    <n v="0"/>
    <x v="1"/>
    <s v="Low"/>
  </r>
  <r>
    <n v="31"/>
    <x v="1"/>
    <s v="Non-Travel"/>
    <n v="1188"/>
    <x v="0"/>
    <n v="20"/>
    <n v="2"/>
    <s v="Marketing"/>
    <n v="1"/>
    <n v="947"/>
    <n v="4"/>
    <x v="0"/>
    <n v="45"/>
    <n v="3"/>
    <n v="2"/>
    <x v="0"/>
    <n v="3"/>
    <s v="Married"/>
    <n v="6932"/>
    <n v="24406"/>
    <n v="1"/>
    <s v="Y"/>
    <x v="1"/>
    <n v="13"/>
    <n v="3"/>
    <n v="4"/>
    <n v="80"/>
    <n v="1"/>
    <n v="9"/>
    <n v="2"/>
    <n v="2"/>
    <n v="9"/>
    <n v="8"/>
    <n v="0"/>
    <n v="0"/>
    <x v="2"/>
    <s v="Mid"/>
  </r>
  <r>
    <n v="36"/>
    <x v="1"/>
    <s v="Travel_Rarely"/>
    <n v="188"/>
    <x v="1"/>
    <n v="7"/>
    <n v="4"/>
    <s v="Other"/>
    <n v="1"/>
    <n v="949"/>
    <n v="2"/>
    <x v="1"/>
    <n v="65"/>
    <n v="3"/>
    <n v="1"/>
    <x v="1"/>
    <n v="4"/>
    <s v="Single"/>
    <n v="4678"/>
    <n v="23293"/>
    <n v="2"/>
    <s v="Y"/>
    <x v="1"/>
    <n v="18"/>
    <n v="3"/>
    <n v="3"/>
    <n v="80"/>
    <n v="0"/>
    <n v="8"/>
    <n v="6"/>
    <n v="3"/>
    <n v="6"/>
    <n v="2"/>
    <n v="0"/>
    <n v="1"/>
    <x v="0"/>
    <s v="Mid"/>
  </r>
  <r>
    <n v="38"/>
    <x v="1"/>
    <s v="Travel_Rarely"/>
    <n v="1333"/>
    <x v="1"/>
    <n v="1"/>
    <n v="3"/>
    <s v="Technical Degree"/>
    <n v="1"/>
    <n v="950"/>
    <n v="4"/>
    <x v="0"/>
    <n v="80"/>
    <n v="3"/>
    <n v="3"/>
    <x v="7"/>
    <n v="1"/>
    <s v="Married"/>
    <n v="13582"/>
    <n v="16292"/>
    <n v="1"/>
    <s v="Y"/>
    <x v="1"/>
    <n v="13"/>
    <n v="3"/>
    <n v="2"/>
    <n v="80"/>
    <n v="1"/>
    <n v="15"/>
    <n v="3"/>
    <n v="3"/>
    <n v="15"/>
    <n v="12"/>
    <n v="5"/>
    <n v="11"/>
    <x v="0"/>
    <s v="Top"/>
  </r>
  <r>
    <n v="32"/>
    <x v="1"/>
    <s v="Non-Travel"/>
    <n v="1184"/>
    <x v="1"/>
    <n v="1"/>
    <n v="3"/>
    <s v="Life Sciences"/>
    <n v="1"/>
    <n v="951"/>
    <n v="3"/>
    <x v="0"/>
    <n v="70"/>
    <n v="2"/>
    <n v="1"/>
    <x v="2"/>
    <n v="2"/>
    <s v="Married"/>
    <n v="2332"/>
    <n v="3974"/>
    <n v="6"/>
    <s v="Y"/>
    <x v="1"/>
    <n v="20"/>
    <n v="4"/>
    <n v="3"/>
    <n v="80"/>
    <n v="0"/>
    <n v="5"/>
    <n v="3"/>
    <n v="3"/>
    <n v="3"/>
    <n v="0"/>
    <n v="0"/>
    <n v="2"/>
    <x v="2"/>
    <s v="Low"/>
  </r>
  <r>
    <n v="25"/>
    <x v="0"/>
    <s v="Travel_Rarely"/>
    <n v="867"/>
    <x v="0"/>
    <n v="19"/>
    <n v="2"/>
    <s v="Marketing"/>
    <n v="1"/>
    <n v="952"/>
    <n v="3"/>
    <x v="1"/>
    <n v="36"/>
    <n v="2"/>
    <n v="1"/>
    <x v="6"/>
    <n v="2"/>
    <s v="Married"/>
    <n v="2413"/>
    <n v="18798"/>
    <n v="1"/>
    <s v="Y"/>
    <x v="0"/>
    <n v="18"/>
    <n v="3"/>
    <n v="3"/>
    <n v="80"/>
    <n v="3"/>
    <n v="1"/>
    <n v="2"/>
    <n v="3"/>
    <n v="1"/>
    <n v="0"/>
    <n v="0"/>
    <n v="0"/>
    <x v="3"/>
    <s v="Low"/>
  </r>
  <r>
    <n v="40"/>
    <x v="1"/>
    <s v="Travel_Rarely"/>
    <n v="658"/>
    <x v="0"/>
    <n v="10"/>
    <n v="4"/>
    <s v="Marketing"/>
    <n v="1"/>
    <n v="954"/>
    <n v="1"/>
    <x v="1"/>
    <n v="67"/>
    <n v="2"/>
    <n v="3"/>
    <x v="0"/>
    <n v="2"/>
    <s v="Divorced"/>
    <n v="9705"/>
    <n v="20652"/>
    <n v="2"/>
    <s v="Y"/>
    <x v="1"/>
    <n v="12"/>
    <n v="3"/>
    <n v="2"/>
    <n v="80"/>
    <n v="1"/>
    <n v="11"/>
    <n v="2"/>
    <n v="2"/>
    <n v="1"/>
    <n v="0"/>
    <n v="0"/>
    <n v="0"/>
    <x v="0"/>
    <s v="High"/>
  </r>
  <r>
    <n v="26"/>
    <x v="1"/>
    <s v="Travel_Frequently"/>
    <n v="1283"/>
    <x v="0"/>
    <n v="1"/>
    <n v="3"/>
    <s v="Medical"/>
    <n v="1"/>
    <n v="956"/>
    <n v="3"/>
    <x v="1"/>
    <n v="52"/>
    <n v="2"/>
    <n v="2"/>
    <x v="0"/>
    <n v="1"/>
    <s v="Single"/>
    <n v="4294"/>
    <n v="11148"/>
    <n v="1"/>
    <s v="Y"/>
    <x v="1"/>
    <n v="12"/>
    <n v="3"/>
    <n v="2"/>
    <n v="80"/>
    <n v="0"/>
    <n v="7"/>
    <n v="2"/>
    <n v="3"/>
    <n v="7"/>
    <n v="7"/>
    <n v="0"/>
    <n v="7"/>
    <x v="2"/>
    <s v="Mid"/>
  </r>
  <r>
    <n v="41"/>
    <x v="1"/>
    <s v="Travel_Rarely"/>
    <n v="263"/>
    <x v="1"/>
    <n v="6"/>
    <n v="3"/>
    <s v="Medical"/>
    <n v="1"/>
    <n v="957"/>
    <n v="4"/>
    <x v="1"/>
    <n v="59"/>
    <n v="3"/>
    <n v="1"/>
    <x v="2"/>
    <n v="1"/>
    <s v="Single"/>
    <n v="4721"/>
    <n v="3119"/>
    <n v="2"/>
    <s v="Y"/>
    <x v="0"/>
    <n v="13"/>
    <n v="3"/>
    <n v="3"/>
    <n v="80"/>
    <n v="0"/>
    <n v="20"/>
    <n v="3"/>
    <n v="3"/>
    <n v="18"/>
    <n v="13"/>
    <n v="2"/>
    <n v="17"/>
    <x v="0"/>
    <s v="Mid"/>
  </r>
  <r>
    <n v="36"/>
    <x v="1"/>
    <s v="Travel_Rarely"/>
    <n v="938"/>
    <x v="1"/>
    <n v="2"/>
    <n v="4"/>
    <s v="Medical"/>
    <n v="1"/>
    <n v="958"/>
    <n v="3"/>
    <x v="1"/>
    <n v="79"/>
    <n v="3"/>
    <n v="1"/>
    <x v="2"/>
    <n v="3"/>
    <s v="Single"/>
    <n v="2519"/>
    <n v="12287"/>
    <n v="4"/>
    <s v="Y"/>
    <x v="1"/>
    <n v="21"/>
    <n v="4"/>
    <n v="3"/>
    <n v="80"/>
    <n v="0"/>
    <n v="16"/>
    <n v="6"/>
    <n v="3"/>
    <n v="11"/>
    <n v="8"/>
    <n v="3"/>
    <n v="9"/>
    <x v="0"/>
    <s v="Low"/>
  </r>
  <r>
    <n v="19"/>
    <x v="0"/>
    <s v="Travel_Rarely"/>
    <n v="419"/>
    <x v="0"/>
    <n v="21"/>
    <n v="3"/>
    <s v="Other"/>
    <n v="1"/>
    <n v="959"/>
    <n v="4"/>
    <x v="1"/>
    <n v="37"/>
    <n v="2"/>
    <n v="1"/>
    <x v="6"/>
    <n v="2"/>
    <s v="Single"/>
    <n v="2121"/>
    <n v="9947"/>
    <n v="1"/>
    <s v="Y"/>
    <x v="0"/>
    <n v="13"/>
    <n v="3"/>
    <n v="2"/>
    <n v="80"/>
    <n v="0"/>
    <n v="1"/>
    <n v="3"/>
    <n v="4"/>
    <n v="1"/>
    <n v="0"/>
    <n v="0"/>
    <n v="0"/>
    <x v="3"/>
    <s v="Low"/>
  </r>
  <r>
    <n v="20"/>
    <x v="0"/>
    <s v="Travel_Rarely"/>
    <n v="129"/>
    <x v="1"/>
    <n v="4"/>
    <n v="3"/>
    <s v="Technical Degree"/>
    <n v="1"/>
    <n v="960"/>
    <n v="1"/>
    <x v="1"/>
    <n v="84"/>
    <n v="3"/>
    <n v="1"/>
    <x v="2"/>
    <n v="1"/>
    <s v="Single"/>
    <n v="2973"/>
    <n v="13008"/>
    <n v="1"/>
    <s v="Y"/>
    <x v="1"/>
    <n v="19"/>
    <n v="3"/>
    <n v="2"/>
    <n v="80"/>
    <n v="0"/>
    <n v="1"/>
    <n v="2"/>
    <n v="3"/>
    <n v="1"/>
    <n v="0"/>
    <n v="0"/>
    <n v="0"/>
    <x v="3"/>
    <s v="Low"/>
  </r>
  <r>
    <n v="31"/>
    <x v="1"/>
    <s v="Travel_Rarely"/>
    <n v="616"/>
    <x v="1"/>
    <n v="12"/>
    <n v="3"/>
    <s v="Medical"/>
    <n v="1"/>
    <n v="961"/>
    <n v="4"/>
    <x v="0"/>
    <n v="41"/>
    <n v="3"/>
    <n v="2"/>
    <x v="4"/>
    <n v="4"/>
    <s v="Married"/>
    <n v="5855"/>
    <n v="17369"/>
    <n v="0"/>
    <s v="Y"/>
    <x v="0"/>
    <n v="11"/>
    <n v="3"/>
    <n v="3"/>
    <n v="80"/>
    <n v="2"/>
    <n v="10"/>
    <n v="2"/>
    <n v="1"/>
    <n v="9"/>
    <n v="7"/>
    <n v="8"/>
    <n v="5"/>
    <x v="2"/>
    <s v="Mid"/>
  </r>
  <r>
    <n v="40"/>
    <x v="1"/>
    <s v="Travel_Frequently"/>
    <n v="1469"/>
    <x v="1"/>
    <n v="9"/>
    <n v="4"/>
    <s v="Medical"/>
    <n v="1"/>
    <n v="964"/>
    <n v="4"/>
    <x v="1"/>
    <n v="35"/>
    <n v="3"/>
    <n v="1"/>
    <x v="1"/>
    <n v="2"/>
    <s v="Divorced"/>
    <n v="3617"/>
    <n v="25063"/>
    <n v="8"/>
    <s v="Y"/>
    <x v="0"/>
    <n v="14"/>
    <n v="3"/>
    <n v="4"/>
    <n v="80"/>
    <n v="1"/>
    <n v="3"/>
    <n v="2"/>
    <n v="3"/>
    <n v="1"/>
    <n v="1"/>
    <n v="0"/>
    <n v="0"/>
    <x v="0"/>
    <s v="Mid"/>
  </r>
  <r>
    <n v="32"/>
    <x v="1"/>
    <s v="Travel_Rarely"/>
    <n v="498"/>
    <x v="1"/>
    <n v="3"/>
    <n v="4"/>
    <s v="Medical"/>
    <n v="1"/>
    <n v="966"/>
    <n v="3"/>
    <x v="0"/>
    <n v="93"/>
    <n v="3"/>
    <n v="2"/>
    <x v="3"/>
    <n v="1"/>
    <s v="Married"/>
    <n v="6725"/>
    <n v="13554"/>
    <n v="1"/>
    <s v="Y"/>
    <x v="1"/>
    <n v="12"/>
    <n v="3"/>
    <n v="3"/>
    <n v="80"/>
    <n v="1"/>
    <n v="8"/>
    <n v="2"/>
    <n v="4"/>
    <n v="8"/>
    <n v="7"/>
    <n v="6"/>
    <n v="3"/>
    <x v="2"/>
    <s v="Mid"/>
  </r>
  <r>
    <n v="36"/>
    <x v="0"/>
    <s v="Travel_Rarely"/>
    <n v="530"/>
    <x v="0"/>
    <n v="3"/>
    <n v="1"/>
    <s v="Life Sciences"/>
    <n v="1"/>
    <n v="967"/>
    <n v="3"/>
    <x v="1"/>
    <n v="51"/>
    <n v="2"/>
    <n v="3"/>
    <x v="0"/>
    <n v="4"/>
    <s v="Married"/>
    <n v="10325"/>
    <n v="5518"/>
    <n v="1"/>
    <s v="Y"/>
    <x v="0"/>
    <n v="11"/>
    <n v="3"/>
    <n v="1"/>
    <n v="80"/>
    <n v="1"/>
    <n v="16"/>
    <n v="6"/>
    <n v="3"/>
    <n v="16"/>
    <n v="7"/>
    <n v="3"/>
    <n v="7"/>
    <x v="0"/>
    <s v="High"/>
  </r>
  <r>
    <n v="33"/>
    <x v="1"/>
    <s v="Travel_Rarely"/>
    <n v="1069"/>
    <x v="1"/>
    <n v="1"/>
    <n v="3"/>
    <s v="Life Sciences"/>
    <n v="1"/>
    <n v="969"/>
    <n v="2"/>
    <x v="0"/>
    <n v="42"/>
    <n v="2"/>
    <n v="2"/>
    <x v="4"/>
    <n v="4"/>
    <s v="Single"/>
    <n v="6949"/>
    <n v="12291"/>
    <n v="0"/>
    <s v="Y"/>
    <x v="1"/>
    <n v="14"/>
    <n v="3"/>
    <n v="1"/>
    <n v="80"/>
    <n v="0"/>
    <n v="6"/>
    <n v="3"/>
    <n v="3"/>
    <n v="5"/>
    <n v="0"/>
    <n v="1"/>
    <n v="4"/>
    <x v="2"/>
    <s v="Mid"/>
  </r>
  <r>
    <n v="37"/>
    <x v="0"/>
    <s v="Travel_Rarely"/>
    <n v="625"/>
    <x v="0"/>
    <n v="1"/>
    <n v="4"/>
    <s v="Life Sciences"/>
    <n v="1"/>
    <n v="970"/>
    <n v="1"/>
    <x v="1"/>
    <n v="46"/>
    <n v="2"/>
    <n v="3"/>
    <x v="0"/>
    <n v="3"/>
    <s v="Married"/>
    <n v="10609"/>
    <n v="14922"/>
    <n v="5"/>
    <s v="Y"/>
    <x v="1"/>
    <n v="11"/>
    <n v="3"/>
    <n v="3"/>
    <n v="80"/>
    <n v="0"/>
    <n v="17"/>
    <n v="2"/>
    <n v="1"/>
    <n v="14"/>
    <n v="1"/>
    <n v="11"/>
    <n v="7"/>
    <x v="0"/>
    <s v="High"/>
  </r>
  <r>
    <n v="45"/>
    <x v="1"/>
    <s v="Non-Travel"/>
    <n v="805"/>
    <x v="1"/>
    <n v="4"/>
    <n v="2"/>
    <s v="Life Sciences"/>
    <n v="1"/>
    <n v="972"/>
    <n v="3"/>
    <x v="1"/>
    <n v="57"/>
    <n v="3"/>
    <n v="2"/>
    <x v="2"/>
    <n v="2"/>
    <s v="Married"/>
    <n v="4447"/>
    <n v="23163"/>
    <n v="1"/>
    <s v="Y"/>
    <x v="1"/>
    <n v="12"/>
    <n v="3"/>
    <n v="2"/>
    <n v="80"/>
    <n v="0"/>
    <n v="9"/>
    <n v="5"/>
    <n v="2"/>
    <n v="9"/>
    <n v="7"/>
    <n v="0"/>
    <n v="8"/>
    <x v="0"/>
    <s v="Mid"/>
  </r>
  <r>
    <n v="29"/>
    <x v="1"/>
    <s v="Travel_Frequently"/>
    <n v="1404"/>
    <x v="0"/>
    <n v="20"/>
    <n v="3"/>
    <s v="Technical Degree"/>
    <n v="1"/>
    <n v="974"/>
    <n v="3"/>
    <x v="0"/>
    <n v="84"/>
    <n v="3"/>
    <n v="1"/>
    <x v="6"/>
    <n v="4"/>
    <s v="Married"/>
    <n v="2157"/>
    <n v="18203"/>
    <n v="1"/>
    <s v="Y"/>
    <x v="1"/>
    <n v="15"/>
    <n v="3"/>
    <n v="2"/>
    <n v="80"/>
    <n v="1"/>
    <n v="3"/>
    <n v="5"/>
    <n v="3"/>
    <n v="3"/>
    <n v="1"/>
    <n v="0"/>
    <n v="2"/>
    <x v="2"/>
    <s v="Low"/>
  </r>
  <r>
    <n v="35"/>
    <x v="1"/>
    <s v="Travel_Rarely"/>
    <n v="1219"/>
    <x v="0"/>
    <n v="18"/>
    <n v="3"/>
    <s v="Medical"/>
    <n v="1"/>
    <n v="975"/>
    <n v="3"/>
    <x v="0"/>
    <n v="86"/>
    <n v="3"/>
    <n v="2"/>
    <x v="0"/>
    <n v="3"/>
    <s v="Married"/>
    <n v="4601"/>
    <n v="6179"/>
    <n v="1"/>
    <s v="Y"/>
    <x v="1"/>
    <n v="16"/>
    <n v="3"/>
    <n v="2"/>
    <n v="80"/>
    <n v="0"/>
    <n v="5"/>
    <n v="3"/>
    <n v="3"/>
    <n v="5"/>
    <n v="2"/>
    <n v="1"/>
    <n v="0"/>
    <x v="2"/>
    <s v="Mid"/>
  </r>
  <r>
    <n v="52"/>
    <x v="1"/>
    <s v="Travel_Rarely"/>
    <n v="1053"/>
    <x v="1"/>
    <n v="1"/>
    <n v="2"/>
    <s v="Life Sciences"/>
    <n v="1"/>
    <n v="976"/>
    <n v="4"/>
    <x v="1"/>
    <n v="70"/>
    <n v="3"/>
    <n v="4"/>
    <x v="5"/>
    <n v="4"/>
    <s v="Married"/>
    <n v="17099"/>
    <n v="13829"/>
    <n v="2"/>
    <s v="Y"/>
    <x v="1"/>
    <n v="15"/>
    <n v="3"/>
    <n v="2"/>
    <n v="80"/>
    <n v="1"/>
    <n v="26"/>
    <n v="2"/>
    <n v="2"/>
    <n v="9"/>
    <n v="8"/>
    <n v="7"/>
    <n v="8"/>
    <x v="1"/>
    <s v="Top"/>
  </r>
  <r>
    <n v="58"/>
    <x v="0"/>
    <s v="Travel_Rarely"/>
    <n v="289"/>
    <x v="1"/>
    <n v="2"/>
    <n v="3"/>
    <s v="Technical Degree"/>
    <n v="1"/>
    <n v="977"/>
    <n v="4"/>
    <x v="1"/>
    <n v="51"/>
    <n v="3"/>
    <n v="1"/>
    <x v="1"/>
    <n v="3"/>
    <s v="Single"/>
    <n v="2479"/>
    <n v="26227"/>
    <n v="4"/>
    <s v="Y"/>
    <x v="1"/>
    <n v="24"/>
    <n v="4"/>
    <n v="1"/>
    <n v="80"/>
    <n v="0"/>
    <n v="7"/>
    <n v="4"/>
    <n v="3"/>
    <n v="1"/>
    <n v="0"/>
    <n v="0"/>
    <n v="0"/>
    <x v="1"/>
    <s v="Low"/>
  </r>
  <r>
    <n v="53"/>
    <x v="1"/>
    <s v="Travel_Rarely"/>
    <n v="1376"/>
    <x v="0"/>
    <n v="2"/>
    <n v="2"/>
    <s v="Medical"/>
    <n v="1"/>
    <n v="981"/>
    <n v="3"/>
    <x v="1"/>
    <n v="45"/>
    <n v="3"/>
    <n v="4"/>
    <x v="5"/>
    <n v="3"/>
    <s v="Divorced"/>
    <n v="14852"/>
    <n v="13938"/>
    <n v="6"/>
    <s v="Y"/>
    <x v="1"/>
    <n v="13"/>
    <n v="3"/>
    <n v="3"/>
    <n v="80"/>
    <n v="1"/>
    <n v="22"/>
    <n v="3"/>
    <n v="4"/>
    <n v="17"/>
    <n v="13"/>
    <n v="15"/>
    <n v="2"/>
    <x v="1"/>
    <s v="Top"/>
  </r>
  <r>
    <n v="30"/>
    <x v="1"/>
    <s v="Travel_Rarely"/>
    <n v="231"/>
    <x v="0"/>
    <n v="8"/>
    <n v="2"/>
    <s v="Other"/>
    <n v="1"/>
    <n v="982"/>
    <n v="3"/>
    <x v="1"/>
    <n v="62"/>
    <n v="3"/>
    <n v="3"/>
    <x v="0"/>
    <n v="3"/>
    <s v="Divorced"/>
    <n v="7264"/>
    <n v="9977"/>
    <n v="5"/>
    <s v="Y"/>
    <x v="1"/>
    <n v="11"/>
    <n v="3"/>
    <n v="1"/>
    <n v="80"/>
    <n v="1"/>
    <n v="10"/>
    <n v="2"/>
    <n v="4"/>
    <n v="8"/>
    <n v="4"/>
    <n v="7"/>
    <n v="7"/>
    <x v="2"/>
    <s v="High"/>
  </r>
  <r>
    <n v="38"/>
    <x v="1"/>
    <s v="Non-Travel"/>
    <n v="152"/>
    <x v="0"/>
    <n v="10"/>
    <n v="3"/>
    <s v="Technical Degree"/>
    <n v="1"/>
    <n v="983"/>
    <n v="3"/>
    <x v="0"/>
    <n v="85"/>
    <n v="3"/>
    <n v="2"/>
    <x v="0"/>
    <n v="4"/>
    <s v="Single"/>
    <n v="5666"/>
    <n v="19899"/>
    <n v="1"/>
    <s v="Y"/>
    <x v="0"/>
    <n v="13"/>
    <n v="3"/>
    <n v="2"/>
    <n v="80"/>
    <n v="0"/>
    <n v="6"/>
    <n v="1"/>
    <n v="3"/>
    <n v="5"/>
    <n v="3"/>
    <n v="1"/>
    <n v="3"/>
    <x v="0"/>
    <s v="Mid"/>
  </r>
  <r>
    <n v="35"/>
    <x v="1"/>
    <s v="Travel_Rarely"/>
    <n v="882"/>
    <x v="0"/>
    <n v="3"/>
    <n v="4"/>
    <s v="Life Sciences"/>
    <n v="1"/>
    <n v="984"/>
    <n v="4"/>
    <x v="1"/>
    <n v="92"/>
    <n v="3"/>
    <n v="3"/>
    <x v="0"/>
    <n v="4"/>
    <s v="Divorced"/>
    <n v="7823"/>
    <n v="6812"/>
    <n v="6"/>
    <s v="Y"/>
    <x v="1"/>
    <n v="13"/>
    <n v="3"/>
    <n v="2"/>
    <n v="80"/>
    <n v="1"/>
    <n v="12"/>
    <n v="2"/>
    <n v="3"/>
    <n v="10"/>
    <n v="9"/>
    <n v="0"/>
    <n v="8"/>
    <x v="2"/>
    <s v="High"/>
  </r>
  <r>
    <n v="39"/>
    <x v="1"/>
    <s v="Travel_Rarely"/>
    <n v="903"/>
    <x v="0"/>
    <n v="2"/>
    <n v="5"/>
    <s v="Life Sciences"/>
    <n v="1"/>
    <n v="985"/>
    <n v="1"/>
    <x v="1"/>
    <n v="41"/>
    <n v="4"/>
    <n v="3"/>
    <x v="0"/>
    <n v="3"/>
    <s v="Single"/>
    <n v="7880"/>
    <n v="2560"/>
    <n v="0"/>
    <s v="Y"/>
    <x v="1"/>
    <n v="18"/>
    <n v="3"/>
    <n v="4"/>
    <n v="80"/>
    <n v="0"/>
    <n v="9"/>
    <n v="3"/>
    <n v="3"/>
    <n v="8"/>
    <n v="7"/>
    <n v="0"/>
    <n v="7"/>
    <x v="0"/>
    <s v="High"/>
  </r>
  <r>
    <n v="40"/>
    <x v="0"/>
    <s v="Non-Travel"/>
    <n v="1479"/>
    <x v="0"/>
    <n v="24"/>
    <n v="3"/>
    <s v="Life Sciences"/>
    <n v="1"/>
    <n v="986"/>
    <n v="2"/>
    <x v="0"/>
    <n v="100"/>
    <n v="4"/>
    <n v="4"/>
    <x v="0"/>
    <n v="2"/>
    <s v="Single"/>
    <n v="13194"/>
    <n v="17071"/>
    <n v="4"/>
    <s v="Y"/>
    <x v="0"/>
    <n v="16"/>
    <n v="3"/>
    <n v="4"/>
    <n v="80"/>
    <n v="0"/>
    <n v="22"/>
    <n v="2"/>
    <n v="2"/>
    <n v="1"/>
    <n v="0"/>
    <n v="0"/>
    <n v="0"/>
    <x v="0"/>
    <s v="Top"/>
  </r>
  <r>
    <n v="47"/>
    <x v="1"/>
    <s v="Travel_Frequently"/>
    <n v="1379"/>
    <x v="1"/>
    <n v="16"/>
    <n v="4"/>
    <s v="Medical"/>
    <n v="1"/>
    <n v="987"/>
    <n v="3"/>
    <x v="1"/>
    <n v="64"/>
    <n v="4"/>
    <n v="2"/>
    <x v="3"/>
    <n v="3"/>
    <s v="Divorced"/>
    <n v="5067"/>
    <n v="6759"/>
    <n v="1"/>
    <s v="Y"/>
    <x v="0"/>
    <n v="19"/>
    <n v="3"/>
    <n v="3"/>
    <n v="80"/>
    <n v="0"/>
    <n v="20"/>
    <n v="3"/>
    <n v="4"/>
    <n v="19"/>
    <n v="10"/>
    <n v="2"/>
    <n v="7"/>
    <x v="1"/>
    <s v="Mid"/>
  </r>
  <r>
    <n v="36"/>
    <x v="1"/>
    <s v="Non-Travel"/>
    <n v="1229"/>
    <x v="0"/>
    <n v="8"/>
    <n v="4"/>
    <s v="Technical Degree"/>
    <n v="1"/>
    <n v="990"/>
    <n v="1"/>
    <x v="1"/>
    <n v="84"/>
    <n v="3"/>
    <n v="2"/>
    <x v="0"/>
    <n v="4"/>
    <s v="Divorced"/>
    <n v="5079"/>
    <n v="25952"/>
    <n v="4"/>
    <s v="Y"/>
    <x v="1"/>
    <n v="13"/>
    <n v="3"/>
    <n v="4"/>
    <n v="80"/>
    <n v="2"/>
    <n v="12"/>
    <n v="3"/>
    <n v="3"/>
    <n v="7"/>
    <n v="7"/>
    <n v="0"/>
    <n v="7"/>
    <x v="0"/>
    <s v="Mid"/>
  </r>
  <r>
    <n v="31"/>
    <x v="0"/>
    <s v="Non-Travel"/>
    <n v="335"/>
    <x v="1"/>
    <n v="9"/>
    <n v="2"/>
    <s v="Medical"/>
    <n v="1"/>
    <n v="991"/>
    <n v="3"/>
    <x v="1"/>
    <n v="46"/>
    <n v="2"/>
    <n v="1"/>
    <x v="1"/>
    <n v="1"/>
    <s v="Single"/>
    <n v="2321"/>
    <n v="10322"/>
    <n v="0"/>
    <s v="Y"/>
    <x v="0"/>
    <n v="22"/>
    <n v="4"/>
    <n v="1"/>
    <n v="80"/>
    <n v="0"/>
    <n v="4"/>
    <n v="0"/>
    <n v="3"/>
    <n v="3"/>
    <n v="2"/>
    <n v="1"/>
    <n v="2"/>
    <x v="2"/>
    <s v="Low"/>
  </r>
  <r>
    <n v="33"/>
    <x v="1"/>
    <s v="Non-Travel"/>
    <n v="722"/>
    <x v="0"/>
    <n v="17"/>
    <n v="3"/>
    <s v="Life Sciences"/>
    <n v="1"/>
    <n v="992"/>
    <n v="4"/>
    <x v="1"/>
    <n v="38"/>
    <n v="3"/>
    <n v="4"/>
    <x v="5"/>
    <n v="3"/>
    <s v="Single"/>
    <n v="17444"/>
    <n v="20489"/>
    <n v="1"/>
    <s v="Y"/>
    <x v="1"/>
    <n v="11"/>
    <n v="3"/>
    <n v="4"/>
    <n v="80"/>
    <n v="0"/>
    <n v="10"/>
    <n v="2"/>
    <n v="3"/>
    <n v="10"/>
    <n v="8"/>
    <n v="6"/>
    <n v="0"/>
    <x v="2"/>
    <s v="Top"/>
  </r>
  <r>
    <n v="29"/>
    <x v="0"/>
    <s v="Travel_Rarely"/>
    <n v="906"/>
    <x v="1"/>
    <n v="10"/>
    <n v="3"/>
    <s v="Life Sciences"/>
    <n v="1"/>
    <n v="994"/>
    <n v="4"/>
    <x v="0"/>
    <n v="92"/>
    <n v="2"/>
    <n v="1"/>
    <x v="1"/>
    <n v="1"/>
    <s v="Single"/>
    <n v="2404"/>
    <n v="11479"/>
    <n v="6"/>
    <s v="Y"/>
    <x v="0"/>
    <n v="20"/>
    <n v="4"/>
    <n v="3"/>
    <n v="80"/>
    <n v="0"/>
    <n v="3"/>
    <n v="5"/>
    <n v="3"/>
    <n v="0"/>
    <n v="0"/>
    <n v="0"/>
    <n v="0"/>
    <x v="2"/>
    <s v="Low"/>
  </r>
  <r>
    <n v="33"/>
    <x v="1"/>
    <s v="Travel_Rarely"/>
    <n v="461"/>
    <x v="1"/>
    <n v="13"/>
    <n v="1"/>
    <s v="Life Sciences"/>
    <n v="1"/>
    <n v="995"/>
    <n v="2"/>
    <x v="0"/>
    <n v="53"/>
    <n v="3"/>
    <n v="1"/>
    <x v="1"/>
    <n v="4"/>
    <s v="Single"/>
    <n v="3452"/>
    <n v="17241"/>
    <n v="3"/>
    <s v="Y"/>
    <x v="1"/>
    <n v="18"/>
    <n v="3"/>
    <n v="1"/>
    <n v="80"/>
    <n v="0"/>
    <n v="5"/>
    <n v="4"/>
    <n v="3"/>
    <n v="3"/>
    <n v="2"/>
    <n v="0"/>
    <n v="2"/>
    <x v="2"/>
    <s v="Mid"/>
  </r>
  <r>
    <n v="45"/>
    <x v="1"/>
    <s v="Travel_Rarely"/>
    <n v="974"/>
    <x v="1"/>
    <n v="1"/>
    <n v="4"/>
    <s v="Medical"/>
    <n v="1"/>
    <n v="996"/>
    <n v="4"/>
    <x v="0"/>
    <n v="91"/>
    <n v="3"/>
    <n v="1"/>
    <x v="2"/>
    <n v="4"/>
    <s v="Divorced"/>
    <n v="2270"/>
    <n v="11005"/>
    <n v="3"/>
    <s v="Y"/>
    <x v="1"/>
    <n v="14"/>
    <n v="3"/>
    <n v="4"/>
    <n v="80"/>
    <n v="2"/>
    <n v="8"/>
    <n v="2"/>
    <n v="3"/>
    <n v="5"/>
    <n v="3"/>
    <n v="0"/>
    <n v="2"/>
    <x v="0"/>
    <s v="Low"/>
  </r>
  <r>
    <n v="50"/>
    <x v="1"/>
    <s v="Travel_Rarely"/>
    <n v="1126"/>
    <x v="1"/>
    <n v="1"/>
    <n v="2"/>
    <s v="Medical"/>
    <n v="1"/>
    <n v="997"/>
    <n v="4"/>
    <x v="1"/>
    <n v="66"/>
    <n v="3"/>
    <n v="4"/>
    <x v="7"/>
    <n v="4"/>
    <s v="Divorced"/>
    <n v="17399"/>
    <n v="6615"/>
    <n v="9"/>
    <s v="Y"/>
    <x v="1"/>
    <n v="22"/>
    <n v="4"/>
    <n v="3"/>
    <n v="80"/>
    <n v="1"/>
    <n v="32"/>
    <n v="1"/>
    <n v="2"/>
    <n v="5"/>
    <n v="4"/>
    <n v="1"/>
    <n v="3"/>
    <x v="1"/>
    <s v="Top"/>
  </r>
  <r>
    <n v="33"/>
    <x v="1"/>
    <s v="Travel_Frequently"/>
    <n v="827"/>
    <x v="1"/>
    <n v="1"/>
    <n v="4"/>
    <s v="Other"/>
    <n v="1"/>
    <n v="998"/>
    <n v="3"/>
    <x v="0"/>
    <n v="84"/>
    <n v="4"/>
    <n v="2"/>
    <x v="4"/>
    <n v="2"/>
    <s v="Married"/>
    <n v="5488"/>
    <n v="20161"/>
    <n v="1"/>
    <s v="Y"/>
    <x v="0"/>
    <n v="13"/>
    <n v="3"/>
    <n v="1"/>
    <n v="80"/>
    <n v="1"/>
    <n v="6"/>
    <n v="2"/>
    <n v="3"/>
    <n v="6"/>
    <n v="5"/>
    <n v="1"/>
    <n v="2"/>
    <x v="2"/>
    <s v="Mid"/>
  </r>
  <r>
    <n v="41"/>
    <x v="1"/>
    <s v="Travel_Frequently"/>
    <n v="840"/>
    <x v="1"/>
    <n v="9"/>
    <n v="3"/>
    <s v="Medical"/>
    <n v="1"/>
    <n v="999"/>
    <n v="1"/>
    <x v="1"/>
    <n v="64"/>
    <n v="3"/>
    <n v="5"/>
    <x v="7"/>
    <n v="3"/>
    <s v="Divorced"/>
    <n v="19419"/>
    <n v="3735"/>
    <n v="2"/>
    <s v="Y"/>
    <x v="1"/>
    <n v="17"/>
    <n v="3"/>
    <n v="2"/>
    <n v="80"/>
    <n v="1"/>
    <n v="21"/>
    <n v="2"/>
    <n v="4"/>
    <n v="18"/>
    <n v="16"/>
    <n v="0"/>
    <n v="11"/>
    <x v="0"/>
    <s v="Top"/>
  </r>
  <r>
    <n v="27"/>
    <x v="1"/>
    <s v="Travel_Rarely"/>
    <n v="1134"/>
    <x v="1"/>
    <n v="16"/>
    <n v="4"/>
    <s v="Technical Degree"/>
    <n v="1"/>
    <n v="1001"/>
    <n v="3"/>
    <x v="0"/>
    <n v="37"/>
    <n v="3"/>
    <n v="1"/>
    <x v="2"/>
    <n v="2"/>
    <s v="Married"/>
    <n v="2811"/>
    <n v="12086"/>
    <n v="9"/>
    <s v="Y"/>
    <x v="1"/>
    <n v="14"/>
    <n v="3"/>
    <n v="2"/>
    <n v="80"/>
    <n v="1"/>
    <n v="4"/>
    <n v="2"/>
    <n v="3"/>
    <n v="2"/>
    <n v="2"/>
    <n v="2"/>
    <n v="2"/>
    <x v="2"/>
    <s v="Low"/>
  </r>
  <r>
    <n v="45"/>
    <x v="1"/>
    <s v="Non-Travel"/>
    <n v="248"/>
    <x v="1"/>
    <n v="23"/>
    <n v="2"/>
    <s v="Life Sciences"/>
    <n v="1"/>
    <n v="1002"/>
    <n v="4"/>
    <x v="1"/>
    <n v="42"/>
    <n v="3"/>
    <n v="2"/>
    <x v="2"/>
    <n v="1"/>
    <s v="Married"/>
    <n v="3633"/>
    <n v="14039"/>
    <n v="1"/>
    <s v="Y"/>
    <x v="0"/>
    <n v="15"/>
    <n v="3"/>
    <n v="3"/>
    <n v="80"/>
    <n v="1"/>
    <n v="9"/>
    <n v="2"/>
    <n v="3"/>
    <n v="9"/>
    <n v="8"/>
    <n v="0"/>
    <n v="8"/>
    <x v="0"/>
    <s v="Mid"/>
  </r>
  <r>
    <n v="47"/>
    <x v="1"/>
    <s v="Travel_Rarely"/>
    <n v="955"/>
    <x v="0"/>
    <n v="4"/>
    <n v="2"/>
    <s v="Life Sciences"/>
    <n v="1"/>
    <n v="1003"/>
    <n v="4"/>
    <x v="0"/>
    <n v="83"/>
    <n v="3"/>
    <n v="2"/>
    <x v="0"/>
    <n v="4"/>
    <s v="Single"/>
    <n v="4163"/>
    <n v="8571"/>
    <n v="1"/>
    <s v="Y"/>
    <x v="0"/>
    <n v="17"/>
    <n v="3"/>
    <n v="3"/>
    <n v="80"/>
    <n v="0"/>
    <n v="9"/>
    <n v="0"/>
    <n v="3"/>
    <n v="9"/>
    <n v="0"/>
    <n v="0"/>
    <n v="7"/>
    <x v="1"/>
    <s v="Mid"/>
  </r>
  <r>
    <n v="30"/>
    <x v="0"/>
    <s v="Travel_Rarely"/>
    <n v="138"/>
    <x v="1"/>
    <n v="22"/>
    <n v="3"/>
    <s v="Life Sciences"/>
    <n v="1"/>
    <n v="1004"/>
    <n v="1"/>
    <x v="0"/>
    <n v="48"/>
    <n v="3"/>
    <n v="1"/>
    <x v="1"/>
    <n v="3"/>
    <s v="Married"/>
    <n v="2132"/>
    <n v="11539"/>
    <n v="4"/>
    <s v="Y"/>
    <x v="0"/>
    <n v="11"/>
    <n v="3"/>
    <n v="2"/>
    <n v="80"/>
    <n v="0"/>
    <n v="7"/>
    <n v="2"/>
    <n v="3"/>
    <n v="5"/>
    <n v="2"/>
    <n v="0"/>
    <n v="1"/>
    <x v="2"/>
    <s v="Low"/>
  </r>
  <r>
    <n v="50"/>
    <x v="1"/>
    <s v="Travel_Rarely"/>
    <n v="939"/>
    <x v="1"/>
    <n v="24"/>
    <n v="3"/>
    <s v="Life Sciences"/>
    <n v="1"/>
    <n v="1005"/>
    <n v="4"/>
    <x v="1"/>
    <n v="95"/>
    <n v="3"/>
    <n v="4"/>
    <x v="3"/>
    <n v="3"/>
    <s v="Married"/>
    <n v="13973"/>
    <n v="4161"/>
    <n v="3"/>
    <s v="Y"/>
    <x v="0"/>
    <n v="18"/>
    <n v="3"/>
    <n v="4"/>
    <n v="80"/>
    <n v="1"/>
    <n v="22"/>
    <n v="2"/>
    <n v="3"/>
    <n v="12"/>
    <n v="11"/>
    <n v="1"/>
    <n v="5"/>
    <x v="1"/>
    <s v="Top"/>
  </r>
  <r>
    <n v="38"/>
    <x v="1"/>
    <s v="Travel_Frequently"/>
    <n v="1391"/>
    <x v="1"/>
    <n v="10"/>
    <n v="1"/>
    <s v="Medical"/>
    <n v="1"/>
    <n v="1006"/>
    <n v="3"/>
    <x v="1"/>
    <n v="66"/>
    <n v="3"/>
    <n v="1"/>
    <x v="1"/>
    <n v="3"/>
    <s v="Married"/>
    <n v="2684"/>
    <n v="12127"/>
    <n v="0"/>
    <s v="Y"/>
    <x v="1"/>
    <n v="17"/>
    <n v="3"/>
    <n v="2"/>
    <n v="80"/>
    <n v="1"/>
    <n v="3"/>
    <n v="0"/>
    <n v="2"/>
    <n v="2"/>
    <n v="1"/>
    <n v="0"/>
    <n v="2"/>
    <x v="0"/>
    <s v="Low"/>
  </r>
  <r>
    <n v="46"/>
    <x v="1"/>
    <s v="Travel_Rarely"/>
    <n v="566"/>
    <x v="1"/>
    <n v="7"/>
    <n v="2"/>
    <s v="Medical"/>
    <n v="1"/>
    <n v="1007"/>
    <n v="4"/>
    <x v="1"/>
    <n v="75"/>
    <n v="3"/>
    <n v="3"/>
    <x v="3"/>
    <n v="3"/>
    <s v="Divorced"/>
    <n v="10845"/>
    <n v="24208"/>
    <n v="6"/>
    <s v="Y"/>
    <x v="1"/>
    <n v="13"/>
    <n v="3"/>
    <n v="2"/>
    <n v="80"/>
    <n v="1"/>
    <n v="13"/>
    <n v="3"/>
    <n v="3"/>
    <n v="8"/>
    <n v="7"/>
    <n v="0"/>
    <n v="7"/>
    <x v="1"/>
    <s v="High"/>
  </r>
  <r>
    <n v="24"/>
    <x v="1"/>
    <s v="Travel_Rarely"/>
    <n v="1206"/>
    <x v="1"/>
    <n v="17"/>
    <n v="1"/>
    <s v="Medical"/>
    <n v="1"/>
    <n v="1009"/>
    <n v="4"/>
    <x v="0"/>
    <n v="41"/>
    <n v="2"/>
    <n v="2"/>
    <x v="3"/>
    <n v="3"/>
    <s v="Divorced"/>
    <n v="4377"/>
    <n v="24117"/>
    <n v="1"/>
    <s v="Y"/>
    <x v="1"/>
    <n v="15"/>
    <n v="3"/>
    <n v="2"/>
    <n v="80"/>
    <n v="2"/>
    <n v="5"/>
    <n v="6"/>
    <n v="3"/>
    <n v="4"/>
    <n v="2"/>
    <n v="3"/>
    <n v="2"/>
    <x v="3"/>
    <s v="Mid"/>
  </r>
  <r>
    <n v="35"/>
    <x v="0"/>
    <s v="Travel_Rarely"/>
    <n v="622"/>
    <x v="1"/>
    <n v="14"/>
    <n v="4"/>
    <s v="Other"/>
    <n v="1"/>
    <n v="1010"/>
    <n v="3"/>
    <x v="1"/>
    <n v="39"/>
    <n v="2"/>
    <n v="1"/>
    <x v="2"/>
    <n v="2"/>
    <s v="Divorced"/>
    <n v="3743"/>
    <n v="10074"/>
    <n v="1"/>
    <s v="Y"/>
    <x v="0"/>
    <n v="24"/>
    <n v="4"/>
    <n v="4"/>
    <n v="80"/>
    <n v="1"/>
    <n v="5"/>
    <n v="2"/>
    <n v="1"/>
    <n v="4"/>
    <n v="2"/>
    <n v="0"/>
    <n v="2"/>
    <x v="2"/>
    <s v="Mid"/>
  </r>
  <r>
    <n v="31"/>
    <x v="1"/>
    <s v="Travel_Frequently"/>
    <n v="853"/>
    <x v="1"/>
    <n v="1"/>
    <n v="1"/>
    <s v="Life Sciences"/>
    <n v="1"/>
    <n v="1011"/>
    <n v="3"/>
    <x v="0"/>
    <n v="96"/>
    <n v="3"/>
    <n v="2"/>
    <x v="3"/>
    <n v="1"/>
    <s v="Married"/>
    <n v="4148"/>
    <n v="11275"/>
    <n v="1"/>
    <s v="Y"/>
    <x v="1"/>
    <n v="12"/>
    <n v="3"/>
    <n v="3"/>
    <n v="80"/>
    <n v="1"/>
    <n v="4"/>
    <n v="1"/>
    <n v="3"/>
    <n v="4"/>
    <n v="3"/>
    <n v="0"/>
    <n v="3"/>
    <x v="2"/>
    <s v="Mid"/>
  </r>
  <r>
    <n v="18"/>
    <x v="1"/>
    <s v="Non-Travel"/>
    <n v="287"/>
    <x v="1"/>
    <n v="5"/>
    <n v="2"/>
    <s v="Life Sciences"/>
    <n v="1"/>
    <n v="1012"/>
    <n v="2"/>
    <x v="1"/>
    <n v="73"/>
    <n v="3"/>
    <n v="1"/>
    <x v="1"/>
    <n v="4"/>
    <s v="Single"/>
    <n v="1051"/>
    <n v="13493"/>
    <n v="1"/>
    <s v="Y"/>
    <x v="1"/>
    <n v="15"/>
    <n v="3"/>
    <n v="4"/>
    <n v="80"/>
    <n v="0"/>
    <n v="0"/>
    <n v="2"/>
    <n v="3"/>
    <n v="0"/>
    <n v="0"/>
    <n v="0"/>
    <n v="0"/>
    <x v="3"/>
    <s v="Low"/>
  </r>
  <r>
    <n v="54"/>
    <x v="1"/>
    <s v="Travel_Rarely"/>
    <n v="1441"/>
    <x v="1"/>
    <n v="17"/>
    <n v="3"/>
    <s v="Technical Degree"/>
    <n v="1"/>
    <n v="1013"/>
    <n v="3"/>
    <x v="0"/>
    <n v="56"/>
    <n v="3"/>
    <n v="3"/>
    <x v="3"/>
    <n v="3"/>
    <s v="Married"/>
    <n v="10739"/>
    <n v="13943"/>
    <n v="8"/>
    <s v="Y"/>
    <x v="1"/>
    <n v="11"/>
    <n v="3"/>
    <n v="3"/>
    <n v="80"/>
    <n v="1"/>
    <n v="22"/>
    <n v="2"/>
    <n v="3"/>
    <n v="10"/>
    <n v="7"/>
    <n v="0"/>
    <n v="8"/>
    <x v="1"/>
    <s v="High"/>
  </r>
  <r>
    <n v="35"/>
    <x v="1"/>
    <s v="Travel_Rarely"/>
    <n v="583"/>
    <x v="1"/>
    <n v="25"/>
    <n v="4"/>
    <s v="Medical"/>
    <n v="1"/>
    <n v="1014"/>
    <n v="3"/>
    <x v="0"/>
    <n v="57"/>
    <n v="3"/>
    <n v="3"/>
    <x v="4"/>
    <n v="3"/>
    <s v="Divorced"/>
    <n v="10388"/>
    <n v="6975"/>
    <n v="1"/>
    <s v="Y"/>
    <x v="0"/>
    <n v="11"/>
    <n v="3"/>
    <n v="3"/>
    <n v="80"/>
    <n v="1"/>
    <n v="16"/>
    <n v="3"/>
    <n v="2"/>
    <n v="16"/>
    <n v="10"/>
    <n v="10"/>
    <n v="1"/>
    <x v="2"/>
    <s v="High"/>
  </r>
  <r>
    <n v="30"/>
    <x v="1"/>
    <s v="Travel_Rarely"/>
    <n v="153"/>
    <x v="1"/>
    <n v="8"/>
    <n v="2"/>
    <s v="Life Sciences"/>
    <n v="1"/>
    <n v="1015"/>
    <n v="2"/>
    <x v="0"/>
    <n v="73"/>
    <n v="4"/>
    <n v="3"/>
    <x v="7"/>
    <n v="1"/>
    <s v="Married"/>
    <n v="11416"/>
    <n v="17802"/>
    <n v="0"/>
    <s v="Y"/>
    <x v="0"/>
    <n v="12"/>
    <n v="3"/>
    <n v="3"/>
    <n v="80"/>
    <n v="3"/>
    <n v="9"/>
    <n v="4"/>
    <n v="2"/>
    <n v="8"/>
    <n v="7"/>
    <n v="1"/>
    <n v="7"/>
    <x v="2"/>
    <s v="High"/>
  </r>
  <r>
    <n v="20"/>
    <x v="0"/>
    <s v="Travel_Rarely"/>
    <n v="1097"/>
    <x v="1"/>
    <n v="11"/>
    <n v="3"/>
    <s v="Medical"/>
    <n v="1"/>
    <n v="1016"/>
    <n v="4"/>
    <x v="0"/>
    <n v="98"/>
    <n v="2"/>
    <n v="1"/>
    <x v="1"/>
    <n v="1"/>
    <s v="Single"/>
    <n v="2600"/>
    <n v="18275"/>
    <n v="1"/>
    <s v="Y"/>
    <x v="0"/>
    <n v="15"/>
    <n v="3"/>
    <n v="1"/>
    <n v="80"/>
    <n v="0"/>
    <n v="1"/>
    <n v="2"/>
    <n v="3"/>
    <n v="1"/>
    <n v="0"/>
    <n v="0"/>
    <n v="0"/>
    <x v="3"/>
    <s v="Low"/>
  </r>
  <r>
    <n v="30"/>
    <x v="0"/>
    <s v="Travel_Frequently"/>
    <n v="109"/>
    <x v="1"/>
    <n v="5"/>
    <n v="3"/>
    <s v="Medical"/>
    <n v="1"/>
    <n v="1017"/>
    <n v="2"/>
    <x v="0"/>
    <n v="60"/>
    <n v="3"/>
    <n v="1"/>
    <x v="2"/>
    <n v="2"/>
    <s v="Single"/>
    <n v="2422"/>
    <n v="25725"/>
    <n v="0"/>
    <s v="Y"/>
    <x v="1"/>
    <n v="17"/>
    <n v="3"/>
    <n v="1"/>
    <n v="80"/>
    <n v="0"/>
    <n v="4"/>
    <n v="3"/>
    <n v="3"/>
    <n v="3"/>
    <n v="2"/>
    <n v="1"/>
    <n v="2"/>
    <x v="2"/>
    <s v="Low"/>
  </r>
  <r>
    <n v="26"/>
    <x v="1"/>
    <s v="Travel_Rarely"/>
    <n v="1066"/>
    <x v="1"/>
    <n v="2"/>
    <n v="2"/>
    <s v="Medical"/>
    <n v="1"/>
    <n v="1018"/>
    <n v="4"/>
    <x v="1"/>
    <n v="32"/>
    <n v="4"/>
    <n v="2"/>
    <x v="3"/>
    <n v="4"/>
    <s v="Married"/>
    <n v="5472"/>
    <n v="3334"/>
    <n v="1"/>
    <s v="Y"/>
    <x v="1"/>
    <n v="12"/>
    <n v="3"/>
    <n v="2"/>
    <n v="80"/>
    <n v="0"/>
    <n v="8"/>
    <n v="2"/>
    <n v="3"/>
    <n v="8"/>
    <n v="7"/>
    <n v="1"/>
    <n v="3"/>
    <x v="2"/>
    <s v="Mid"/>
  </r>
  <r>
    <n v="22"/>
    <x v="1"/>
    <s v="Travel_Rarely"/>
    <n v="217"/>
    <x v="1"/>
    <n v="8"/>
    <n v="1"/>
    <s v="Life Sciences"/>
    <n v="1"/>
    <n v="1019"/>
    <n v="2"/>
    <x v="1"/>
    <n v="94"/>
    <n v="1"/>
    <n v="1"/>
    <x v="2"/>
    <n v="1"/>
    <s v="Married"/>
    <n v="2451"/>
    <n v="6881"/>
    <n v="1"/>
    <s v="Y"/>
    <x v="1"/>
    <n v="15"/>
    <n v="3"/>
    <n v="1"/>
    <n v="80"/>
    <n v="1"/>
    <n v="4"/>
    <n v="3"/>
    <n v="2"/>
    <n v="4"/>
    <n v="3"/>
    <n v="1"/>
    <n v="1"/>
    <x v="3"/>
    <s v="Low"/>
  </r>
  <r>
    <n v="48"/>
    <x v="1"/>
    <s v="Travel_Rarely"/>
    <n v="277"/>
    <x v="1"/>
    <n v="6"/>
    <n v="3"/>
    <s v="Life Sciences"/>
    <n v="1"/>
    <n v="1022"/>
    <n v="1"/>
    <x v="1"/>
    <n v="97"/>
    <n v="2"/>
    <n v="2"/>
    <x v="4"/>
    <n v="3"/>
    <s v="Single"/>
    <n v="4240"/>
    <n v="13119"/>
    <n v="2"/>
    <s v="Y"/>
    <x v="1"/>
    <n v="13"/>
    <n v="3"/>
    <n v="4"/>
    <n v="80"/>
    <n v="0"/>
    <n v="19"/>
    <n v="0"/>
    <n v="3"/>
    <n v="2"/>
    <n v="2"/>
    <n v="2"/>
    <n v="2"/>
    <x v="1"/>
    <s v="Mid"/>
  </r>
  <r>
    <n v="48"/>
    <x v="1"/>
    <s v="Travel_Rarely"/>
    <n v="1355"/>
    <x v="1"/>
    <n v="4"/>
    <n v="4"/>
    <s v="Life Sciences"/>
    <n v="1"/>
    <n v="1024"/>
    <n v="3"/>
    <x v="1"/>
    <n v="78"/>
    <n v="2"/>
    <n v="3"/>
    <x v="4"/>
    <n v="3"/>
    <s v="Single"/>
    <n v="10999"/>
    <n v="22245"/>
    <n v="7"/>
    <s v="Y"/>
    <x v="1"/>
    <n v="14"/>
    <n v="3"/>
    <n v="2"/>
    <n v="80"/>
    <n v="0"/>
    <n v="27"/>
    <n v="3"/>
    <n v="3"/>
    <n v="15"/>
    <n v="11"/>
    <n v="4"/>
    <n v="8"/>
    <x v="1"/>
    <s v="High"/>
  </r>
  <r>
    <n v="41"/>
    <x v="1"/>
    <s v="Travel_Rarely"/>
    <n v="549"/>
    <x v="1"/>
    <n v="7"/>
    <n v="2"/>
    <s v="Medical"/>
    <n v="1"/>
    <n v="1025"/>
    <n v="4"/>
    <x v="0"/>
    <n v="42"/>
    <n v="3"/>
    <n v="2"/>
    <x v="3"/>
    <n v="3"/>
    <s v="Single"/>
    <n v="5003"/>
    <n v="23371"/>
    <n v="6"/>
    <s v="Y"/>
    <x v="1"/>
    <n v="14"/>
    <n v="3"/>
    <n v="2"/>
    <n v="80"/>
    <n v="0"/>
    <n v="8"/>
    <n v="6"/>
    <n v="3"/>
    <n v="2"/>
    <n v="2"/>
    <n v="2"/>
    <n v="1"/>
    <x v="0"/>
    <s v="Mid"/>
  </r>
  <r>
    <n v="39"/>
    <x v="1"/>
    <s v="Travel_Rarely"/>
    <n v="466"/>
    <x v="1"/>
    <n v="1"/>
    <n v="1"/>
    <s v="Life Sciences"/>
    <n v="1"/>
    <n v="1026"/>
    <n v="4"/>
    <x v="0"/>
    <n v="65"/>
    <n v="2"/>
    <n v="4"/>
    <x v="3"/>
    <n v="4"/>
    <s v="Married"/>
    <n v="12742"/>
    <n v="7060"/>
    <n v="1"/>
    <s v="Y"/>
    <x v="1"/>
    <n v="16"/>
    <n v="3"/>
    <n v="3"/>
    <n v="80"/>
    <n v="1"/>
    <n v="21"/>
    <n v="3"/>
    <n v="3"/>
    <n v="21"/>
    <n v="6"/>
    <n v="11"/>
    <n v="8"/>
    <x v="0"/>
    <s v="Top"/>
  </r>
  <r>
    <n v="27"/>
    <x v="1"/>
    <s v="Travel_Rarely"/>
    <n v="1055"/>
    <x v="1"/>
    <n v="2"/>
    <n v="4"/>
    <s v="Life Sciences"/>
    <n v="1"/>
    <n v="1027"/>
    <n v="1"/>
    <x v="0"/>
    <n v="47"/>
    <n v="3"/>
    <n v="2"/>
    <x v="3"/>
    <n v="4"/>
    <s v="Married"/>
    <n v="4227"/>
    <n v="4658"/>
    <n v="0"/>
    <s v="Y"/>
    <x v="1"/>
    <n v="18"/>
    <n v="3"/>
    <n v="2"/>
    <n v="80"/>
    <n v="1"/>
    <n v="4"/>
    <n v="2"/>
    <n v="3"/>
    <n v="3"/>
    <n v="2"/>
    <n v="2"/>
    <n v="2"/>
    <x v="2"/>
    <s v="Mid"/>
  </r>
  <r>
    <n v="35"/>
    <x v="1"/>
    <s v="Travel_Rarely"/>
    <n v="802"/>
    <x v="1"/>
    <n v="10"/>
    <n v="3"/>
    <s v="Other"/>
    <n v="1"/>
    <n v="1028"/>
    <n v="2"/>
    <x v="1"/>
    <n v="45"/>
    <n v="3"/>
    <n v="1"/>
    <x v="2"/>
    <n v="4"/>
    <s v="Divorced"/>
    <n v="3917"/>
    <n v="9541"/>
    <n v="1"/>
    <s v="Y"/>
    <x v="1"/>
    <n v="20"/>
    <n v="4"/>
    <n v="1"/>
    <n v="80"/>
    <n v="1"/>
    <n v="3"/>
    <n v="4"/>
    <n v="2"/>
    <n v="3"/>
    <n v="2"/>
    <n v="1"/>
    <n v="2"/>
    <x v="2"/>
    <s v="Mid"/>
  </r>
  <r>
    <n v="42"/>
    <x v="1"/>
    <s v="Travel_Rarely"/>
    <n v="265"/>
    <x v="0"/>
    <n v="5"/>
    <n v="2"/>
    <s v="Marketing"/>
    <n v="1"/>
    <n v="1029"/>
    <n v="4"/>
    <x v="1"/>
    <n v="90"/>
    <n v="3"/>
    <n v="5"/>
    <x v="5"/>
    <n v="3"/>
    <s v="Married"/>
    <n v="18303"/>
    <n v="7770"/>
    <n v="6"/>
    <s v="Y"/>
    <x v="1"/>
    <n v="13"/>
    <n v="3"/>
    <n v="2"/>
    <n v="80"/>
    <n v="0"/>
    <n v="21"/>
    <n v="3"/>
    <n v="4"/>
    <n v="1"/>
    <n v="0"/>
    <n v="0"/>
    <n v="0"/>
    <x v="0"/>
    <s v="Top"/>
  </r>
  <r>
    <n v="50"/>
    <x v="1"/>
    <s v="Travel_Rarely"/>
    <n v="804"/>
    <x v="1"/>
    <n v="9"/>
    <n v="3"/>
    <s v="Life Sciences"/>
    <n v="1"/>
    <n v="1030"/>
    <n v="1"/>
    <x v="1"/>
    <n v="64"/>
    <n v="3"/>
    <n v="1"/>
    <x v="2"/>
    <n v="4"/>
    <s v="Married"/>
    <n v="2380"/>
    <n v="20165"/>
    <n v="4"/>
    <s v="Y"/>
    <x v="1"/>
    <n v="18"/>
    <n v="3"/>
    <n v="2"/>
    <n v="80"/>
    <n v="0"/>
    <n v="8"/>
    <n v="5"/>
    <n v="3"/>
    <n v="1"/>
    <n v="0"/>
    <n v="0"/>
    <n v="0"/>
    <x v="1"/>
    <s v="Low"/>
  </r>
  <r>
    <n v="59"/>
    <x v="1"/>
    <s v="Travel_Rarely"/>
    <n v="715"/>
    <x v="1"/>
    <n v="2"/>
    <n v="3"/>
    <s v="Life Sciences"/>
    <n v="1"/>
    <n v="1032"/>
    <n v="3"/>
    <x v="0"/>
    <n v="69"/>
    <n v="2"/>
    <n v="4"/>
    <x v="3"/>
    <n v="4"/>
    <s v="Single"/>
    <n v="13726"/>
    <n v="21829"/>
    <n v="3"/>
    <s v="Y"/>
    <x v="0"/>
    <n v="13"/>
    <n v="3"/>
    <n v="1"/>
    <n v="80"/>
    <n v="0"/>
    <n v="30"/>
    <n v="4"/>
    <n v="3"/>
    <n v="5"/>
    <n v="3"/>
    <n v="4"/>
    <n v="3"/>
    <x v="1"/>
    <s v="Top"/>
  </r>
  <r>
    <n v="37"/>
    <x v="0"/>
    <s v="Travel_Rarely"/>
    <n v="1141"/>
    <x v="1"/>
    <n v="11"/>
    <n v="2"/>
    <s v="Medical"/>
    <n v="1"/>
    <n v="1033"/>
    <n v="1"/>
    <x v="0"/>
    <n v="61"/>
    <n v="1"/>
    <n v="2"/>
    <x v="4"/>
    <n v="2"/>
    <s v="Married"/>
    <n v="4777"/>
    <n v="14382"/>
    <n v="5"/>
    <s v="Y"/>
    <x v="1"/>
    <n v="15"/>
    <n v="3"/>
    <n v="1"/>
    <n v="80"/>
    <n v="0"/>
    <n v="15"/>
    <n v="2"/>
    <n v="1"/>
    <n v="1"/>
    <n v="0"/>
    <n v="0"/>
    <n v="0"/>
    <x v="0"/>
    <s v="Mid"/>
  </r>
  <r>
    <n v="55"/>
    <x v="1"/>
    <s v="Travel_Frequently"/>
    <n v="135"/>
    <x v="1"/>
    <n v="18"/>
    <n v="4"/>
    <s v="Medical"/>
    <n v="1"/>
    <n v="1034"/>
    <n v="3"/>
    <x v="1"/>
    <n v="62"/>
    <n v="3"/>
    <n v="2"/>
    <x v="4"/>
    <n v="2"/>
    <s v="Married"/>
    <n v="6385"/>
    <n v="12992"/>
    <n v="3"/>
    <s v="Y"/>
    <x v="0"/>
    <n v="14"/>
    <n v="3"/>
    <n v="4"/>
    <n v="80"/>
    <n v="2"/>
    <n v="17"/>
    <n v="3"/>
    <n v="3"/>
    <n v="8"/>
    <n v="7"/>
    <n v="6"/>
    <n v="7"/>
    <x v="1"/>
    <s v="Mid"/>
  </r>
  <r>
    <n v="41"/>
    <x v="1"/>
    <s v="Non-Travel"/>
    <n v="247"/>
    <x v="1"/>
    <n v="7"/>
    <n v="1"/>
    <s v="Life Sciences"/>
    <n v="1"/>
    <n v="1035"/>
    <n v="2"/>
    <x v="0"/>
    <n v="55"/>
    <n v="1"/>
    <n v="5"/>
    <x v="7"/>
    <n v="3"/>
    <s v="Divorced"/>
    <n v="19973"/>
    <n v="20284"/>
    <n v="1"/>
    <s v="Y"/>
    <x v="1"/>
    <n v="22"/>
    <n v="4"/>
    <n v="2"/>
    <n v="80"/>
    <n v="2"/>
    <n v="21"/>
    <n v="3"/>
    <n v="3"/>
    <n v="21"/>
    <n v="16"/>
    <n v="5"/>
    <n v="10"/>
    <x v="0"/>
    <s v="Top"/>
  </r>
  <r>
    <n v="38"/>
    <x v="1"/>
    <s v="Travel_Rarely"/>
    <n v="1035"/>
    <x v="0"/>
    <n v="3"/>
    <n v="4"/>
    <s v="Life Sciences"/>
    <n v="1"/>
    <n v="1036"/>
    <n v="2"/>
    <x v="1"/>
    <n v="42"/>
    <n v="3"/>
    <n v="2"/>
    <x v="0"/>
    <n v="4"/>
    <s v="Single"/>
    <n v="6861"/>
    <n v="4981"/>
    <n v="8"/>
    <s v="Y"/>
    <x v="0"/>
    <n v="12"/>
    <n v="3"/>
    <n v="3"/>
    <n v="80"/>
    <n v="0"/>
    <n v="19"/>
    <n v="1"/>
    <n v="3"/>
    <n v="1"/>
    <n v="0"/>
    <n v="0"/>
    <n v="0"/>
    <x v="0"/>
    <s v="Mid"/>
  </r>
  <r>
    <n v="26"/>
    <x v="0"/>
    <s v="Non-Travel"/>
    <n v="265"/>
    <x v="0"/>
    <n v="29"/>
    <n v="2"/>
    <s v="Medical"/>
    <n v="1"/>
    <n v="1037"/>
    <n v="2"/>
    <x v="1"/>
    <n v="79"/>
    <n v="1"/>
    <n v="2"/>
    <x v="0"/>
    <n v="1"/>
    <s v="Single"/>
    <n v="4969"/>
    <n v="21813"/>
    <n v="8"/>
    <s v="Y"/>
    <x v="1"/>
    <n v="18"/>
    <n v="3"/>
    <n v="4"/>
    <n v="80"/>
    <n v="0"/>
    <n v="7"/>
    <n v="6"/>
    <n v="3"/>
    <n v="2"/>
    <n v="2"/>
    <n v="2"/>
    <n v="2"/>
    <x v="2"/>
    <s v="Mid"/>
  </r>
  <r>
    <n v="52"/>
    <x v="0"/>
    <s v="Travel_Rarely"/>
    <n v="266"/>
    <x v="0"/>
    <n v="2"/>
    <n v="1"/>
    <s v="Marketing"/>
    <n v="1"/>
    <n v="1038"/>
    <n v="1"/>
    <x v="0"/>
    <n v="57"/>
    <n v="1"/>
    <n v="5"/>
    <x v="5"/>
    <n v="4"/>
    <s v="Married"/>
    <n v="19845"/>
    <n v="25846"/>
    <n v="1"/>
    <s v="Y"/>
    <x v="1"/>
    <n v="15"/>
    <n v="3"/>
    <n v="4"/>
    <n v="80"/>
    <n v="1"/>
    <n v="33"/>
    <n v="3"/>
    <n v="3"/>
    <n v="32"/>
    <n v="14"/>
    <n v="6"/>
    <n v="9"/>
    <x v="1"/>
    <s v="Top"/>
  </r>
  <r>
    <n v="44"/>
    <x v="1"/>
    <s v="Travel_Rarely"/>
    <n v="1448"/>
    <x v="0"/>
    <n v="28"/>
    <n v="3"/>
    <s v="Medical"/>
    <n v="1"/>
    <n v="1039"/>
    <n v="4"/>
    <x v="0"/>
    <n v="53"/>
    <n v="4"/>
    <n v="4"/>
    <x v="0"/>
    <n v="4"/>
    <s v="Married"/>
    <n v="13320"/>
    <n v="11737"/>
    <n v="3"/>
    <s v="Y"/>
    <x v="0"/>
    <n v="18"/>
    <n v="3"/>
    <n v="3"/>
    <n v="80"/>
    <n v="1"/>
    <n v="23"/>
    <n v="2"/>
    <n v="3"/>
    <n v="12"/>
    <n v="11"/>
    <n v="11"/>
    <n v="11"/>
    <x v="0"/>
    <s v="Top"/>
  </r>
  <r>
    <n v="50"/>
    <x v="1"/>
    <s v="Non-Travel"/>
    <n v="145"/>
    <x v="0"/>
    <n v="1"/>
    <n v="3"/>
    <s v="Life Sciences"/>
    <n v="1"/>
    <n v="1040"/>
    <n v="4"/>
    <x v="0"/>
    <n v="95"/>
    <n v="3"/>
    <n v="2"/>
    <x v="0"/>
    <n v="3"/>
    <s v="Married"/>
    <n v="6347"/>
    <n v="24920"/>
    <n v="0"/>
    <s v="Y"/>
    <x v="1"/>
    <n v="12"/>
    <n v="3"/>
    <n v="1"/>
    <n v="80"/>
    <n v="1"/>
    <n v="19"/>
    <n v="3"/>
    <n v="3"/>
    <n v="18"/>
    <n v="7"/>
    <n v="0"/>
    <n v="13"/>
    <x v="1"/>
    <s v="Mid"/>
  </r>
  <r>
    <n v="36"/>
    <x v="0"/>
    <s v="Travel_Rarely"/>
    <n v="885"/>
    <x v="1"/>
    <n v="16"/>
    <n v="4"/>
    <s v="Life Sciences"/>
    <n v="1"/>
    <n v="1042"/>
    <n v="3"/>
    <x v="0"/>
    <n v="43"/>
    <n v="4"/>
    <n v="1"/>
    <x v="2"/>
    <n v="1"/>
    <s v="Single"/>
    <n v="2743"/>
    <n v="8269"/>
    <n v="1"/>
    <s v="Y"/>
    <x v="1"/>
    <n v="16"/>
    <n v="3"/>
    <n v="3"/>
    <n v="80"/>
    <n v="0"/>
    <n v="18"/>
    <n v="1"/>
    <n v="3"/>
    <n v="17"/>
    <n v="13"/>
    <n v="15"/>
    <n v="14"/>
    <x v="0"/>
    <s v="Low"/>
  </r>
  <r>
    <n v="39"/>
    <x v="1"/>
    <s v="Travel_Frequently"/>
    <n v="945"/>
    <x v="1"/>
    <n v="22"/>
    <n v="3"/>
    <s v="Medical"/>
    <n v="1"/>
    <n v="1043"/>
    <n v="4"/>
    <x v="0"/>
    <n v="82"/>
    <n v="3"/>
    <n v="3"/>
    <x v="3"/>
    <n v="1"/>
    <s v="Single"/>
    <n v="10880"/>
    <n v="5083"/>
    <n v="1"/>
    <s v="Y"/>
    <x v="0"/>
    <n v="13"/>
    <n v="3"/>
    <n v="3"/>
    <n v="80"/>
    <n v="0"/>
    <n v="21"/>
    <n v="2"/>
    <n v="3"/>
    <n v="21"/>
    <n v="6"/>
    <n v="2"/>
    <n v="8"/>
    <x v="0"/>
    <s v="High"/>
  </r>
  <r>
    <n v="33"/>
    <x v="1"/>
    <s v="Non-Travel"/>
    <n v="1038"/>
    <x v="0"/>
    <n v="8"/>
    <n v="1"/>
    <s v="Life Sciences"/>
    <n v="1"/>
    <n v="1044"/>
    <n v="2"/>
    <x v="0"/>
    <n v="88"/>
    <n v="2"/>
    <n v="1"/>
    <x v="6"/>
    <n v="4"/>
    <s v="Single"/>
    <n v="2342"/>
    <n v="21437"/>
    <n v="0"/>
    <s v="Y"/>
    <x v="1"/>
    <n v="19"/>
    <n v="3"/>
    <n v="4"/>
    <n v="80"/>
    <n v="0"/>
    <n v="3"/>
    <n v="2"/>
    <n v="2"/>
    <n v="2"/>
    <n v="2"/>
    <n v="2"/>
    <n v="2"/>
    <x v="2"/>
    <s v="Low"/>
  </r>
  <r>
    <n v="45"/>
    <x v="1"/>
    <s v="Travel_Rarely"/>
    <n v="1234"/>
    <x v="0"/>
    <n v="11"/>
    <n v="2"/>
    <s v="Life Sciences"/>
    <n v="1"/>
    <n v="1045"/>
    <n v="4"/>
    <x v="0"/>
    <n v="90"/>
    <n v="3"/>
    <n v="4"/>
    <x v="5"/>
    <n v="4"/>
    <s v="Married"/>
    <n v="17650"/>
    <n v="5404"/>
    <n v="3"/>
    <s v="Y"/>
    <x v="1"/>
    <n v="13"/>
    <n v="3"/>
    <n v="2"/>
    <n v="80"/>
    <n v="1"/>
    <n v="26"/>
    <n v="4"/>
    <n v="4"/>
    <n v="9"/>
    <n v="3"/>
    <n v="1"/>
    <n v="1"/>
    <x v="0"/>
    <s v="Top"/>
  </r>
  <r>
    <n v="32"/>
    <x v="1"/>
    <s v="Non-Travel"/>
    <n v="1109"/>
    <x v="1"/>
    <n v="29"/>
    <n v="4"/>
    <s v="Medical"/>
    <n v="1"/>
    <n v="1046"/>
    <n v="4"/>
    <x v="0"/>
    <n v="69"/>
    <n v="3"/>
    <n v="1"/>
    <x v="2"/>
    <n v="3"/>
    <s v="Single"/>
    <n v="4025"/>
    <n v="11135"/>
    <n v="9"/>
    <s v="Y"/>
    <x v="1"/>
    <n v="12"/>
    <n v="3"/>
    <n v="2"/>
    <n v="80"/>
    <n v="0"/>
    <n v="10"/>
    <n v="2"/>
    <n v="3"/>
    <n v="8"/>
    <n v="7"/>
    <n v="7"/>
    <n v="7"/>
    <x v="2"/>
    <s v="Mid"/>
  </r>
  <r>
    <n v="34"/>
    <x v="1"/>
    <s v="Travel_Rarely"/>
    <n v="216"/>
    <x v="0"/>
    <n v="1"/>
    <n v="4"/>
    <s v="Marketing"/>
    <n v="1"/>
    <n v="1047"/>
    <n v="2"/>
    <x v="1"/>
    <n v="75"/>
    <n v="4"/>
    <n v="2"/>
    <x v="0"/>
    <n v="4"/>
    <s v="Divorced"/>
    <n v="9725"/>
    <n v="12278"/>
    <n v="0"/>
    <s v="Y"/>
    <x v="1"/>
    <n v="11"/>
    <n v="3"/>
    <n v="4"/>
    <n v="80"/>
    <n v="1"/>
    <n v="16"/>
    <n v="2"/>
    <n v="2"/>
    <n v="15"/>
    <n v="1"/>
    <n v="0"/>
    <n v="9"/>
    <x v="2"/>
    <s v="High"/>
  </r>
  <r>
    <n v="59"/>
    <x v="1"/>
    <s v="Travel_Rarely"/>
    <n v="1089"/>
    <x v="0"/>
    <n v="1"/>
    <n v="2"/>
    <s v="Technical Degree"/>
    <n v="1"/>
    <n v="1048"/>
    <n v="2"/>
    <x v="1"/>
    <n v="66"/>
    <n v="3"/>
    <n v="3"/>
    <x v="5"/>
    <n v="4"/>
    <s v="Married"/>
    <n v="11904"/>
    <n v="11038"/>
    <n v="3"/>
    <s v="Y"/>
    <x v="0"/>
    <n v="14"/>
    <n v="3"/>
    <n v="3"/>
    <n v="80"/>
    <n v="1"/>
    <n v="14"/>
    <n v="1"/>
    <n v="1"/>
    <n v="6"/>
    <n v="4"/>
    <n v="0"/>
    <n v="4"/>
    <x v="1"/>
    <s v="High"/>
  </r>
  <r>
    <n v="45"/>
    <x v="1"/>
    <s v="Travel_Rarely"/>
    <n v="788"/>
    <x v="2"/>
    <n v="24"/>
    <n v="4"/>
    <s v="Medical"/>
    <n v="1"/>
    <n v="1049"/>
    <n v="2"/>
    <x v="1"/>
    <n v="36"/>
    <n v="3"/>
    <n v="1"/>
    <x v="8"/>
    <n v="2"/>
    <s v="Single"/>
    <n v="2177"/>
    <n v="8318"/>
    <n v="1"/>
    <s v="Y"/>
    <x v="1"/>
    <n v="16"/>
    <n v="3"/>
    <n v="1"/>
    <n v="80"/>
    <n v="0"/>
    <n v="6"/>
    <n v="3"/>
    <n v="3"/>
    <n v="6"/>
    <n v="3"/>
    <n v="0"/>
    <n v="4"/>
    <x v="0"/>
    <s v="Low"/>
  </r>
  <r>
    <n v="53"/>
    <x v="1"/>
    <s v="Travel_Frequently"/>
    <n v="124"/>
    <x v="0"/>
    <n v="2"/>
    <n v="3"/>
    <s v="Marketing"/>
    <n v="1"/>
    <n v="1050"/>
    <n v="3"/>
    <x v="0"/>
    <n v="38"/>
    <n v="2"/>
    <n v="3"/>
    <x v="0"/>
    <n v="2"/>
    <s v="Married"/>
    <n v="7525"/>
    <n v="23537"/>
    <n v="2"/>
    <s v="Y"/>
    <x v="1"/>
    <n v="12"/>
    <n v="3"/>
    <n v="1"/>
    <n v="80"/>
    <n v="1"/>
    <n v="30"/>
    <n v="2"/>
    <n v="3"/>
    <n v="15"/>
    <n v="7"/>
    <n v="6"/>
    <n v="12"/>
    <x v="1"/>
    <s v="High"/>
  </r>
  <r>
    <n v="36"/>
    <x v="0"/>
    <s v="Travel_Rarely"/>
    <n v="660"/>
    <x v="1"/>
    <n v="15"/>
    <n v="3"/>
    <s v="Other"/>
    <n v="1"/>
    <n v="1052"/>
    <n v="1"/>
    <x v="1"/>
    <n v="81"/>
    <n v="3"/>
    <n v="2"/>
    <x v="2"/>
    <n v="3"/>
    <s v="Divorced"/>
    <n v="4834"/>
    <n v="7858"/>
    <n v="7"/>
    <s v="Y"/>
    <x v="1"/>
    <n v="14"/>
    <n v="3"/>
    <n v="2"/>
    <n v="80"/>
    <n v="1"/>
    <n v="9"/>
    <n v="3"/>
    <n v="2"/>
    <n v="1"/>
    <n v="0"/>
    <n v="0"/>
    <n v="0"/>
    <x v="0"/>
    <s v="Mid"/>
  </r>
  <r>
    <n v="26"/>
    <x v="0"/>
    <s v="Travel_Frequently"/>
    <n v="342"/>
    <x v="1"/>
    <n v="2"/>
    <n v="3"/>
    <s v="Life Sciences"/>
    <n v="1"/>
    <n v="1053"/>
    <n v="1"/>
    <x v="1"/>
    <n v="57"/>
    <n v="3"/>
    <n v="1"/>
    <x v="1"/>
    <n v="1"/>
    <s v="Married"/>
    <n v="2042"/>
    <n v="15346"/>
    <n v="6"/>
    <s v="Y"/>
    <x v="0"/>
    <n v="14"/>
    <n v="3"/>
    <n v="2"/>
    <n v="80"/>
    <n v="1"/>
    <n v="6"/>
    <n v="2"/>
    <n v="3"/>
    <n v="3"/>
    <n v="2"/>
    <n v="1"/>
    <n v="2"/>
    <x v="2"/>
    <s v="Low"/>
  </r>
  <r>
    <n v="34"/>
    <x v="1"/>
    <s v="Travel_Rarely"/>
    <n v="1333"/>
    <x v="0"/>
    <n v="10"/>
    <n v="4"/>
    <s v="Life Sciences"/>
    <n v="1"/>
    <n v="1055"/>
    <n v="3"/>
    <x v="0"/>
    <n v="87"/>
    <n v="3"/>
    <n v="1"/>
    <x v="6"/>
    <n v="3"/>
    <s v="Married"/>
    <n v="2220"/>
    <n v="18410"/>
    <n v="1"/>
    <s v="Y"/>
    <x v="0"/>
    <n v="19"/>
    <n v="3"/>
    <n v="4"/>
    <n v="80"/>
    <n v="1"/>
    <n v="1"/>
    <n v="2"/>
    <n v="3"/>
    <n v="1"/>
    <n v="1"/>
    <n v="0"/>
    <n v="0"/>
    <x v="2"/>
    <s v="Low"/>
  </r>
  <r>
    <n v="28"/>
    <x v="1"/>
    <s v="Travel_Rarely"/>
    <n v="1144"/>
    <x v="0"/>
    <n v="10"/>
    <n v="1"/>
    <s v="Medical"/>
    <n v="1"/>
    <n v="1056"/>
    <n v="4"/>
    <x v="1"/>
    <n v="74"/>
    <n v="3"/>
    <n v="1"/>
    <x v="6"/>
    <n v="2"/>
    <s v="Married"/>
    <n v="1052"/>
    <n v="23384"/>
    <n v="1"/>
    <s v="Y"/>
    <x v="1"/>
    <n v="22"/>
    <n v="4"/>
    <n v="2"/>
    <n v="80"/>
    <n v="0"/>
    <n v="1"/>
    <n v="5"/>
    <n v="3"/>
    <n v="1"/>
    <n v="0"/>
    <n v="0"/>
    <n v="0"/>
    <x v="2"/>
    <s v="Low"/>
  </r>
  <r>
    <n v="38"/>
    <x v="1"/>
    <s v="Travel_Frequently"/>
    <n v="1186"/>
    <x v="1"/>
    <n v="3"/>
    <n v="4"/>
    <s v="Other"/>
    <n v="1"/>
    <n v="1060"/>
    <n v="3"/>
    <x v="1"/>
    <n v="44"/>
    <n v="3"/>
    <n v="1"/>
    <x v="1"/>
    <n v="3"/>
    <s v="Married"/>
    <n v="2821"/>
    <n v="2997"/>
    <n v="3"/>
    <s v="Y"/>
    <x v="1"/>
    <n v="16"/>
    <n v="3"/>
    <n v="1"/>
    <n v="80"/>
    <n v="1"/>
    <n v="8"/>
    <n v="2"/>
    <n v="3"/>
    <n v="2"/>
    <n v="2"/>
    <n v="2"/>
    <n v="2"/>
    <x v="0"/>
    <s v="Low"/>
  </r>
  <r>
    <n v="50"/>
    <x v="1"/>
    <s v="Travel_Rarely"/>
    <n v="1464"/>
    <x v="1"/>
    <n v="2"/>
    <n v="4"/>
    <s v="Medical"/>
    <n v="1"/>
    <n v="1061"/>
    <n v="2"/>
    <x v="1"/>
    <n v="62"/>
    <n v="3"/>
    <n v="5"/>
    <x v="7"/>
    <n v="3"/>
    <s v="Married"/>
    <n v="19237"/>
    <n v="12853"/>
    <n v="2"/>
    <s v="Y"/>
    <x v="0"/>
    <n v="11"/>
    <n v="3"/>
    <n v="4"/>
    <n v="80"/>
    <n v="1"/>
    <n v="29"/>
    <n v="2"/>
    <n v="2"/>
    <n v="8"/>
    <n v="1"/>
    <n v="7"/>
    <n v="7"/>
    <x v="1"/>
    <s v="Top"/>
  </r>
  <r>
    <n v="37"/>
    <x v="1"/>
    <s v="Travel_Rarely"/>
    <n v="124"/>
    <x v="1"/>
    <n v="3"/>
    <n v="3"/>
    <s v="Other"/>
    <n v="1"/>
    <n v="1062"/>
    <n v="4"/>
    <x v="0"/>
    <n v="35"/>
    <n v="3"/>
    <n v="2"/>
    <x v="4"/>
    <n v="2"/>
    <s v="Single"/>
    <n v="4107"/>
    <n v="13848"/>
    <n v="3"/>
    <s v="Y"/>
    <x v="1"/>
    <n v="15"/>
    <n v="3"/>
    <n v="1"/>
    <n v="80"/>
    <n v="0"/>
    <n v="8"/>
    <n v="3"/>
    <n v="2"/>
    <n v="4"/>
    <n v="3"/>
    <n v="0"/>
    <n v="1"/>
    <x v="0"/>
    <s v="Mid"/>
  </r>
  <r>
    <n v="40"/>
    <x v="1"/>
    <s v="Travel_Rarely"/>
    <n v="300"/>
    <x v="0"/>
    <n v="26"/>
    <n v="3"/>
    <s v="Marketing"/>
    <n v="1"/>
    <n v="1066"/>
    <n v="3"/>
    <x v="1"/>
    <n v="74"/>
    <n v="3"/>
    <n v="2"/>
    <x v="0"/>
    <n v="1"/>
    <s v="Married"/>
    <n v="8396"/>
    <n v="22217"/>
    <n v="1"/>
    <s v="Y"/>
    <x v="1"/>
    <n v="14"/>
    <n v="3"/>
    <n v="2"/>
    <n v="80"/>
    <n v="1"/>
    <n v="8"/>
    <n v="3"/>
    <n v="2"/>
    <n v="7"/>
    <n v="7"/>
    <n v="7"/>
    <n v="5"/>
    <x v="0"/>
    <s v="High"/>
  </r>
  <r>
    <n v="26"/>
    <x v="1"/>
    <s v="Travel_Frequently"/>
    <n v="921"/>
    <x v="1"/>
    <n v="1"/>
    <n v="1"/>
    <s v="Medical"/>
    <n v="1"/>
    <n v="1068"/>
    <n v="1"/>
    <x v="0"/>
    <n v="66"/>
    <n v="2"/>
    <n v="1"/>
    <x v="1"/>
    <n v="3"/>
    <s v="Divorced"/>
    <n v="2007"/>
    <n v="25265"/>
    <n v="1"/>
    <s v="Y"/>
    <x v="1"/>
    <n v="13"/>
    <n v="3"/>
    <n v="3"/>
    <n v="80"/>
    <n v="2"/>
    <n v="5"/>
    <n v="5"/>
    <n v="3"/>
    <n v="5"/>
    <n v="3"/>
    <n v="1"/>
    <n v="3"/>
    <x v="2"/>
    <s v="Low"/>
  </r>
  <r>
    <n v="46"/>
    <x v="1"/>
    <s v="Travel_Rarely"/>
    <n v="430"/>
    <x v="1"/>
    <n v="1"/>
    <n v="4"/>
    <s v="Medical"/>
    <n v="1"/>
    <n v="1069"/>
    <n v="4"/>
    <x v="1"/>
    <n v="40"/>
    <n v="3"/>
    <n v="5"/>
    <x v="7"/>
    <n v="4"/>
    <s v="Divorced"/>
    <n v="19627"/>
    <n v="21445"/>
    <n v="9"/>
    <s v="Y"/>
    <x v="1"/>
    <n v="17"/>
    <n v="3"/>
    <n v="4"/>
    <n v="80"/>
    <n v="2"/>
    <n v="23"/>
    <n v="0"/>
    <n v="3"/>
    <n v="2"/>
    <n v="2"/>
    <n v="2"/>
    <n v="2"/>
    <x v="1"/>
    <s v="Top"/>
  </r>
  <r>
    <n v="54"/>
    <x v="1"/>
    <s v="Travel_Rarely"/>
    <n v="1082"/>
    <x v="0"/>
    <n v="2"/>
    <n v="4"/>
    <s v="Life Sciences"/>
    <n v="1"/>
    <n v="1070"/>
    <n v="3"/>
    <x v="0"/>
    <n v="41"/>
    <n v="2"/>
    <n v="3"/>
    <x v="0"/>
    <n v="3"/>
    <s v="Married"/>
    <n v="10686"/>
    <n v="8392"/>
    <n v="6"/>
    <s v="Y"/>
    <x v="1"/>
    <n v="11"/>
    <n v="3"/>
    <n v="2"/>
    <n v="80"/>
    <n v="1"/>
    <n v="13"/>
    <n v="4"/>
    <n v="3"/>
    <n v="9"/>
    <n v="4"/>
    <n v="7"/>
    <n v="0"/>
    <x v="1"/>
    <s v="High"/>
  </r>
  <r>
    <n v="56"/>
    <x v="1"/>
    <s v="Travel_Frequently"/>
    <n v="1240"/>
    <x v="1"/>
    <n v="9"/>
    <n v="3"/>
    <s v="Medical"/>
    <n v="1"/>
    <n v="1071"/>
    <n v="1"/>
    <x v="0"/>
    <n v="63"/>
    <n v="3"/>
    <n v="1"/>
    <x v="1"/>
    <n v="3"/>
    <s v="Married"/>
    <n v="2942"/>
    <n v="12154"/>
    <n v="2"/>
    <s v="Y"/>
    <x v="1"/>
    <n v="19"/>
    <n v="3"/>
    <n v="2"/>
    <n v="80"/>
    <n v="1"/>
    <n v="18"/>
    <n v="4"/>
    <n v="3"/>
    <n v="5"/>
    <n v="4"/>
    <n v="0"/>
    <n v="3"/>
    <x v="1"/>
    <s v="Low"/>
  </r>
  <r>
    <n v="36"/>
    <x v="1"/>
    <s v="Travel_Rarely"/>
    <n v="796"/>
    <x v="1"/>
    <n v="12"/>
    <n v="5"/>
    <s v="Medical"/>
    <n v="1"/>
    <n v="1073"/>
    <n v="4"/>
    <x v="0"/>
    <n v="51"/>
    <n v="2"/>
    <n v="3"/>
    <x v="3"/>
    <n v="4"/>
    <s v="Single"/>
    <n v="8858"/>
    <n v="15669"/>
    <n v="0"/>
    <s v="Y"/>
    <x v="1"/>
    <n v="11"/>
    <n v="3"/>
    <n v="2"/>
    <n v="80"/>
    <n v="0"/>
    <n v="15"/>
    <n v="2"/>
    <n v="2"/>
    <n v="14"/>
    <n v="8"/>
    <n v="7"/>
    <n v="8"/>
    <x v="0"/>
    <s v="High"/>
  </r>
  <r>
    <n v="55"/>
    <x v="1"/>
    <s v="Non-Travel"/>
    <n v="444"/>
    <x v="1"/>
    <n v="2"/>
    <n v="1"/>
    <s v="Medical"/>
    <n v="1"/>
    <n v="1074"/>
    <n v="3"/>
    <x v="1"/>
    <n v="40"/>
    <n v="2"/>
    <n v="4"/>
    <x v="5"/>
    <n v="1"/>
    <s v="Single"/>
    <n v="16756"/>
    <n v="17323"/>
    <n v="7"/>
    <s v="Y"/>
    <x v="1"/>
    <n v="15"/>
    <n v="3"/>
    <n v="2"/>
    <n v="80"/>
    <n v="0"/>
    <n v="31"/>
    <n v="3"/>
    <n v="4"/>
    <n v="9"/>
    <n v="7"/>
    <n v="6"/>
    <n v="2"/>
    <x v="1"/>
    <s v="Top"/>
  </r>
  <r>
    <n v="43"/>
    <x v="1"/>
    <s v="Travel_Rarely"/>
    <n v="415"/>
    <x v="0"/>
    <n v="25"/>
    <n v="3"/>
    <s v="Medical"/>
    <n v="1"/>
    <n v="1076"/>
    <n v="3"/>
    <x v="1"/>
    <n v="79"/>
    <n v="2"/>
    <n v="3"/>
    <x v="0"/>
    <n v="4"/>
    <s v="Divorced"/>
    <n v="10798"/>
    <n v="5268"/>
    <n v="5"/>
    <s v="Y"/>
    <x v="1"/>
    <n v="13"/>
    <n v="3"/>
    <n v="3"/>
    <n v="80"/>
    <n v="1"/>
    <n v="18"/>
    <n v="5"/>
    <n v="3"/>
    <n v="1"/>
    <n v="0"/>
    <n v="0"/>
    <n v="0"/>
    <x v="0"/>
    <s v="High"/>
  </r>
  <r>
    <n v="20"/>
    <x v="0"/>
    <s v="Travel_Frequently"/>
    <n v="769"/>
    <x v="0"/>
    <n v="9"/>
    <n v="3"/>
    <s v="Marketing"/>
    <n v="1"/>
    <n v="1077"/>
    <n v="4"/>
    <x v="0"/>
    <n v="54"/>
    <n v="3"/>
    <n v="1"/>
    <x v="6"/>
    <n v="4"/>
    <s v="Single"/>
    <n v="2323"/>
    <n v="17205"/>
    <n v="1"/>
    <s v="Y"/>
    <x v="0"/>
    <n v="14"/>
    <n v="3"/>
    <n v="2"/>
    <n v="80"/>
    <n v="0"/>
    <n v="2"/>
    <n v="3"/>
    <n v="3"/>
    <n v="2"/>
    <n v="2"/>
    <n v="0"/>
    <n v="2"/>
    <x v="3"/>
    <s v="Low"/>
  </r>
  <r>
    <n v="21"/>
    <x v="0"/>
    <s v="Travel_Rarely"/>
    <n v="1334"/>
    <x v="1"/>
    <n v="10"/>
    <n v="3"/>
    <s v="Life Sciences"/>
    <n v="1"/>
    <n v="1079"/>
    <n v="3"/>
    <x v="0"/>
    <n v="36"/>
    <n v="2"/>
    <n v="1"/>
    <x v="2"/>
    <n v="1"/>
    <s v="Single"/>
    <n v="1416"/>
    <n v="17258"/>
    <n v="1"/>
    <s v="Y"/>
    <x v="1"/>
    <n v="13"/>
    <n v="3"/>
    <n v="1"/>
    <n v="80"/>
    <n v="0"/>
    <n v="1"/>
    <n v="6"/>
    <n v="2"/>
    <n v="1"/>
    <n v="0"/>
    <n v="1"/>
    <n v="0"/>
    <x v="3"/>
    <s v="Low"/>
  </r>
  <r>
    <n v="46"/>
    <x v="1"/>
    <s v="Travel_Rarely"/>
    <n v="1003"/>
    <x v="1"/>
    <n v="8"/>
    <n v="4"/>
    <s v="Life Sciences"/>
    <n v="1"/>
    <n v="1080"/>
    <n v="4"/>
    <x v="0"/>
    <n v="74"/>
    <n v="2"/>
    <n v="2"/>
    <x v="1"/>
    <n v="1"/>
    <s v="Divorced"/>
    <n v="4615"/>
    <n v="21029"/>
    <n v="8"/>
    <s v="Y"/>
    <x v="0"/>
    <n v="23"/>
    <n v="4"/>
    <n v="1"/>
    <n v="80"/>
    <n v="3"/>
    <n v="19"/>
    <n v="2"/>
    <n v="3"/>
    <n v="16"/>
    <n v="13"/>
    <n v="1"/>
    <n v="7"/>
    <x v="1"/>
    <s v="Mid"/>
  </r>
  <r>
    <n v="51"/>
    <x v="0"/>
    <s v="Travel_Rarely"/>
    <n v="1323"/>
    <x v="1"/>
    <n v="4"/>
    <n v="4"/>
    <s v="Life Sciences"/>
    <n v="1"/>
    <n v="1081"/>
    <n v="1"/>
    <x v="1"/>
    <n v="34"/>
    <n v="3"/>
    <n v="1"/>
    <x v="1"/>
    <n v="3"/>
    <s v="Married"/>
    <n v="2461"/>
    <n v="10332"/>
    <n v="9"/>
    <s v="Y"/>
    <x v="0"/>
    <n v="12"/>
    <n v="3"/>
    <n v="3"/>
    <n v="80"/>
    <n v="3"/>
    <n v="18"/>
    <n v="2"/>
    <n v="4"/>
    <n v="10"/>
    <n v="0"/>
    <n v="2"/>
    <n v="7"/>
    <x v="1"/>
    <s v="Low"/>
  </r>
  <r>
    <n v="28"/>
    <x v="0"/>
    <s v="Non-Travel"/>
    <n v="1366"/>
    <x v="1"/>
    <n v="24"/>
    <n v="2"/>
    <s v="Technical Degree"/>
    <n v="1"/>
    <n v="1082"/>
    <n v="2"/>
    <x v="1"/>
    <n v="72"/>
    <n v="2"/>
    <n v="3"/>
    <x v="4"/>
    <n v="1"/>
    <s v="Single"/>
    <n v="8722"/>
    <n v="12355"/>
    <n v="1"/>
    <s v="Y"/>
    <x v="1"/>
    <n v="12"/>
    <n v="3"/>
    <n v="1"/>
    <n v="80"/>
    <n v="0"/>
    <n v="10"/>
    <n v="2"/>
    <n v="2"/>
    <n v="10"/>
    <n v="7"/>
    <n v="1"/>
    <n v="9"/>
    <x v="2"/>
    <s v="High"/>
  </r>
  <r>
    <n v="26"/>
    <x v="1"/>
    <s v="Travel_Rarely"/>
    <n v="192"/>
    <x v="1"/>
    <n v="1"/>
    <n v="2"/>
    <s v="Medical"/>
    <n v="1"/>
    <n v="1083"/>
    <n v="1"/>
    <x v="1"/>
    <n v="59"/>
    <n v="2"/>
    <n v="1"/>
    <x v="2"/>
    <n v="1"/>
    <s v="Married"/>
    <n v="3955"/>
    <n v="11141"/>
    <n v="1"/>
    <s v="Y"/>
    <x v="1"/>
    <n v="16"/>
    <n v="3"/>
    <n v="1"/>
    <n v="80"/>
    <n v="2"/>
    <n v="6"/>
    <n v="2"/>
    <n v="3"/>
    <n v="5"/>
    <n v="3"/>
    <n v="1"/>
    <n v="3"/>
    <x v="2"/>
    <s v="Mid"/>
  </r>
  <r>
    <n v="30"/>
    <x v="1"/>
    <s v="Travel_Rarely"/>
    <n v="1176"/>
    <x v="1"/>
    <n v="20"/>
    <n v="3"/>
    <s v="Other"/>
    <n v="1"/>
    <n v="1084"/>
    <n v="3"/>
    <x v="1"/>
    <n v="85"/>
    <n v="3"/>
    <n v="2"/>
    <x v="3"/>
    <n v="1"/>
    <s v="Married"/>
    <n v="9957"/>
    <n v="9096"/>
    <n v="0"/>
    <s v="Y"/>
    <x v="1"/>
    <n v="15"/>
    <n v="3"/>
    <n v="3"/>
    <n v="80"/>
    <n v="1"/>
    <n v="7"/>
    <n v="1"/>
    <n v="2"/>
    <n v="6"/>
    <n v="2"/>
    <n v="0"/>
    <n v="2"/>
    <x v="2"/>
    <s v="High"/>
  </r>
  <r>
    <n v="41"/>
    <x v="1"/>
    <s v="Travel_Rarely"/>
    <n v="509"/>
    <x v="1"/>
    <n v="7"/>
    <n v="2"/>
    <s v="Technical Degree"/>
    <n v="1"/>
    <n v="1085"/>
    <n v="2"/>
    <x v="0"/>
    <n v="43"/>
    <n v="4"/>
    <n v="1"/>
    <x v="1"/>
    <n v="3"/>
    <s v="Married"/>
    <n v="3376"/>
    <n v="18863"/>
    <n v="1"/>
    <s v="Y"/>
    <x v="1"/>
    <n v="13"/>
    <n v="3"/>
    <n v="3"/>
    <n v="80"/>
    <n v="0"/>
    <n v="10"/>
    <n v="3"/>
    <n v="3"/>
    <n v="10"/>
    <n v="6"/>
    <n v="0"/>
    <n v="8"/>
    <x v="0"/>
    <s v="Mid"/>
  </r>
  <r>
    <n v="38"/>
    <x v="1"/>
    <s v="Travel_Rarely"/>
    <n v="330"/>
    <x v="1"/>
    <n v="17"/>
    <n v="1"/>
    <s v="Life Sciences"/>
    <n v="1"/>
    <n v="1088"/>
    <n v="3"/>
    <x v="0"/>
    <n v="65"/>
    <n v="2"/>
    <n v="3"/>
    <x v="4"/>
    <n v="3"/>
    <s v="Married"/>
    <n v="8823"/>
    <n v="24608"/>
    <n v="0"/>
    <s v="Y"/>
    <x v="1"/>
    <n v="18"/>
    <n v="3"/>
    <n v="1"/>
    <n v="80"/>
    <n v="1"/>
    <n v="20"/>
    <n v="4"/>
    <n v="2"/>
    <n v="19"/>
    <n v="9"/>
    <n v="1"/>
    <n v="9"/>
    <x v="0"/>
    <s v="High"/>
  </r>
  <r>
    <n v="40"/>
    <x v="1"/>
    <s v="Travel_Rarely"/>
    <n v="1492"/>
    <x v="1"/>
    <n v="20"/>
    <n v="4"/>
    <s v="Technical Degree"/>
    <n v="1"/>
    <n v="1092"/>
    <n v="1"/>
    <x v="1"/>
    <n v="61"/>
    <n v="3"/>
    <n v="3"/>
    <x v="4"/>
    <n v="4"/>
    <s v="Married"/>
    <n v="10322"/>
    <n v="26542"/>
    <n v="4"/>
    <s v="Y"/>
    <x v="1"/>
    <n v="20"/>
    <n v="4"/>
    <n v="4"/>
    <n v="80"/>
    <n v="1"/>
    <n v="14"/>
    <n v="6"/>
    <n v="3"/>
    <n v="11"/>
    <n v="10"/>
    <n v="11"/>
    <n v="1"/>
    <x v="0"/>
    <s v="High"/>
  </r>
  <r>
    <n v="27"/>
    <x v="1"/>
    <s v="Non-Travel"/>
    <n v="1277"/>
    <x v="1"/>
    <n v="8"/>
    <n v="5"/>
    <s v="Life Sciences"/>
    <n v="1"/>
    <n v="1094"/>
    <n v="1"/>
    <x v="1"/>
    <n v="87"/>
    <n v="1"/>
    <n v="1"/>
    <x v="2"/>
    <n v="3"/>
    <s v="Married"/>
    <n v="4621"/>
    <n v="5869"/>
    <n v="1"/>
    <s v="Y"/>
    <x v="1"/>
    <n v="19"/>
    <n v="3"/>
    <n v="4"/>
    <n v="80"/>
    <n v="3"/>
    <n v="3"/>
    <n v="4"/>
    <n v="3"/>
    <n v="3"/>
    <n v="2"/>
    <n v="1"/>
    <n v="2"/>
    <x v="2"/>
    <s v="Mid"/>
  </r>
  <r>
    <n v="55"/>
    <x v="1"/>
    <s v="Travel_Frequently"/>
    <n v="1091"/>
    <x v="1"/>
    <n v="2"/>
    <n v="1"/>
    <s v="Life Sciences"/>
    <n v="1"/>
    <n v="1096"/>
    <n v="4"/>
    <x v="1"/>
    <n v="65"/>
    <n v="3"/>
    <n v="3"/>
    <x v="3"/>
    <n v="2"/>
    <s v="Married"/>
    <n v="10976"/>
    <n v="15813"/>
    <n v="3"/>
    <s v="Y"/>
    <x v="1"/>
    <n v="18"/>
    <n v="3"/>
    <n v="2"/>
    <n v="80"/>
    <n v="1"/>
    <n v="23"/>
    <n v="4"/>
    <n v="3"/>
    <n v="3"/>
    <n v="2"/>
    <n v="1"/>
    <n v="2"/>
    <x v="1"/>
    <s v="High"/>
  </r>
  <r>
    <n v="28"/>
    <x v="1"/>
    <s v="Travel_Rarely"/>
    <n v="857"/>
    <x v="1"/>
    <n v="10"/>
    <n v="3"/>
    <s v="Other"/>
    <n v="1"/>
    <n v="1097"/>
    <n v="3"/>
    <x v="0"/>
    <n v="59"/>
    <n v="3"/>
    <n v="2"/>
    <x v="1"/>
    <n v="3"/>
    <s v="Single"/>
    <n v="3660"/>
    <n v="7909"/>
    <n v="3"/>
    <s v="Y"/>
    <x v="1"/>
    <n v="13"/>
    <n v="3"/>
    <n v="4"/>
    <n v="80"/>
    <n v="0"/>
    <n v="10"/>
    <n v="4"/>
    <n v="4"/>
    <n v="8"/>
    <n v="7"/>
    <n v="1"/>
    <n v="7"/>
    <x v="2"/>
    <s v="Mid"/>
  </r>
  <r>
    <n v="44"/>
    <x v="0"/>
    <s v="Travel_Rarely"/>
    <n v="1376"/>
    <x v="2"/>
    <n v="1"/>
    <n v="2"/>
    <s v="Medical"/>
    <n v="1"/>
    <n v="1098"/>
    <n v="2"/>
    <x v="1"/>
    <n v="91"/>
    <n v="2"/>
    <n v="3"/>
    <x v="8"/>
    <n v="1"/>
    <s v="Married"/>
    <n v="10482"/>
    <n v="2326"/>
    <n v="9"/>
    <s v="Y"/>
    <x v="1"/>
    <n v="14"/>
    <n v="3"/>
    <n v="4"/>
    <n v="80"/>
    <n v="1"/>
    <n v="24"/>
    <n v="1"/>
    <n v="3"/>
    <n v="20"/>
    <n v="6"/>
    <n v="3"/>
    <n v="6"/>
    <x v="0"/>
    <s v="High"/>
  </r>
  <r>
    <n v="33"/>
    <x v="1"/>
    <s v="Travel_Rarely"/>
    <n v="654"/>
    <x v="1"/>
    <n v="5"/>
    <n v="3"/>
    <s v="Life Sciences"/>
    <n v="1"/>
    <n v="1099"/>
    <n v="4"/>
    <x v="1"/>
    <n v="34"/>
    <n v="2"/>
    <n v="3"/>
    <x v="4"/>
    <n v="4"/>
    <s v="Divorced"/>
    <n v="7119"/>
    <n v="21214"/>
    <n v="4"/>
    <s v="Y"/>
    <x v="1"/>
    <n v="15"/>
    <n v="3"/>
    <n v="3"/>
    <n v="80"/>
    <n v="1"/>
    <n v="9"/>
    <n v="2"/>
    <n v="3"/>
    <n v="3"/>
    <n v="2"/>
    <n v="1"/>
    <n v="2"/>
    <x v="2"/>
    <s v="High"/>
  </r>
  <r>
    <n v="35"/>
    <x v="0"/>
    <s v="Travel_Rarely"/>
    <n v="1204"/>
    <x v="0"/>
    <n v="4"/>
    <n v="3"/>
    <s v="Technical Degree"/>
    <n v="1"/>
    <n v="1100"/>
    <n v="4"/>
    <x v="1"/>
    <n v="86"/>
    <n v="3"/>
    <n v="3"/>
    <x v="0"/>
    <n v="1"/>
    <s v="Single"/>
    <n v="9582"/>
    <n v="10333"/>
    <n v="0"/>
    <s v="Y"/>
    <x v="0"/>
    <n v="22"/>
    <n v="4"/>
    <n v="1"/>
    <n v="80"/>
    <n v="0"/>
    <n v="9"/>
    <n v="2"/>
    <n v="3"/>
    <n v="8"/>
    <n v="7"/>
    <n v="4"/>
    <n v="7"/>
    <x v="2"/>
    <s v="High"/>
  </r>
  <r>
    <n v="33"/>
    <x v="0"/>
    <s v="Travel_Frequently"/>
    <n v="827"/>
    <x v="1"/>
    <n v="29"/>
    <n v="4"/>
    <s v="Medical"/>
    <n v="1"/>
    <n v="1101"/>
    <n v="1"/>
    <x v="0"/>
    <n v="54"/>
    <n v="2"/>
    <n v="2"/>
    <x v="1"/>
    <n v="3"/>
    <s v="Single"/>
    <n v="4508"/>
    <n v="3129"/>
    <n v="1"/>
    <s v="Y"/>
    <x v="1"/>
    <n v="22"/>
    <n v="4"/>
    <n v="2"/>
    <n v="80"/>
    <n v="0"/>
    <n v="14"/>
    <n v="4"/>
    <n v="3"/>
    <n v="13"/>
    <n v="7"/>
    <n v="3"/>
    <n v="8"/>
    <x v="2"/>
    <s v="Mid"/>
  </r>
  <r>
    <n v="28"/>
    <x v="1"/>
    <s v="Travel_Rarely"/>
    <n v="895"/>
    <x v="1"/>
    <n v="15"/>
    <n v="2"/>
    <s v="Life Sciences"/>
    <n v="1"/>
    <n v="1102"/>
    <n v="1"/>
    <x v="1"/>
    <n v="50"/>
    <n v="3"/>
    <n v="1"/>
    <x v="2"/>
    <n v="3"/>
    <s v="Divorced"/>
    <n v="2207"/>
    <n v="22482"/>
    <n v="1"/>
    <s v="Y"/>
    <x v="1"/>
    <n v="16"/>
    <n v="3"/>
    <n v="4"/>
    <n v="80"/>
    <n v="1"/>
    <n v="4"/>
    <n v="5"/>
    <n v="2"/>
    <n v="4"/>
    <n v="2"/>
    <n v="2"/>
    <n v="2"/>
    <x v="2"/>
    <s v="Low"/>
  </r>
  <r>
    <n v="34"/>
    <x v="1"/>
    <s v="Travel_Frequently"/>
    <n v="618"/>
    <x v="1"/>
    <n v="3"/>
    <n v="1"/>
    <s v="Life Sciences"/>
    <n v="1"/>
    <n v="1103"/>
    <n v="1"/>
    <x v="1"/>
    <n v="45"/>
    <n v="3"/>
    <n v="2"/>
    <x v="4"/>
    <n v="4"/>
    <s v="Single"/>
    <n v="7756"/>
    <n v="22266"/>
    <n v="0"/>
    <s v="Y"/>
    <x v="1"/>
    <n v="17"/>
    <n v="3"/>
    <n v="3"/>
    <n v="80"/>
    <n v="0"/>
    <n v="7"/>
    <n v="1"/>
    <n v="2"/>
    <n v="6"/>
    <n v="2"/>
    <n v="0"/>
    <n v="4"/>
    <x v="2"/>
    <s v="High"/>
  </r>
  <r>
    <n v="37"/>
    <x v="1"/>
    <s v="Travel_Rarely"/>
    <n v="309"/>
    <x v="0"/>
    <n v="10"/>
    <n v="4"/>
    <s v="Life Sciences"/>
    <n v="1"/>
    <n v="1105"/>
    <n v="4"/>
    <x v="0"/>
    <n v="88"/>
    <n v="2"/>
    <n v="2"/>
    <x v="0"/>
    <n v="4"/>
    <s v="Divorced"/>
    <n v="6694"/>
    <n v="24223"/>
    <n v="2"/>
    <s v="Y"/>
    <x v="0"/>
    <n v="14"/>
    <n v="3"/>
    <n v="3"/>
    <n v="80"/>
    <n v="3"/>
    <n v="8"/>
    <n v="5"/>
    <n v="3"/>
    <n v="1"/>
    <n v="0"/>
    <n v="0"/>
    <n v="0"/>
    <x v="0"/>
    <s v="Mid"/>
  </r>
  <r>
    <n v="25"/>
    <x v="0"/>
    <s v="Travel_Rarely"/>
    <n v="1219"/>
    <x v="1"/>
    <n v="4"/>
    <n v="1"/>
    <s v="Technical Degree"/>
    <n v="1"/>
    <n v="1106"/>
    <n v="4"/>
    <x v="1"/>
    <n v="32"/>
    <n v="3"/>
    <n v="1"/>
    <x v="2"/>
    <n v="4"/>
    <s v="Married"/>
    <n v="3691"/>
    <n v="4605"/>
    <n v="1"/>
    <s v="Y"/>
    <x v="0"/>
    <n v="15"/>
    <n v="3"/>
    <n v="2"/>
    <n v="80"/>
    <n v="1"/>
    <n v="7"/>
    <n v="3"/>
    <n v="4"/>
    <n v="7"/>
    <n v="7"/>
    <n v="5"/>
    <n v="6"/>
    <x v="3"/>
    <s v="Mid"/>
  </r>
  <r>
    <n v="26"/>
    <x v="0"/>
    <s v="Travel_Rarely"/>
    <n v="1330"/>
    <x v="1"/>
    <n v="21"/>
    <n v="3"/>
    <s v="Medical"/>
    <n v="1"/>
    <n v="1107"/>
    <n v="1"/>
    <x v="1"/>
    <n v="37"/>
    <n v="3"/>
    <n v="1"/>
    <x v="2"/>
    <n v="3"/>
    <s v="Divorced"/>
    <n v="2377"/>
    <n v="19373"/>
    <n v="1"/>
    <s v="Y"/>
    <x v="1"/>
    <n v="20"/>
    <n v="4"/>
    <n v="3"/>
    <n v="80"/>
    <n v="1"/>
    <n v="1"/>
    <n v="0"/>
    <n v="2"/>
    <n v="1"/>
    <n v="1"/>
    <n v="0"/>
    <n v="0"/>
    <x v="2"/>
    <s v="Low"/>
  </r>
  <r>
    <n v="33"/>
    <x v="0"/>
    <s v="Travel_Rarely"/>
    <n v="1017"/>
    <x v="1"/>
    <n v="25"/>
    <n v="3"/>
    <s v="Medical"/>
    <n v="1"/>
    <n v="1108"/>
    <n v="1"/>
    <x v="1"/>
    <n v="55"/>
    <n v="2"/>
    <n v="1"/>
    <x v="1"/>
    <n v="2"/>
    <s v="Single"/>
    <n v="2313"/>
    <n v="2993"/>
    <n v="4"/>
    <s v="Y"/>
    <x v="0"/>
    <n v="20"/>
    <n v="4"/>
    <n v="2"/>
    <n v="80"/>
    <n v="0"/>
    <n v="5"/>
    <n v="0"/>
    <n v="3"/>
    <n v="2"/>
    <n v="2"/>
    <n v="2"/>
    <n v="2"/>
    <x v="2"/>
    <s v="Low"/>
  </r>
  <r>
    <n v="42"/>
    <x v="1"/>
    <s v="Travel_Rarely"/>
    <n v="469"/>
    <x v="1"/>
    <n v="2"/>
    <n v="2"/>
    <s v="Medical"/>
    <n v="1"/>
    <n v="1109"/>
    <n v="4"/>
    <x v="1"/>
    <n v="35"/>
    <n v="3"/>
    <n v="4"/>
    <x v="5"/>
    <n v="1"/>
    <s v="Married"/>
    <n v="17665"/>
    <n v="14399"/>
    <n v="0"/>
    <s v="Y"/>
    <x v="1"/>
    <n v="17"/>
    <n v="3"/>
    <n v="4"/>
    <n v="80"/>
    <n v="1"/>
    <n v="23"/>
    <n v="3"/>
    <n v="3"/>
    <n v="22"/>
    <n v="6"/>
    <n v="13"/>
    <n v="7"/>
    <x v="0"/>
    <s v="Top"/>
  </r>
  <r>
    <n v="28"/>
    <x v="0"/>
    <s v="Travel_Frequently"/>
    <n v="1009"/>
    <x v="1"/>
    <n v="1"/>
    <n v="3"/>
    <s v="Medical"/>
    <n v="1"/>
    <n v="1111"/>
    <n v="1"/>
    <x v="1"/>
    <n v="45"/>
    <n v="2"/>
    <n v="1"/>
    <x v="2"/>
    <n v="2"/>
    <s v="Divorced"/>
    <n v="2596"/>
    <n v="7160"/>
    <n v="1"/>
    <s v="Y"/>
    <x v="1"/>
    <n v="15"/>
    <n v="3"/>
    <n v="1"/>
    <n v="80"/>
    <n v="2"/>
    <n v="1"/>
    <n v="2"/>
    <n v="3"/>
    <n v="1"/>
    <n v="0"/>
    <n v="0"/>
    <n v="0"/>
    <x v="2"/>
    <s v="Low"/>
  </r>
  <r>
    <n v="50"/>
    <x v="0"/>
    <s v="Travel_Frequently"/>
    <n v="959"/>
    <x v="0"/>
    <n v="1"/>
    <n v="4"/>
    <s v="Other"/>
    <n v="1"/>
    <n v="1113"/>
    <n v="4"/>
    <x v="1"/>
    <n v="81"/>
    <n v="3"/>
    <n v="2"/>
    <x v="0"/>
    <n v="3"/>
    <s v="Single"/>
    <n v="4728"/>
    <n v="17251"/>
    <n v="3"/>
    <s v="Y"/>
    <x v="0"/>
    <n v="14"/>
    <n v="3"/>
    <n v="4"/>
    <n v="80"/>
    <n v="0"/>
    <n v="5"/>
    <n v="4"/>
    <n v="3"/>
    <n v="0"/>
    <n v="0"/>
    <n v="0"/>
    <n v="0"/>
    <x v="1"/>
    <s v="Mid"/>
  </r>
  <r>
    <n v="33"/>
    <x v="1"/>
    <s v="Travel_Frequently"/>
    <n v="970"/>
    <x v="0"/>
    <n v="7"/>
    <n v="3"/>
    <s v="Life Sciences"/>
    <n v="1"/>
    <n v="1114"/>
    <n v="4"/>
    <x v="0"/>
    <n v="30"/>
    <n v="3"/>
    <n v="2"/>
    <x v="0"/>
    <n v="2"/>
    <s v="Married"/>
    <n v="4302"/>
    <n v="13401"/>
    <n v="0"/>
    <s v="Y"/>
    <x v="1"/>
    <n v="17"/>
    <n v="3"/>
    <n v="3"/>
    <n v="80"/>
    <n v="1"/>
    <n v="4"/>
    <n v="3"/>
    <n v="3"/>
    <n v="3"/>
    <n v="2"/>
    <n v="0"/>
    <n v="2"/>
    <x v="2"/>
    <s v="Mid"/>
  </r>
  <r>
    <n v="34"/>
    <x v="1"/>
    <s v="Non-Travel"/>
    <n v="697"/>
    <x v="1"/>
    <n v="3"/>
    <n v="4"/>
    <s v="Life Sciences"/>
    <n v="1"/>
    <n v="1115"/>
    <n v="3"/>
    <x v="1"/>
    <n v="40"/>
    <n v="2"/>
    <n v="1"/>
    <x v="1"/>
    <n v="4"/>
    <s v="Married"/>
    <n v="2979"/>
    <n v="22478"/>
    <n v="3"/>
    <s v="Y"/>
    <x v="1"/>
    <n v="17"/>
    <n v="3"/>
    <n v="4"/>
    <n v="80"/>
    <n v="3"/>
    <n v="6"/>
    <n v="2"/>
    <n v="3"/>
    <n v="0"/>
    <n v="0"/>
    <n v="0"/>
    <n v="0"/>
    <x v="2"/>
    <s v="Low"/>
  </r>
  <r>
    <n v="48"/>
    <x v="1"/>
    <s v="Non-Travel"/>
    <n v="1262"/>
    <x v="1"/>
    <n v="1"/>
    <n v="4"/>
    <s v="Medical"/>
    <n v="1"/>
    <n v="1116"/>
    <n v="1"/>
    <x v="1"/>
    <n v="35"/>
    <n v="4"/>
    <n v="4"/>
    <x v="5"/>
    <n v="4"/>
    <s v="Single"/>
    <n v="16885"/>
    <n v="16154"/>
    <n v="2"/>
    <s v="Y"/>
    <x v="1"/>
    <n v="22"/>
    <n v="4"/>
    <n v="3"/>
    <n v="80"/>
    <n v="0"/>
    <n v="27"/>
    <n v="3"/>
    <n v="2"/>
    <n v="5"/>
    <n v="4"/>
    <n v="2"/>
    <n v="1"/>
    <x v="1"/>
    <s v="Top"/>
  </r>
  <r>
    <n v="45"/>
    <x v="1"/>
    <s v="Non-Travel"/>
    <n v="1050"/>
    <x v="0"/>
    <n v="9"/>
    <n v="4"/>
    <s v="Life Sciences"/>
    <n v="1"/>
    <n v="1117"/>
    <n v="2"/>
    <x v="0"/>
    <n v="65"/>
    <n v="2"/>
    <n v="2"/>
    <x v="0"/>
    <n v="3"/>
    <s v="Married"/>
    <n v="5593"/>
    <n v="17970"/>
    <n v="1"/>
    <s v="Y"/>
    <x v="1"/>
    <n v="13"/>
    <n v="3"/>
    <n v="4"/>
    <n v="80"/>
    <n v="1"/>
    <n v="15"/>
    <n v="2"/>
    <n v="3"/>
    <n v="15"/>
    <n v="10"/>
    <n v="4"/>
    <n v="12"/>
    <x v="0"/>
    <s v="Mid"/>
  </r>
  <r>
    <n v="52"/>
    <x v="1"/>
    <s v="Travel_Rarely"/>
    <n v="994"/>
    <x v="1"/>
    <n v="7"/>
    <n v="4"/>
    <s v="Life Sciences"/>
    <n v="1"/>
    <n v="1118"/>
    <n v="2"/>
    <x v="1"/>
    <n v="87"/>
    <n v="3"/>
    <n v="3"/>
    <x v="4"/>
    <n v="2"/>
    <s v="Single"/>
    <n v="10445"/>
    <n v="15322"/>
    <n v="7"/>
    <s v="Y"/>
    <x v="1"/>
    <n v="19"/>
    <n v="3"/>
    <n v="4"/>
    <n v="80"/>
    <n v="0"/>
    <n v="18"/>
    <n v="4"/>
    <n v="3"/>
    <n v="8"/>
    <n v="6"/>
    <n v="4"/>
    <n v="0"/>
    <x v="1"/>
    <s v="High"/>
  </r>
  <r>
    <n v="38"/>
    <x v="1"/>
    <s v="Travel_Rarely"/>
    <n v="770"/>
    <x v="0"/>
    <n v="10"/>
    <n v="4"/>
    <s v="Marketing"/>
    <n v="1"/>
    <n v="1119"/>
    <n v="3"/>
    <x v="1"/>
    <n v="73"/>
    <n v="2"/>
    <n v="3"/>
    <x v="0"/>
    <n v="3"/>
    <s v="Divorced"/>
    <n v="8740"/>
    <n v="5569"/>
    <n v="0"/>
    <s v="Y"/>
    <x v="0"/>
    <n v="14"/>
    <n v="3"/>
    <n v="2"/>
    <n v="80"/>
    <n v="2"/>
    <n v="9"/>
    <n v="2"/>
    <n v="3"/>
    <n v="8"/>
    <n v="7"/>
    <n v="2"/>
    <n v="7"/>
    <x v="0"/>
    <s v="High"/>
  </r>
  <r>
    <n v="29"/>
    <x v="1"/>
    <s v="Travel_Rarely"/>
    <n v="1107"/>
    <x v="1"/>
    <n v="28"/>
    <n v="4"/>
    <s v="Life Sciences"/>
    <n v="1"/>
    <n v="1120"/>
    <n v="3"/>
    <x v="0"/>
    <n v="93"/>
    <n v="3"/>
    <n v="1"/>
    <x v="1"/>
    <n v="4"/>
    <s v="Divorced"/>
    <n v="2514"/>
    <n v="26968"/>
    <n v="4"/>
    <s v="Y"/>
    <x v="1"/>
    <n v="22"/>
    <n v="4"/>
    <n v="1"/>
    <n v="80"/>
    <n v="1"/>
    <n v="11"/>
    <n v="1"/>
    <n v="3"/>
    <n v="7"/>
    <n v="5"/>
    <n v="1"/>
    <n v="7"/>
    <x v="2"/>
    <s v="Low"/>
  </r>
  <r>
    <n v="28"/>
    <x v="1"/>
    <s v="Travel_Rarely"/>
    <n v="950"/>
    <x v="1"/>
    <n v="3"/>
    <n v="3"/>
    <s v="Medical"/>
    <n v="1"/>
    <n v="1121"/>
    <n v="4"/>
    <x v="0"/>
    <n v="93"/>
    <n v="3"/>
    <n v="3"/>
    <x v="3"/>
    <n v="2"/>
    <s v="Divorced"/>
    <n v="7655"/>
    <n v="8039"/>
    <n v="0"/>
    <s v="Y"/>
    <x v="1"/>
    <n v="17"/>
    <n v="3"/>
    <n v="2"/>
    <n v="80"/>
    <n v="3"/>
    <n v="10"/>
    <n v="3"/>
    <n v="2"/>
    <n v="9"/>
    <n v="7"/>
    <n v="1"/>
    <n v="7"/>
    <x v="2"/>
    <s v="High"/>
  </r>
  <r>
    <n v="46"/>
    <x v="1"/>
    <s v="Travel_Rarely"/>
    <n v="406"/>
    <x v="0"/>
    <n v="3"/>
    <n v="1"/>
    <s v="Marketing"/>
    <n v="1"/>
    <n v="1124"/>
    <n v="1"/>
    <x v="1"/>
    <n v="52"/>
    <n v="3"/>
    <n v="4"/>
    <x v="5"/>
    <n v="3"/>
    <s v="Married"/>
    <n v="17465"/>
    <n v="15596"/>
    <n v="3"/>
    <s v="Y"/>
    <x v="1"/>
    <n v="12"/>
    <n v="3"/>
    <n v="4"/>
    <n v="80"/>
    <n v="1"/>
    <n v="23"/>
    <n v="3"/>
    <n v="3"/>
    <n v="12"/>
    <n v="9"/>
    <n v="4"/>
    <n v="9"/>
    <x v="1"/>
    <s v="Top"/>
  </r>
  <r>
    <n v="38"/>
    <x v="1"/>
    <s v="Travel_Rarely"/>
    <n v="130"/>
    <x v="0"/>
    <n v="2"/>
    <n v="2"/>
    <s v="Marketing"/>
    <n v="1"/>
    <n v="1125"/>
    <n v="4"/>
    <x v="1"/>
    <n v="32"/>
    <n v="3"/>
    <n v="3"/>
    <x v="0"/>
    <n v="2"/>
    <s v="Single"/>
    <n v="7351"/>
    <n v="20619"/>
    <n v="7"/>
    <s v="Y"/>
    <x v="1"/>
    <n v="16"/>
    <n v="3"/>
    <n v="3"/>
    <n v="80"/>
    <n v="0"/>
    <n v="10"/>
    <n v="2"/>
    <n v="3"/>
    <n v="1"/>
    <n v="0"/>
    <n v="0"/>
    <n v="0"/>
    <x v="0"/>
    <s v="High"/>
  </r>
  <r>
    <n v="43"/>
    <x v="1"/>
    <s v="Travel_Frequently"/>
    <n v="1082"/>
    <x v="1"/>
    <n v="27"/>
    <n v="3"/>
    <s v="Life Sciences"/>
    <n v="1"/>
    <n v="1126"/>
    <n v="3"/>
    <x v="0"/>
    <n v="83"/>
    <n v="3"/>
    <n v="3"/>
    <x v="3"/>
    <n v="1"/>
    <s v="Married"/>
    <n v="10820"/>
    <n v="11535"/>
    <n v="8"/>
    <s v="Y"/>
    <x v="1"/>
    <n v="11"/>
    <n v="3"/>
    <n v="3"/>
    <n v="80"/>
    <n v="1"/>
    <n v="18"/>
    <n v="1"/>
    <n v="3"/>
    <n v="8"/>
    <n v="7"/>
    <n v="0"/>
    <n v="1"/>
    <x v="0"/>
    <s v="High"/>
  </r>
  <r>
    <n v="39"/>
    <x v="0"/>
    <s v="Travel_Frequently"/>
    <n v="203"/>
    <x v="1"/>
    <n v="2"/>
    <n v="3"/>
    <s v="Life Sciences"/>
    <n v="1"/>
    <n v="1127"/>
    <n v="1"/>
    <x v="1"/>
    <n v="84"/>
    <n v="3"/>
    <n v="4"/>
    <x v="4"/>
    <n v="4"/>
    <s v="Divorced"/>
    <n v="12169"/>
    <n v="13547"/>
    <n v="7"/>
    <s v="Y"/>
    <x v="1"/>
    <n v="11"/>
    <n v="3"/>
    <n v="4"/>
    <n v="80"/>
    <n v="3"/>
    <n v="21"/>
    <n v="4"/>
    <n v="3"/>
    <n v="18"/>
    <n v="7"/>
    <n v="11"/>
    <n v="5"/>
    <x v="0"/>
    <s v="Top"/>
  </r>
  <r>
    <n v="40"/>
    <x v="1"/>
    <s v="Travel_Rarely"/>
    <n v="1308"/>
    <x v="1"/>
    <n v="14"/>
    <n v="3"/>
    <s v="Medical"/>
    <n v="1"/>
    <n v="1128"/>
    <n v="3"/>
    <x v="1"/>
    <n v="44"/>
    <n v="2"/>
    <n v="5"/>
    <x v="7"/>
    <n v="3"/>
    <s v="Single"/>
    <n v="19626"/>
    <n v="17544"/>
    <n v="1"/>
    <s v="Y"/>
    <x v="1"/>
    <n v="14"/>
    <n v="3"/>
    <n v="1"/>
    <n v="80"/>
    <n v="0"/>
    <n v="21"/>
    <n v="2"/>
    <n v="4"/>
    <n v="20"/>
    <n v="7"/>
    <n v="4"/>
    <n v="9"/>
    <x v="0"/>
    <s v="Top"/>
  </r>
  <r>
    <n v="21"/>
    <x v="1"/>
    <s v="Travel_Rarely"/>
    <n v="984"/>
    <x v="1"/>
    <n v="1"/>
    <n v="1"/>
    <s v="Technical Degree"/>
    <n v="1"/>
    <n v="1131"/>
    <n v="4"/>
    <x v="0"/>
    <n v="70"/>
    <n v="2"/>
    <n v="1"/>
    <x v="1"/>
    <n v="2"/>
    <s v="Single"/>
    <n v="2070"/>
    <n v="25326"/>
    <n v="1"/>
    <s v="Y"/>
    <x v="0"/>
    <n v="11"/>
    <n v="3"/>
    <n v="3"/>
    <n v="80"/>
    <n v="0"/>
    <n v="2"/>
    <n v="6"/>
    <n v="4"/>
    <n v="2"/>
    <n v="2"/>
    <n v="2"/>
    <n v="2"/>
    <x v="3"/>
    <s v="Low"/>
  </r>
  <r>
    <n v="39"/>
    <x v="1"/>
    <s v="Non-Travel"/>
    <n v="439"/>
    <x v="1"/>
    <n v="9"/>
    <n v="3"/>
    <s v="Life Sciences"/>
    <n v="1"/>
    <n v="1132"/>
    <n v="3"/>
    <x v="1"/>
    <n v="70"/>
    <n v="3"/>
    <n v="2"/>
    <x v="2"/>
    <n v="2"/>
    <s v="Single"/>
    <n v="6782"/>
    <n v="8770"/>
    <n v="9"/>
    <s v="Y"/>
    <x v="1"/>
    <n v="15"/>
    <n v="3"/>
    <n v="3"/>
    <n v="80"/>
    <n v="0"/>
    <n v="9"/>
    <n v="2"/>
    <n v="2"/>
    <n v="5"/>
    <n v="4"/>
    <n v="0"/>
    <n v="3"/>
    <x v="0"/>
    <s v="Mid"/>
  </r>
  <r>
    <n v="36"/>
    <x v="1"/>
    <s v="Non-Travel"/>
    <n v="217"/>
    <x v="1"/>
    <n v="18"/>
    <n v="4"/>
    <s v="Life Sciences"/>
    <n v="1"/>
    <n v="1133"/>
    <n v="1"/>
    <x v="1"/>
    <n v="78"/>
    <n v="3"/>
    <n v="2"/>
    <x v="3"/>
    <n v="4"/>
    <s v="Single"/>
    <n v="7779"/>
    <n v="23238"/>
    <n v="2"/>
    <s v="Y"/>
    <x v="1"/>
    <n v="20"/>
    <n v="4"/>
    <n v="1"/>
    <n v="80"/>
    <n v="0"/>
    <n v="18"/>
    <n v="0"/>
    <n v="3"/>
    <n v="11"/>
    <n v="9"/>
    <n v="0"/>
    <n v="9"/>
    <x v="0"/>
    <s v="High"/>
  </r>
  <r>
    <n v="31"/>
    <x v="1"/>
    <s v="Travel_Frequently"/>
    <n v="793"/>
    <x v="0"/>
    <n v="20"/>
    <n v="3"/>
    <s v="Life Sciences"/>
    <n v="1"/>
    <n v="1135"/>
    <n v="3"/>
    <x v="1"/>
    <n v="67"/>
    <n v="4"/>
    <n v="1"/>
    <x v="6"/>
    <n v="4"/>
    <s v="Married"/>
    <n v="2791"/>
    <n v="21981"/>
    <n v="0"/>
    <s v="Y"/>
    <x v="1"/>
    <n v="12"/>
    <n v="3"/>
    <n v="1"/>
    <n v="80"/>
    <n v="1"/>
    <n v="3"/>
    <n v="4"/>
    <n v="3"/>
    <n v="2"/>
    <n v="2"/>
    <n v="2"/>
    <n v="2"/>
    <x v="2"/>
    <s v="Low"/>
  </r>
  <r>
    <n v="28"/>
    <x v="1"/>
    <s v="Travel_Rarely"/>
    <n v="1451"/>
    <x v="1"/>
    <n v="2"/>
    <n v="1"/>
    <s v="Life Sciences"/>
    <n v="1"/>
    <n v="1136"/>
    <n v="1"/>
    <x v="1"/>
    <n v="67"/>
    <n v="2"/>
    <n v="1"/>
    <x v="1"/>
    <n v="2"/>
    <s v="Married"/>
    <n v="3201"/>
    <n v="19911"/>
    <n v="0"/>
    <s v="Y"/>
    <x v="1"/>
    <n v="17"/>
    <n v="3"/>
    <n v="1"/>
    <n v="80"/>
    <n v="0"/>
    <n v="6"/>
    <n v="2"/>
    <n v="1"/>
    <n v="5"/>
    <n v="3"/>
    <n v="0"/>
    <n v="4"/>
    <x v="2"/>
    <s v="Mid"/>
  </r>
  <r>
    <n v="35"/>
    <x v="1"/>
    <s v="Travel_Frequently"/>
    <n v="1182"/>
    <x v="0"/>
    <n v="11"/>
    <n v="2"/>
    <s v="Marketing"/>
    <n v="1"/>
    <n v="1137"/>
    <n v="4"/>
    <x v="1"/>
    <n v="54"/>
    <n v="3"/>
    <n v="2"/>
    <x v="0"/>
    <n v="4"/>
    <s v="Divorced"/>
    <n v="4968"/>
    <n v="18500"/>
    <n v="1"/>
    <s v="Y"/>
    <x v="1"/>
    <n v="11"/>
    <n v="3"/>
    <n v="4"/>
    <n v="80"/>
    <n v="1"/>
    <n v="5"/>
    <n v="3"/>
    <n v="3"/>
    <n v="5"/>
    <n v="2"/>
    <n v="0"/>
    <n v="2"/>
    <x v="2"/>
    <s v="Mid"/>
  </r>
  <r>
    <n v="49"/>
    <x v="1"/>
    <s v="Travel_Rarely"/>
    <n v="174"/>
    <x v="0"/>
    <n v="8"/>
    <n v="4"/>
    <s v="Technical Degree"/>
    <n v="1"/>
    <n v="1138"/>
    <n v="4"/>
    <x v="1"/>
    <n v="56"/>
    <n v="2"/>
    <n v="4"/>
    <x v="0"/>
    <n v="2"/>
    <s v="Married"/>
    <n v="13120"/>
    <n v="11879"/>
    <n v="6"/>
    <s v="Y"/>
    <x v="1"/>
    <n v="17"/>
    <n v="3"/>
    <n v="2"/>
    <n v="80"/>
    <n v="1"/>
    <n v="22"/>
    <n v="3"/>
    <n v="3"/>
    <n v="9"/>
    <n v="8"/>
    <n v="2"/>
    <n v="3"/>
    <x v="1"/>
    <s v="Top"/>
  </r>
  <r>
    <n v="34"/>
    <x v="1"/>
    <s v="Travel_Frequently"/>
    <n v="1003"/>
    <x v="1"/>
    <n v="2"/>
    <n v="2"/>
    <s v="Life Sciences"/>
    <n v="1"/>
    <n v="1140"/>
    <n v="4"/>
    <x v="1"/>
    <n v="95"/>
    <n v="3"/>
    <n v="2"/>
    <x v="3"/>
    <n v="3"/>
    <s v="Single"/>
    <n v="4033"/>
    <n v="15834"/>
    <n v="2"/>
    <s v="Y"/>
    <x v="1"/>
    <n v="11"/>
    <n v="3"/>
    <n v="4"/>
    <n v="80"/>
    <n v="0"/>
    <n v="5"/>
    <n v="3"/>
    <n v="2"/>
    <n v="3"/>
    <n v="2"/>
    <n v="0"/>
    <n v="2"/>
    <x v="2"/>
    <s v="Mid"/>
  </r>
  <r>
    <n v="29"/>
    <x v="1"/>
    <s v="Travel_Frequently"/>
    <n v="490"/>
    <x v="1"/>
    <n v="10"/>
    <n v="3"/>
    <s v="Life Sciences"/>
    <n v="1"/>
    <n v="1143"/>
    <n v="4"/>
    <x v="0"/>
    <n v="61"/>
    <n v="3"/>
    <n v="1"/>
    <x v="1"/>
    <n v="2"/>
    <s v="Divorced"/>
    <n v="3291"/>
    <n v="17940"/>
    <n v="0"/>
    <s v="Y"/>
    <x v="1"/>
    <n v="14"/>
    <n v="3"/>
    <n v="4"/>
    <n v="80"/>
    <n v="2"/>
    <n v="8"/>
    <n v="2"/>
    <n v="2"/>
    <n v="7"/>
    <n v="5"/>
    <n v="1"/>
    <n v="1"/>
    <x v="2"/>
    <s v="Mid"/>
  </r>
  <r>
    <n v="42"/>
    <x v="1"/>
    <s v="Travel_Rarely"/>
    <n v="188"/>
    <x v="1"/>
    <n v="29"/>
    <n v="3"/>
    <s v="Medical"/>
    <n v="1"/>
    <n v="1148"/>
    <n v="2"/>
    <x v="1"/>
    <n v="56"/>
    <n v="1"/>
    <n v="2"/>
    <x v="2"/>
    <n v="4"/>
    <s v="Single"/>
    <n v="4272"/>
    <n v="9558"/>
    <n v="4"/>
    <s v="Y"/>
    <x v="1"/>
    <n v="19"/>
    <n v="3"/>
    <n v="1"/>
    <n v="80"/>
    <n v="0"/>
    <n v="16"/>
    <n v="3"/>
    <n v="3"/>
    <n v="1"/>
    <n v="0"/>
    <n v="0"/>
    <n v="0"/>
    <x v="0"/>
    <s v="Mid"/>
  </r>
  <r>
    <n v="29"/>
    <x v="1"/>
    <s v="Travel_Rarely"/>
    <n v="718"/>
    <x v="1"/>
    <n v="8"/>
    <n v="1"/>
    <s v="Medical"/>
    <n v="1"/>
    <n v="1150"/>
    <n v="2"/>
    <x v="1"/>
    <n v="79"/>
    <n v="2"/>
    <n v="2"/>
    <x v="3"/>
    <n v="4"/>
    <s v="Married"/>
    <n v="5056"/>
    <n v="17689"/>
    <n v="1"/>
    <s v="Y"/>
    <x v="0"/>
    <n v="15"/>
    <n v="3"/>
    <n v="3"/>
    <n v="80"/>
    <n v="1"/>
    <n v="10"/>
    <n v="2"/>
    <n v="2"/>
    <n v="10"/>
    <n v="7"/>
    <n v="1"/>
    <n v="2"/>
    <x v="2"/>
    <s v="Mid"/>
  </r>
  <r>
    <n v="38"/>
    <x v="1"/>
    <s v="Travel_Rarely"/>
    <n v="433"/>
    <x v="2"/>
    <n v="1"/>
    <n v="3"/>
    <s v="Human Resources"/>
    <n v="1"/>
    <n v="1152"/>
    <n v="3"/>
    <x v="1"/>
    <n v="37"/>
    <n v="4"/>
    <n v="1"/>
    <x v="8"/>
    <n v="3"/>
    <s v="Married"/>
    <n v="2844"/>
    <n v="6004"/>
    <n v="1"/>
    <s v="Y"/>
    <x v="1"/>
    <n v="13"/>
    <n v="3"/>
    <n v="4"/>
    <n v="80"/>
    <n v="1"/>
    <n v="7"/>
    <n v="2"/>
    <n v="4"/>
    <n v="7"/>
    <n v="6"/>
    <n v="5"/>
    <n v="0"/>
    <x v="0"/>
    <s v="Low"/>
  </r>
  <r>
    <n v="28"/>
    <x v="1"/>
    <s v="Travel_Frequently"/>
    <n v="773"/>
    <x v="1"/>
    <n v="6"/>
    <n v="3"/>
    <s v="Life Sciences"/>
    <n v="1"/>
    <n v="1154"/>
    <n v="3"/>
    <x v="1"/>
    <n v="39"/>
    <n v="2"/>
    <n v="1"/>
    <x v="1"/>
    <n v="3"/>
    <s v="Divorced"/>
    <n v="2703"/>
    <n v="22088"/>
    <n v="1"/>
    <s v="Y"/>
    <x v="0"/>
    <n v="14"/>
    <n v="3"/>
    <n v="4"/>
    <n v="80"/>
    <n v="1"/>
    <n v="3"/>
    <n v="2"/>
    <n v="3"/>
    <n v="3"/>
    <n v="1"/>
    <n v="0"/>
    <n v="2"/>
    <x v="2"/>
    <s v="Low"/>
  </r>
  <r>
    <n v="18"/>
    <x v="0"/>
    <s v="Non-Travel"/>
    <n v="247"/>
    <x v="1"/>
    <n v="8"/>
    <n v="1"/>
    <s v="Medical"/>
    <n v="1"/>
    <n v="1156"/>
    <n v="3"/>
    <x v="1"/>
    <n v="80"/>
    <n v="3"/>
    <n v="1"/>
    <x v="2"/>
    <n v="3"/>
    <s v="Single"/>
    <n v="1904"/>
    <n v="13556"/>
    <n v="1"/>
    <s v="Y"/>
    <x v="1"/>
    <n v="12"/>
    <n v="3"/>
    <n v="4"/>
    <n v="80"/>
    <n v="0"/>
    <n v="0"/>
    <n v="0"/>
    <n v="3"/>
    <n v="0"/>
    <n v="0"/>
    <n v="0"/>
    <n v="0"/>
    <x v="3"/>
    <s v="Low"/>
  </r>
  <r>
    <n v="33"/>
    <x v="0"/>
    <s v="Travel_Rarely"/>
    <n v="603"/>
    <x v="0"/>
    <n v="9"/>
    <n v="4"/>
    <s v="Marketing"/>
    <n v="1"/>
    <n v="1157"/>
    <n v="1"/>
    <x v="0"/>
    <n v="77"/>
    <n v="3"/>
    <n v="2"/>
    <x v="0"/>
    <n v="1"/>
    <s v="Single"/>
    <n v="8224"/>
    <n v="18385"/>
    <n v="0"/>
    <s v="Y"/>
    <x v="0"/>
    <n v="17"/>
    <n v="3"/>
    <n v="1"/>
    <n v="80"/>
    <n v="0"/>
    <n v="6"/>
    <n v="3"/>
    <n v="3"/>
    <n v="5"/>
    <n v="2"/>
    <n v="0"/>
    <n v="3"/>
    <x v="2"/>
    <s v="High"/>
  </r>
  <r>
    <n v="41"/>
    <x v="1"/>
    <s v="Travel_Rarely"/>
    <n v="167"/>
    <x v="1"/>
    <n v="12"/>
    <n v="4"/>
    <s v="Life Sciences"/>
    <n v="1"/>
    <n v="1158"/>
    <n v="2"/>
    <x v="1"/>
    <n v="46"/>
    <n v="3"/>
    <n v="1"/>
    <x v="2"/>
    <n v="4"/>
    <s v="Married"/>
    <n v="4766"/>
    <n v="9051"/>
    <n v="3"/>
    <s v="Y"/>
    <x v="0"/>
    <n v="11"/>
    <n v="3"/>
    <n v="1"/>
    <n v="80"/>
    <n v="1"/>
    <n v="6"/>
    <n v="4"/>
    <n v="3"/>
    <n v="1"/>
    <n v="0"/>
    <n v="0"/>
    <n v="0"/>
    <x v="0"/>
    <s v="Mid"/>
  </r>
  <r>
    <n v="31"/>
    <x v="0"/>
    <s v="Travel_Frequently"/>
    <n v="874"/>
    <x v="1"/>
    <n v="15"/>
    <n v="3"/>
    <s v="Medical"/>
    <n v="1"/>
    <n v="1160"/>
    <n v="3"/>
    <x v="1"/>
    <n v="72"/>
    <n v="3"/>
    <n v="1"/>
    <x v="2"/>
    <n v="3"/>
    <s v="Married"/>
    <n v="2610"/>
    <n v="6233"/>
    <n v="1"/>
    <s v="Y"/>
    <x v="1"/>
    <n v="12"/>
    <n v="3"/>
    <n v="3"/>
    <n v="80"/>
    <n v="1"/>
    <n v="2"/>
    <n v="5"/>
    <n v="2"/>
    <n v="2"/>
    <n v="2"/>
    <n v="2"/>
    <n v="2"/>
    <x v="2"/>
    <s v="Low"/>
  </r>
  <r>
    <n v="37"/>
    <x v="1"/>
    <s v="Travel_Rarely"/>
    <n v="367"/>
    <x v="1"/>
    <n v="25"/>
    <n v="2"/>
    <s v="Medical"/>
    <n v="1"/>
    <n v="1161"/>
    <n v="3"/>
    <x v="0"/>
    <n v="52"/>
    <n v="2"/>
    <n v="2"/>
    <x v="4"/>
    <n v="4"/>
    <s v="Divorced"/>
    <n v="5731"/>
    <n v="17171"/>
    <n v="7"/>
    <s v="Y"/>
    <x v="1"/>
    <n v="13"/>
    <n v="3"/>
    <n v="3"/>
    <n v="80"/>
    <n v="2"/>
    <n v="9"/>
    <n v="2"/>
    <n v="3"/>
    <n v="6"/>
    <n v="2"/>
    <n v="1"/>
    <n v="3"/>
    <x v="0"/>
    <s v="Mid"/>
  </r>
  <r>
    <n v="27"/>
    <x v="1"/>
    <s v="Travel_Rarely"/>
    <n v="199"/>
    <x v="1"/>
    <n v="6"/>
    <n v="3"/>
    <s v="Life Sciences"/>
    <n v="1"/>
    <n v="1162"/>
    <n v="4"/>
    <x v="1"/>
    <n v="55"/>
    <n v="2"/>
    <n v="1"/>
    <x v="1"/>
    <n v="3"/>
    <s v="Married"/>
    <n v="2539"/>
    <n v="7950"/>
    <n v="1"/>
    <s v="Y"/>
    <x v="1"/>
    <n v="13"/>
    <n v="3"/>
    <n v="3"/>
    <n v="80"/>
    <n v="1"/>
    <n v="4"/>
    <n v="0"/>
    <n v="3"/>
    <n v="4"/>
    <n v="2"/>
    <n v="2"/>
    <n v="2"/>
    <x v="2"/>
    <s v="Low"/>
  </r>
  <r>
    <n v="34"/>
    <x v="1"/>
    <s v="Travel_Rarely"/>
    <n v="1400"/>
    <x v="0"/>
    <n v="9"/>
    <n v="1"/>
    <s v="Life Sciences"/>
    <n v="1"/>
    <n v="1163"/>
    <n v="2"/>
    <x v="0"/>
    <n v="70"/>
    <n v="3"/>
    <n v="2"/>
    <x v="0"/>
    <n v="3"/>
    <s v="Married"/>
    <n v="5714"/>
    <n v="5829"/>
    <n v="1"/>
    <s v="Y"/>
    <x v="1"/>
    <n v="20"/>
    <n v="4"/>
    <n v="1"/>
    <n v="80"/>
    <n v="0"/>
    <n v="6"/>
    <n v="3"/>
    <n v="2"/>
    <n v="6"/>
    <n v="5"/>
    <n v="1"/>
    <n v="3"/>
    <x v="2"/>
    <s v="Mid"/>
  </r>
  <r>
    <n v="35"/>
    <x v="1"/>
    <s v="Travel_Rarely"/>
    <n v="528"/>
    <x v="2"/>
    <n v="8"/>
    <n v="4"/>
    <s v="Technical Degree"/>
    <n v="1"/>
    <n v="1164"/>
    <n v="3"/>
    <x v="1"/>
    <n v="100"/>
    <n v="3"/>
    <n v="1"/>
    <x v="8"/>
    <n v="3"/>
    <s v="Single"/>
    <n v="4323"/>
    <n v="7108"/>
    <n v="1"/>
    <s v="Y"/>
    <x v="1"/>
    <n v="17"/>
    <n v="3"/>
    <n v="2"/>
    <n v="80"/>
    <n v="0"/>
    <n v="6"/>
    <n v="2"/>
    <n v="1"/>
    <n v="5"/>
    <n v="4"/>
    <n v="1"/>
    <n v="4"/>
    <x v="2"/>
    <s v="Mid"/>
  </r>
  <r>
    <n v="29"/>
    <x v="0"/>
    <s v="Travel_Rarely"/>
    <n v="408"/>
    <x v="0"/>
    <n v="23"/>
    <n v="1"/>
    <s v="Life Sciences"/>
    <n v="1"/>
    <n v="1165"/>
    <n v="4"/>
    <x v="0"/>
    <n v="45"/>
    <n v="2"/>
    <n v="3"/>
    <x v="0"/>
    <n v="1"/>
    <s v="Married"/>
    <n v="7336"/>
    <n v="11162"/>
    <n v="1"/>
    <s v="Y"/>
    <x v="1"/>
    <n v="13"/>
    <n v="3"/>
    <n v="1"/>
    <n v="80"/>
    <n v="1"/>
    <n v="11"/>
    <n v="3"/>
    <n v="1"/>
    <n v="11"/>
    <n v="8"/>
    <n v="3"/>
    <n v="10"/>
    <x v="2"/>
    <s v="High"/>
  </r>
  <r>
    <n v="40"/>
    <x v="1"/>
    <s v="Travel_Frequently"/>
    <n v="593"/>
    <x v="1"/>
    <n v="9"/>
    <n v="4"/>
    <s v="Medical"/>
    <n v="1"/>
    <n v="1166"/>
    <n v="2"/>
    <x v="0"/>
    <n v="88"/>
    <n v="3"/>
    <n v="3"/>
    <x v="7"/>
    <n v="3"/>
    <s v="Single"/>
    <n v="13499"/>
    <n v="13782"/>
    <n v="9"/>
    <s v="Y"/>
    <x v="1"/>
    <n v="17"/>
    <n v="3"/>
    <n v="3"/>
    <n v="80"/>
    <n v="0"/>
    <n v="20"/>
    <n v="3"/>
    <n v="2"/>
    <n v="18"/>
    <n v="7"/>
    <n v="2"/>
    <n v="13"/>
    <x v="0"/>
    <s v="Top"/>
  </r>
  <r>
    <n v="42"/>
    <x v="0"/>
    <s v="Travel_Frequently"/>
    <n v="481"/>
    <x v="0"/>
    <n v="12"/>
    <n v="3"/>
    <s v="Life Sciences"/>
    <n v="1"/>
    <n v="1167"/>
    <n v="3"/>
    <x v="1"/>
    <n v="44"/>
    <n v="3"/>
    <n v="4"/>
    <x v="0"/>
    <n v="1"/>
    <s v="Single"/>
    <n v="13758"/>
    <n v="2447"/>
    <n v="0"/>
    <s v="Y"/>
    <x v="0"/>
    <n v="12"/>
    <n v="3"/>
    <n v="2"/>
    <n v="80"/>
    <n v="0"/>
    <n v="22"/>
    <n v="2"/>
    <n v="2"/>
    <n v="21"/>
    <n v="9"/>
    <n v="13"/>
    <n v="14"/>
    <x v="0"/>
    <s v="Top"/>
  </r>
  <r>
    <n v="42"/>
    <x v="1"/>
    <s v="Travel_Rarely"/>
    <n v="647"/>
    <x v="0"/>
    <n v="4"/>
    <n v="4"/>
    <s v="Marketing"/>
    <n v="1"/>
    <n v="1171"/>
    <n v="2"/>
    <x v="1"/>
    <n v="45"/>
    <n v="3"/>
    <n v="2"/>
    <x v="0"/>
    <n v="1"/>
    <s v="Single"/>
    <n v="5155"/>
    <n v="2253"/>
    <n v="7"/>
    <s v="Y"/>
    <x v="1"/>
    <n v="13"/>
    <n v="3"/>
    <n v="4"/>
    <n v="80"/>
    <n v="0"/>
    <n v="9"/>
    <n v="3"/>
    <n v="4"/>
    <n v="6"/>
    <n v="4"/>
    <n v="1"/>
    <n v="5"/>
    <x v="0"/>
    <s v="Mid"/>
  </r>
  <r>
    <n v="35"/>
    <x v="1"/>
    <s v="Travel_Rarely"/>
    <n v="982"/>
    <x v="1"/>
    <n v="1"/>
    <n v="4"/>
    <s v="Medical"/>
    <n v="1"/>
    <n v="1172"/>
    <n v="4"/>
    <x v="1"/>
    <n v="58"/>
    <n v="2"/>
    <n v="1"/>
    <x v="2"/>
    <n v="3"/>
    <s v="Married"/>
    <n v="2258"/>
    <n v="16340"/>
    <n v="6"/>
    <s v="Y"/>
    <x v="1"/>
    <n v="12"/>
    <n v="3"/>
    <n v="2"/>
    <n v="80"/>
    <n v="1"/>
    <n v="10"/>
    <n v="2"/>
    <n v="3"/>
    <n v="8"/>
    <n v="0"/>
    <n v="1"/>
    <n v="7"/>
    <x v="2"/>
    <s v="Low"/>
  </r>
  <r>
    <n v="24"/>
    <x v="1"/>
    <s v="Travel_Rarely"/>
    <n v="477"/>
    <x v="1"/>
    <n v="24"/>
    <n v="3"/>
    <s v="Medical"/>
    <n v="1"/>
    <n v="1173"/>
    <n v="4"/>
    <x v="1"/>
    <n v="49"/>
    <n v="3"/>
    <n v="1"/>
    <x v="2"/>
    <n v="2"/>
    <s v="Single"/>
    <n v="3597"/>
    <n v="6409"/>
    <n v="8"/>
    <s v="Y"/>
    <x v="1"/>
    <n v="22"/>
    <n v="4"/>
    <n v="4"/>
    <n v="80"/>
    <n v="0"/>
    <n v="6"/>
    <n v="2"/>
    <n v="3"/>
    <n v="4"/>
    <n v="3"/>
    <n v="1"/>
    <n v="2"/>
    <x v="3"/>
    <s v="Mid"/>
  </r>
  <r>
    <n v="28"/>
    <x v="0"/>
    <s v="Travel_Rarely"/>
    <n v="1485"/>
    <x v="1"/>
    <n v="12"/>
    <n v="1"/>
    <s v="Life Sciences"/>
    <n v="1"/>
    <n v="1175"/>
    <n v="3"/>
    <x v="0"/>
    <n v="79"/>
    <n v="3"/>
    <n v="1"/>
    <x v="2"/>
    <n v="4"/>
    <s v="Married"/>
    <n v="2515"/>
    <n v="22955"/>
    <n v="1"/>
    <s v="Y"/>
    <x v="0"/>
    <n v="11"/>
    <n v="3"/>
    <n v="4"/>
    <n v="80"/>
    <n v="0"/>
    <n v="1"/>
    <n v="4"/>
    <n v="2"/>
    <n v="1"/>
    <n v="1"/>
    <n v="0"/>
    <n v="0"/>
    <x v="2"/>
    <s v="Low"/>
  </r>
  <r>
    <n v="26"/>
    <x v="1"/>
    <s v="Travel_Rarely"/>
    <n v="1384"/>
    <x v="1"/>
    <n v="3"/>
    <n v="4"/>
    <s v="Medical"/>
    <n v="1"/>
    <n v="1177"/>
    <n v="1"/>
    <x v="1"/>
    <n v="82"/>
    <n v="4"/>
    <n v="1"/>
    <x v="2"/>
    <n v="4"/>
    <s v="Married"/>
    <n v="4420"/>
    <n v="13421"/>
    <n v="1"/>
    <s v="Y"/>
    <x v="1"/>
    <n v="22"/>
    <n v="4"/>
    <n v="2"/>
    <n v="80"/>
    <n v="1"/>
    <n v="8"/>
    <n v="2"/>
    <n v="3"/>
    <n v="8"/>
    <n v="7"/>
    <n v="0"/>
    <n v="7"/>
    <x v="2"/>
    <s v="Mid"/>
  </r>
  <r>
    <n v="30"/>
    <x v="1"/>
    <s v="Travel_Rarely"/>
    <n v="852"/>
    <x v="0"/>
    <n v="10"/>
    <n v="3"/>
    <s v="Marketing"/>
    <n v="1"/>
    <n v="1179"/>
    <n v="3"/>
    <x v="1"/>
    <n v="72"/>
    <n v="2"/>
    <n v="2"/>
    <x v="0"/>
    <n v="3"/>
    <s v="Married"/>
    <n v="6578"/>
    <n v="2706"/>
    <n v="1"/>
    <s v="Y"/>
    <x v="1"/>
    <n v="18"/>
    <n v="3"/>
    <n v="1"/>
    <n v="80"/>
    <n v="1"/>
    <n v="10"/>
    <n v="3"/>
    <n v="3"/>
    <n v="10"/>
    <n v="3"/>
    <n v="1"/>
    <n v="4"/>
    <x v="2"/>
    <s v="Mid"/>
  </r>
  <r>
    <n v="40"/>
    <x v="1"/>
    <s v="Travel_Frequently"/>
    <n v="902"/>
    <x v="1"/>
    <n v="26"/>
    <n v="2"/>
    <s v="Medical"/>
    <n v="1"/>
    <n v="1180"/>
    <n v="3"/>
    <x v="0"/>
    <n v="92"/>
    <n v="2"/>
    <n v="2"/>
    <x v="1"/>
    <n v="4"/>
    <s v="Married"/>
    <n v="4422"/>
    <n v="21203"/>
    <n v="3"/>
    <s v="Y"/>
    <x v="0"/>
    <n v="13"/>
    <n v="3"/>
    <n v="4"/>
    <n v="80"/>
    <n v="1"/>
    <n v="16"/>
    <n v="3"/>
    <n v="1"/>
    <n v="1"/>
    <n v="1"/>
    <n v="0"/>
    <n v="0"/>
    <x v="0"/>
    <s v="Mid"/>
  </r>
  <r>
    <n v="35"/>
    <x v="1"/>
    <s v="Travel_Rarely"/>
    <n v="819"/>
    <x v="1"/>
    <n v="2"/>
    <n v="3"/>
    <s v="Life Sciences"/>
    <n v="1"/>
    <n v="1182"/>
    <n v="3"/>
    <x v="1"/>
    <n v="44"/>
    <n v="2"/>
    <n v="3"/>
    <x v="3"/>
    <n v="2"/>
    <s v="Divorced"/>
    <n v="10274"/>
    <n v="19588"/>
    <n v="2"/>
    <s v="Y"/>
    <x v="1"/>
    <n v="18"/>
    <n v="3"/>
    <n v="2"/>
    <n v="80"/>
    <n v="1"/>
    <n v="15"/>
    <n v="2"/>
    <n v="4"/>
    <n v="7"/>
    <n v="7"/>
    <n v="6"/>
    <n v="4"/>
    <x v="2"/>
    <s v="High"/>
  </r>
  <r>
    <n v="34"/>
    <x v="1"/>
    <s v="Travel_Frequently"/>
    <n v="669"/>
    <x v="1"/>
    <n v="1"/>
    <n v="3"/>
    <s v="Medical"/>
    <n v="1"/>
    <n v="1184"/>
    <n v="4"/>
    <x v="1"/>
    <n v="97"/>
    <n v="2"/>
    <n v="2"/>
    <x v="4"/>
    <n v="1"/>
    <s v="Single"/>
    <n v="5343"/>
    <n v="25755"/>
    <n v="0"/>
    <s v="Y"/>
    <x v="1"/>
    <n v="20"/>
    <n v="4"/>
    <n v="3"/>
    <n v="80"/>
    <n v="0"/>
    <n v="14"/>
    <n v="3"/>
    <n v="3"/>
    <n v="13"/>
    <n v="9"/>
    <n v="4"/>
    <n v="9"/>
    <x v="2"/>
    <s v="Mid"/>
  </r>
  <r>
    <n v="35"/>
    <x v="1"/>
    <s v="Travel_Frequently"/>
    <n v="636"/>
    <x v="1"/>
    <n v="4"/>
    <n v="4"/>
    <s v="Other"/>
    <n v="1"/>
    <n v="1185"/>
    <n v="4"/>
    <x v="1"/>
    <n v="47"/>
    <n v="2"/>
    <n v="1"/>
    <x v="2"/>
    <n v="4"/>
    <s v="Married"/>
    <n v="2376"/>
    <n v="26537"/>
    <n v="1"/>
    <s v="Y"/>
    <x v="1"/>
    <n v="13"/>
    <n v="3"/>
    <n v="2"/>
    <n v="80"/>
    <n v="1"/>
    <n v="2"/>
    <n v="2"/>
    <n v="4"/>
    <n v="2"/>
    <n v="2"/>
    <n v="2"/>
    <n v="2"/>
    <x v="2"/>
    <s v="Low"/>
  </r>
  <r>
    <n v="43"/>
    <x v="0"/>
    <s v="Travel_Rarely"/>
    <n v="1372"/>
    <x v="0"/>
    <n v="9"/>
    <n v="3"/>
    <s v="Marketing"/>
    <n v="1"/>
    <n v="1188"/>
    <n v="1"/>
    <x v="0"/>
    <n v="85"/>
    <n v="1"/>
    <n v="2"/>
    <x v="0"/>
    <n v="3"/>
    <s v="Single"/>
    <n v="5346"/>
    <n v="9489"/>
    <n v="8"/>
    <s v="Y"/>
    <x v="1"/>
    <n v="13"/>
    <n v="3"/>
    <n v="2"/>
    <n v="80"/>
    <n v="0"/>
    <n v="7"/>
    <n v="2"/>
    <n v="2"/>
    <n v="4"/>
    <n v="3"/>
    <n v="1"/>
    <n v="3"/>
    <x v="0"/>
    <s v="Mid"/>
  </r>
  <r>
    <n v="32"/>
    <x v="1"/>
    <s v="Non-Travel"/>
    <n v="862"/>
    <x v="0"/>
    <n v="2"/>
    <n v="1"/>
    <s v="Life Sciences"/>
    <n v="1"/>
    <n v="1190"/>
    <n v="3"/>
    <x v="0"/>
    <n v="76"/>
    <n v="3"/>
    <n v="1"/>
    <x v="6"/>
    <n v="1"/>
    <s v="Divorced"/>
    <n v="2827"/>
    <n v="14947"/>
    <n v="1"/>
    <s v="Y"/>
    <x v="1"/>
    <n v="12"/>
    <n v="3"/>
    <n v="3"/>
    <n v="80"/>
    <n v="3"/>
    <n v="1"/>
    <n v="3"/>
    <n v="3"/>
    <n v="1"/>
    <n v="0"/>
    <n v="0"/>
    <n v="0"/>
    <x v="2"/>
    <s v="Low"/>
  </r>
  <r>
    <n v="56"/>
    <x v="1"/>
    <s v="Travel_Rarely"/>
    <n v="718"/>
    <x v="1"/>
    <n v="4"/>
    <n v="4"/>
    <s v="Technical Degree"/>
    <n v="1"/>
    <n v="1191"/>
    <n v="4"/>
    <x v="0"/>
    <n v="92"/>
    <n v="3"/>
    <n v="5"/>
    <x v="5"/>
    <n v="1"/>
    <s v="Divorced"/>
    <n v="19943"/>
    <n v="18575"/>
    <n v="4"/>
    <s v="Y"/>
    <x v="1"/>
    <n v="13"/>
    <n v="3"/>
    <n v="4"/>
    <n v="80"/>
    <n v="1"/>
    <n v="28"/>
    <n v="2"/>
    <n v="3"/>
    <n v="5"/>
    <n v="2"/>
    <n v="4"/>
    <n v="2"/>
    <x v="1"/>
    <s v="Top"/>
  </r>
  <r>
    <n v="29"/>
    <x v="1"/>
    <s v="Travel_Rarely"/>
    <n v="1401"/>
    <x v="1"/>
    <n v="6"/>
    <n v="1"/>
    <s v="Medical"/>
    <n v="1"/>
    <n v="1192"/>
    <n v="2"/>
    <x v="0"/>
    <n v="54"/>
    <n v="3"/>
    <n v="1"/>
    <x v="2"/>
    <n v="4"/>
    <s v="Married"/>
    <n v="3131"/>
    <n v="26342"/>
    <n v="1"/>
    <s v="Y"/>
    <x v="1"/>
    <n v="13"/>
    <n v="3"/>
    <n v="1"/>
    <n v="80"/>
    <n v="1"/>
    <n v="10"/>
    <n v="5"/>
    <n v="3"/>
    <n v="10"/>
    <n v="8"/>
    <n v="0"/>
    <n v="8"/>
    <x v="2"/>
    <s v="Mid"/>
  </r>
  <r>
    <n v="19"/>
    <x v="1"/>
    <s v="Travel_Rarely"/>
    <n v="645"/>
    <x v="1"/>
    <n v="9"/>
    <n v="2"/>
    <s v="Life Sciences"/>
    <n v="1"/>
    <n v="1193"/>
    <n v="3"/>
    <x v="1"/>
    <n v="54"/>
    <n v="3"/>
    <n v="1"/>
    <x v="1"/>
    <n v="1"/>
    <s v="Single"/>
    <n v="2552"/>
    <n v="7172"/>
    <n v="1"/>
    <s v="Y"/>
    <x v="1"/>
    <n v="25"/>
    <n v="4"/>
    <n v="3"/>
    <n v="80"/>
    <n v="0"/>
    <n v="1"/>
    <n v="4"/>
    <n v="3"/>
    <n v="1"/>
    <n v="1"/>
    <n v="0"/>
    <n v="0"/>
    <x v="3"/>
    <s v="Low"/>
  </r>
  <r>
    <n v="45"/>
    <x v="1"/>
    <s v="Travel_Rarely"/>
    <n v="1457"/>
    <x v="1"/>
    <n v="7"/>
    <n v="3"/>
    <s v="Medical"/>
    <n v="1"/>
    <n v="1195"/>
    <n v="1"/>
    <x v="0"/>
    <n v="83"/>
    <n v="3"/>
    <n v="1"/>
    <x v="1"/>
    <n v="3"/>
    <s v="Married"/>
    <n v="4477"/>
    <n v="20100"/>
    <n v="4"/>
    <s v="Y"/>
    <x v="0"/>
    <n v="19"/>
    <n v="3"/>
    <n v="3"/>
    <n v="80"/>
    <n v="1"/>
    <n v="7"/>
    <n v="2"/>
    <n v="2"/>
    <n v="3"/>
    <n v="2"/>
    <n v="0"/>
    <n v="2"/>
    <x v="0"/>
    <s v="Mid"/>
  </r>
  <r>
    <n v="37"/>
    <x v="1"/>
    <s v="Travel_Rarely"/>
    <n v="977"/>
    <x v="1"/>
    <n v="1"/>
    <n v="3"/>
    <s v="Life Sciences"/>
    <n v="1"/>
    <n v="1196"/>
    <n v="4"/>
    <x v="0"/>
    <n v="56"/>
    <n v="2"/>
    <n v="2"/>
    <x v="3"/>
    <n v="4"/>
    <s v="Married"/>
    <n v="6474"/>
    <n v="9961"/>
    <n v="1"/>
    <s v="Y"/>
    <x v="1"/>
    <n v="13"/>
    <n v="3"/>
    <n v="2"/>
    <n v="80"/>
    <n v="1"/>
    <n v="14"/>
    <n v="2"/>
    <n v="2"/>
    <n v="14"/>
    <n v="8"/>
    <n v="3"/>
    <n v="11"/>
    <x v="0"/>
    <s v="Mid"/>
  </r>
  <r>
    <n v="20"/>
    <x v="1"/>
    <s v="Travel_Rarely"/>
    <n v="805"/>
    <x v="1"/>
    <n v="3"/>
    <n v="3"/>
    <s v="Life Sciences"/>
    <n v="1"/>
    <n v="1198"/>
    <n v="1"/>
    <x v="1"/>
    <n v="87"/>
    <n v="2"/>
    <n v="1"/>
    <x v="2"/>
    <n v="3"/>
    <s v="Single"/>
    <n v="3033"/>
    <n v="12828"/>
    <n v="1"/>
    <s v="Y"/>
    <x v="1"/>
    <n v="12"/>
    <n v="3"/>
    <n v="1"/>
    <n v="80"/>
    <n v="0"/>
    <n v="2"/>
    <n v="2"/>
    <n v="2"/>
    <n v="2"/>
    <n v="2"/>
    <n v="1"/>
    <n v="2"/>
    <x v="3"/>
    <s v="Mid"/>
  </r>
  <r>
    <n v="44"/>
    <x v="0"/>
    <s v="Travel_Rarely"/>
    <n v="1097"/>
    <x v="1"/>
    <n v="10"/>
    <n v="4"/>
    <s v="Life Sciences"/>
    <n v="1"/>
    <n v="1200"/>
    <n v="3"/>
    <x v="1"/>
    <n v="96"/>
    <n v="3"/>
    <n v="1"/>
    <x v="1"/>
    <n v="3"/>
    <s v="Single"/>
    <n v="2936"/>
    <n v="10826"/>
    <n v="1"/>
    <s v="Y"/>
    <x v="0"/>
    <n v="11"/>
    <n v="3"/>
    <n v="3"/>
    <n v="80"/>
    <n v="0"/>
    <n v="6"/>
    <n v="4"/>
    <n v="3"/>
    <n v="6"/>
    <n v="4"/>
    <n v="0"/>
    <n v="2"/>
    <x v="0"/>
    <s v="Low"/>
  </r>
  <r>
    <n v="53"/>
    <x v="1"/>
    <s v="Travel_Rarely"/>
    <n v="1223"/>
    <x v="1"/>
    <n v="7"/>
    <n v="2"/>
    <s v="Medical"/>
    <n v="1"/>
    <n v="1201"/>
    <n v="4"/>
    <x v="0"/>
    <n v="50"/>
    <n v="3"/>
    <n v="5"/>
    <x v="5"/>
    <n v="3"/>
    <s v="Divorced"/>
    <n v="18606"/>
    <n v="18640"/>
    <n v="3"/>
    <s v="Y"/>
    <x v="1"/>
    <n v="18"/>
    <n v="3"/>
    <n v="2"/>
    <n v="80"/>
    <n v="1"/>
    <n v="26"/>
    <n v="6"/>
    <n v="3"/>
    <n v="7"/>
    <n v="7"/>
    <n v="4"/>
    <n v="7"/>
    <x v="1"/>
    <s v="Top"/>
  </r>
  <r>
    <n v="29"/>
    <x v="1"/>
    <s v="Travel_Rarely"/>
    <n v="942"/>
    <x v="1"/>
    <n v="15"/>
    <n v="1"/>
    <s v="Life Sciences"/>
    <n v="1"/>
    <n v="1202"/>
    <n v="2"/>
    <x v="0"/>
    <n v="69"/>
    <n v="1"/>
    <n v="1"/>
    <x v="1"/>
    <n v="4"/>
    <s v="Married"/>
    <n v="2168"/>
    <n v="26933"/>
    <n v="0"/>
    <s v="Y"/>
    <x v="0"/>
    <n v="18"/>
    <n v="3"/>
    <n v="1"/>
    <n v="80"/>
    <n v="1"/>
    <n v="6"/>
    <n v="2"/>
    <n v="2"/>
    <n v="5"/>
    <n v="4"/>
    <n v="1"/>
    <n v="3"/>
    <x v="2"/>
    <s v="Low"/>
  </r>
  <r>
    <n v="22"/>
    <x v="0"/>
    <s v="Travel_Frequently"/>
    <n v="1256"/>
    <x v="1"/>
    <n v="3"/>
    <n v="4"/>
    <s v="Life Sciences"/>
    <n v="1"/>
    <n v="1203"/>
    <n v="3"/>
    <x v="1"/>
    <n v="48"/>
    <n v="2"/>
    <n v="1"/>
    <x v="1"/>
    <n v="4"/>
    <s v="Married"/>
    <n v="2853"/>
    <n v="4223"/>
    <n v="0"/>
    <s v="Y"/>
    <x v="0"/>
    <n v="11"/>
    <n v="3"/>
    <n v="2"/>
    <n v="80"/>
    <n v="1"/>
    <n v="1"/>
    <n v="5"/>
    <n v="3"/>
    <n v="0"/>
    <n v="0"/>
    <n v="0"/>
    <n v="0"/>
    <x v="3"/>
    <s v="Low"/>
  </r>
  <r>
    <n v="46"/>
    <x v="1"/>
    <s v="Travel_Rarely"/>
    <n v="1402"/>
    <x v="0"/>
    <n v="2"/>
    <n v="3"/>
    <s v="Marketing"/>
    <n v="1"/>
    <n v="1204"/>
    <n v="3"/>
    <x v="0"/>
    <n v="69"/>
    <n v="3"/>
    <n v="4"/>
    <x v="5"/>
    <n v="1"/>
    <s v="Married"/>
    <n v="17048"/>
    <n v="24097"/>
    <n v="8"/>
    <s v="Y"/>
    <x v="1"/>
    <n v="23"/>
    <n v="4"/>
    <n v="1"/>
    <n v="80"/>
    <n v="0"/>
    <n v="28"/>
    <n v="2"/>
    <n v="3"/>
    <n v="26"/>
    <n v="15"/>
    <n v="15"/>
    <n v="9"/>
    <x v="1"/>
    <s v="Top"/>
  </r>
  <r>
    <n v="44"/>
    <x v="1"/>
    <s v="Non-Travel"/>
    <n v="111"/>
    <x v="1"/>
    <n v="17"/>
    <n v="3"/>
    <s v="Life Sciences"/>
    <n v="1"/>
    <n v="1206"/>
    <n v="4"/>
    <x v="1"/>
    <n v="74"/>
    <n v="1"/>
    <n v="1"/>
    <x v="1"/>
    <n v="3"/>
    <s v="Single"/>
    <n v="2290"/>
    <n v="4279"/>
    <n v="2"/>
    <s v="Y"/>
    <x v="1"/>
    <n v="13"/>
    <n v="3"/>
    <n v="4"/>
    <n v="80"/>
    <n v="0"/>
    <n v="6"/>
    <n v="3"/>
    <n v="3"/>
    <n v="0"/>
    <n v="0"/>
    <n v="0"/>
    <n v="0"/>
    <x v="0"/>
    <s v="Low"/>
  </r>
  <r>
    <n v="33"/>
    <x v="1"/>
    <s v="Travel_Rarely"/>
    <n v="147"/>
    <x v="2"/>
    <n v="2"/>
    <n v="3"/>
    <s v="Human Resources"/>
    <n v="1"/>
    <n v="1207"/>
    <n v="2"/>
    <x v="1"/>
    <n v="99"/>
    <n v="3"/>
    <n v="1"/>
    <x v="8"/>
    <n v="3"/>
    <s v="Married"/>
    <n v="3600"/>
    <n v="8429"/>
    <n v="1"/>
    <s v="Y"/>
    <x v="1"/>
    <n v="13"/>
    <n v="3"/>
    <n v="4"/>
    <n v="80"/>
    <n v="1"/>
    <n v="5"/>
    <n v="2"/>
    <n v="3"/>
    <n v="5"/>
    <n v="4"/>
    <n v="1"/>
    <n v="4"/>
    <x v="2"/>
    <s v="Mid"/>
  </r>
  <r>
    <n v="41"/>
    <x v="0"/>
    <s v="Non-Travel"/>
    <n v="906"/>
    <x v="1"/>
    <n v="5"/>
    <n v="2"/>
    <s v="Life Sciences"/>
    <n v="1"/>
    <n v="1210"/>
    <n v="1"/>
    <x v="1"/>
    <n v="95"/>
    <n v="2"/>
    <n v="1"/>
    <x v="1"/>
    <n v="1"/>
    <s v="Divorced"/>
    <n v="2107"/>
    <n v="20293"/>
    <n v="6"/>
    <s v="Y"/>
    <x v="1"/>
    <n v="17"/>
    <n v="3"/>
    <n v="1"/>
    <n v="80"/>
    <n v="1"/>
    <n v="5"/>
    <n v="2"/>
    <n v="1"/>
    <n v="1"/>
    <n v="0"/>
    <n v="0"/>
    <n v="0"/>
    <x v="0"/>
    <s v="Low"/>
  </r>
  <r>
    <n v="30"/>
    <x v="1"/>
    <s v="Travel_Rarely"/>
    <n v="1329"/>
    <x v="0"/>
    <n v="29"/>
    <n v="4"/>
    <s v="Life Sciences"/>
    <n v="1"/>
    <n v="1211"/>
    <n v="3"/>
    <x v="1"/>
    <n v="61"/>
    <n v="3"/>
    <n v="2"/>
    <x v="0"/>
    <n v="1"/>
    <s v="Divorced"/>
    <n v="4115"/>
    <n v="13192"/>
    <n v="8"/>
    <s v="Y"/>
    <x v="1"/>
    <n v="19"/>
    <n v="3"/>
    <n v="3"/>
    <n v="80"/>
    <n v="3"/>
    <n v="8"/>
    <n v="3"/>
    <n v="3"/>
    <n v="4"/>
    <n v="3"/>
    <n v="0"/>
    <n v="3"/>
    <x v="2"/>
    <s v="Mid"/>
  </r>
  <r>
    <n v="40"/>
    <x v="1"/>
    <s v="Travel_Frequently"/>
    <n v="1184"/>
    <x v="0"/>
    <n v="2"/>
    <n v="4"/>
    <s v="Medical"/>
    <n v="1"/>
    <n v="1212"/>
    <n v="2"/>
    <x v="1"/>
    <n v="62"/>
    <n v="3"/>
    <n v="2"/>
    <x v="0"/>
    <n v="2"/>
    <s v="Married"/>
    <n v="4327"/>
    <n v="25440"/>
    <n v="5"/>
    <s v="Y"/>
    <x v="1"/>
    <n v="12"/>
    <n v="3"/>
    <n v="4"/>
    <n v="80"/>
    <n v="3"/>
    <n v="5"/>
    <n v="2"/>
    <n v="3"/>
    <n v="0"/>
    <n v="0"/>
    <n v="0"/>
    <n v="0"/>
    <x v="0"/>
    <s v="Mid"/>
  </r>
  <r>
    <n v="50"/>
    <x v="1"/>
    <s v="Travel_Frequently"/>
    <n v="1421"/>
    <x v="1"/>
    <n v="2"/>
    <n v="3"/>
    <s v="Medical"/>
    <n v="1"/>
    <n v="1215"/>
    <n v="4"/>
    <x v="0"/>
    <n v="30"/>
    <n v="3"/>
    <n v="4"/>
    <x v="5"/>
    <n v="1"/>
    <s v="Married"/>
    <n v="17856"/>
    <n v="9490"/>
    <n v="2"/>
    <s v="Y"/>
    <x v="1"/>
    <n v="22"/>
    <n v="4"/>
    <n v="3"/>
    <n v="80"/>
    <n v="1"/>
    <n v="32"/>
    <n v="3"/>
    <n v="3"/>
    <n v="2"/>
    <n v="2"/>
    <n v="2"/>
    <n v="2"/>
    <x v="1"/>
    <s v="Top"/>
  </r>
  <r>
    <n v="28"/>
    <x v="1"/>
    <s v="Travel_Rarely"/>
    <n v="1179"/>
    <x v="1"/>
    <n v="19"/>
    <n v="4"/>
    <s v="Medical"/>
    <n v="1"/>
    <n v="1216"/>
    <n v="4"/>
    <x v="1"/>
    <n v="78"/>
    <n v="2"/>
    <n v="1"/>
    <x v="2"/>
    <n v="1"/>
    <s v="Married"/>
    <n v="3196"/>
    <n v="12449"/>
    <n v="1"/>
    <s v="Y"/>
    <x v="1"/>
    <n v="12"/>
    <n v="3"/>
    <n v="3"/>
    <n v="80"/>
    <n v="3"/>
    <n v="6"/>
    <n v="2"/>
    <n v="3"/>
    <n v="6"/>
    <n v="5"/>
    <n v="3"/>
    <n v="3"/>
    <x v="2"/>
    <s v="Mid"/>
  </r>
  <r>
    <n v="46"/>
    <x v="1"/>
    <s v="Travel_Rarely"/>
    <n v="1450"/>
    <x v="1"/>
    <n v="15"/>
    <n v="2"/>
    <s v="Life Sciences"/>
    <n v="1"/>
    <n v="1217"/>
    <n v="4"/>
    <x v="1"/>
    <n v="52"/>
    <n v="3"/>
    <n v="5"/>
    <x v="7"/>
    <n v="2"/>
    <s v="Married"/>
    <n v="19081"/>
    <n v="10849"/>
    <n v="5"/>
    <s v="Y"/>
    <x v="1"/>
    <n v="11"/>
    <n v="3"/>
    <n v="1"/>
    <n v="80"/>
    <n v="1"/>
    <n v="25"/>
    <n v="2"/>
    <n v="3"/>
    <n v="4"/>
    <n v="2"/>
    <n v="0"/>
    <n v="3"/>
    <x v="1"/>
    <s v="Top"/>
  </r>
  <r>
    <n v="35"/>
    <x v="1"/>
    <s v="Travel_Rarely"/>
    <n v="1361"/>
    <x v="0"/>
    <n v="17"/>
    <n v="4"/>
    <s v="Life Sciences"/>
    <n v="1"/>
    <n v="1218"/>
    <n v="3"/>
    <x v="1"/>
    <n v="94"/>
    <n v="3"/>
    <n v="2"/>
    <x v="0"/>
    <n v="1"/>
    <s v="Married"/>
    <n v="8966"/>
    <n v="21026"/>
    <n v="3"/>
    <s v="Y"/>
    <x v="0"/>
    <n v="15"/>
    <n v="3"/>
    <n v="4"/>
    <n v="80"/>
    <n v="3"/>
    <n v="15"/>
    <n v="2"/>
    <n v="3"/>
    <n v="7"/>
    <n v="7"/>
    <n v="1"/>
    <n v="7"/>
    <x v="2"/>
    <s v="High"/>
  </r>
  <r>
    <n v="24"/>
    <x v="0"/>
    <s v="Travel_Rarely"/>
    <n v="984"/>
    <x v="1"/>
    <n v="17"/>
    <n v="2"/>
    <s v="Life Sciences"/>
    <n v="1"/>
    <n v="1219"/>
    <n v="4"/>
    <x v="0"/>
    <n v="97"/>
    <n v="3"/>
    <n v="1"/>
    <x v="2"/>
    <n v="2"/>
    <s v="Married"/>
    <n v="2210"/>
    <n v="3372"/>
    <n v="1"/>
    <s v="Y"/>
    <x v="1"/>
    <n v="13"/>
    <n v="3"/>
    <n v="1"/>
    <n v="80"/>
    <n v="1"/>
    <n v="1"/>
    <n v="3"/>
    <n v="1"/>
    <n v="1"/>
    <n v="0"/>
    <n v="0"/>
    <n v="0"/>
    <x v="3"/>
    <s v="Low"/>
  </r>
  <r>
    <n v="33"/>
    <x v="1"/>
    <s v="Travel_Frequently"/>
    <n v="1146"/>
    <x v="0"/>
    <n v="25"/>
    <n v="3"/>
    <s v="Medical"/>
    <n v="1"/>
    <n v="1220"/>
    <n v="2"/>
    <x v="0"/>
    <n v="82"/>
    <n v="3"/>
    <n v="2"/>
    <x v="0"/>
    <n v="3"/>
    <s v="Married"/>
    <n v="4539"/>
    <n v="4905"/>
    <n v="1"/>
    <s v="Y"/>
    <x v="1"/>
    <n v="12"/>
    <n v="3"/>
    <n v="1"/>
    <n v="80"/>
    <n v="1"/>
    <n v="10"/>
    <n v="3"/>
    <n v="2"/>
    <n v="10"/>
    <n v="7"/>
    <n v="0"/>
    <n v="1"/>
    <x v="2"/>
    <s v="Mid"/>
  </r>
  <r>
    <n v="36"/>
    <x v="1"/>
    <s v="Travel_Rarely"/>
    <n v="917"/>
    <x v="1"/>
    <n v="6"/>
    <n v="4"/>
    <s v="Life Sciences"/>
    <n v="1"/>
    <n v="1221"/>
    <n v="3"/>
    <x v="1"/>
    <n v="60"/>
    <n v="1"/>
    <n v="1"/>
    <x v="2"/>
    <n v="3"/>
    <s v="Divorced"/>
    <n v="2741"/>
    <n v="6865"/>
    <n v="1"/>
    <s v="Y"/>
    <x v="1"/>
    <n v="14"/>
    <n v="3"/>
    <n v="3"/>
    <n v="80"/>
    <n v="1"/>
    <n v="7"/>
    <n v="4"/>
    <n v="3"/>
    <n v="7"/>
    <n v="7"/>
    <n v="1"/>
    <n v="7"/>
    <x v="0"/>
    <s v="Low"/>
  </r>
  <r>
    <n v="30"/>
    <x v="1"/>
    <s v="Travel_Rarely"/>
    <n v="853"/>
    <x v="1"/>
    <n v="7"/>
    <n v="4"/>
    <s v="Life Sciences"/>
    <n v="1"/>
    <n v="1224"/>
    <n v="3"/>
    <x v="1"/>
    <n v="49"/>
    <n v="3"/>
    <n v="2"/>
    <x v="2"/>
    <n v="3"/>
    <s v="Divorced"/>
    <n v="3491"/>
    <n v="11309"/>
    <n v="1"/>
    <s v="Y"/>
    <x v="1"/>
    <n v="13"/>
    <n v="3"/>
    <n v="1"/>
    <n v="80"/>
    <n v="3"/>
    <n v="10"/>
    <n v="4"/>
    <n v="2"/>
    <n v="10"/>
    <n v="7"/>
    <n v="8"/>
    <n v="9"/>
    <x v="2"/>
    <s v="Mid"/>
  </r>
  <r>
    <n v="44"/>
    <x v="1"/>
    <s v="Travel_Rarely"/>
    <n v="200"/>
    <x v="1"/>
    <n v="29"/>
    <n v="4"/>
    <s v="Other"/>
    <n v="1"/>
    <n v="1225"/>
    <n v="4"/>
    <x v="1"/>
    <n v="32"/>
    <n v="3"/>
    <n v="2"/>
    <x v="1"/>
    <n v="4"/>
    <s v="Single"/>
    <n v="4541"/>
    <n v="7744"/>
    <n v="1"/>
    <s v="Y"/>
    <x v="1"/>
    <n v="25"/>
    <n v="4"/>
    <n v="2"/>
    <n v="80"/>
    <n v="0"/>
    <n v="20"/>
    <n v="3"/>
    <n v="3"/>
    <n v="20"/>
    <n v="11"/>
    <n v="13"/>
    <n v="17"/>
    <x v="0"/>
    <s v="Mid"/>
  </r>
  <r>
    <n v="20"/>
    <x v="1"/>
    <s v="Travel_Rarely"/>
    <n v="654"/>
    <x v="0"/>
    <n v="21"/>
    <n v="3"/>
    <s v="Marketing"/>
    <n v="1"/>
    <n v="1226"/>
    <n v="3"/>
    <x v="1"/>
    <n v="43"/>
    <n v="4"/>
    <n v="1"/>
    <x v="6"/>
    <n v="4"/>
    <s v="Single"/>
    <n v="2678"/>
    <n v="5050"/>
    <n v="1"/>
    <s v="Y"/>
    <x v="1"/>
    <n v="17"/>
    <n v="3"/>
    <n v="4"/>
    <n v="80"/>
    <n v="0"/>
    <n v="2"/>
    <n v="2"/>
    <n v="3"/>
    <n v="2"/>
    <n v="1"/>
    <n v="2"/>
    <n v="2"/>
    <x v="3"/>
    <s v="Low"/>
  </r>
  <r>
    <n v="46"/>
    <x v="1"/>
    <s v="Travel_Rarely"/>
    <n v="150"/>
    <x v="1"/>
    <n v="2"/>
    <n v="4"/>
    <s v="Technical Degree"/>
    <n v="1"/>
    <n v="1228"/>
    <n v="4"/>
    <x v="1"/>
    <n v="60"/>
    <n v="3"/>
    <n v="2"/>
    <x v="3"/>
    <n v="4"/>
    <s v="Divorced"/>
    <n v="7379"/>
    <n v="17433"/>
    <n v="2"/>
    <s v="Y"/>
    <x v="1"/>
    <n v="11"/>
    <n v="3"/>
    <n v="3"/>
    <n v="80"/>
    <n v="1"/>
    <n v="12"/>
    <n v="3"/>
    <n v="2"/>
    <n v="6"/>
    <n v="3"/>
    <n v="1"/>
    <n v="4"/>
    <x v="1"/>
    <s v="High"/>
  </r>
  <r>
    <n v="42"/>
    <x v="1"/>
    <s v="Non-Travel"/>
    <n v="179"/>
    <x v="2"/>
    <n v="2"/>
    <n v="5"/>
    <s v="Medical"/>
    <n v="1"/>
    <n v="1231"/>
    <n v="4"/>
    <x v="1"/>
    <n v="79"/>
    <n v="4"/>
    <n v="2"/>
    <x v="8"/>
    <n v="1"/>
    <s v="Married"/>
    <n v="6272"/>
    <n v="12858"/>
    <n v="7"/>
    <s v="Y"/>
    <x v="1"/>
    <n v="16"/>
    <n v="3"/>
    <n v="1"/>
    <n v="80"/>
    <n v="1"/>
    <n v="10"/>
    <n v="3"/>
    <n v="4"/>
    <n v="4"/>
    <n v="3"/>
    <n v="0"/>
    <n v="3"/>
    <x v="0"/>
    <s v="Mid"/>
  </r>
  <r>
    <n v="60"/>
    <x v="1"/>
    <s v="Travel_Rarely"/>
    <n v="696"/>
    <x v="0"/>
    <n v="7"/>
    <n v="4"/>
    <s v="Marketing"/>
    <n v="1"/>
    <n v="1233"/>
    <n v="2"/>
    <x v="1"/>
    <n v="52"/>
    <n v="4"/>
    <n v="2"/>
    <x v="0"/>
    <n v="4"/>
    <s v="Divorced"/>
    <n v="5220"/>
    <n v="10893"/>
    <n v="0"/>
    <s v="Y"/>
    <x v="0"/>
    <n v="18"/>
    <n v="3"/>
    <n v="2"/>
    <n v="80"/>
    <n v="1"/>
    <n v="12"/>
    <n v="3"/>
    <n v="3"/>
    <n v="11"/>
    <n v="7"/>
    <n v="1"/>
    <n v="9"/>
    <x v="1"/>
    <s v="Mid"/>
  </r>
  <r>
    <n v="32"/>
    <x v="1"/>
    <s v="Travel_Frequently"/>
    <n v="116"/>
    <x v="1"/>
    <n v="13"/>
    <n v="3"/>
    <s v="Other"/>
    <n v="1"/>
    <n v="1234"/>
    <n v="3"/>
    <x v="0"/>
    <n v="77"/>
    <n v="2"/>
    <n v="1"/>
    <x v="2"/>
    <n v="2"/>
    <s v="Married"/>
    <n v="2743"/>
    <n v="7331"/>
    <n v="1"/>
    <s v="Y"/>
    <x v="1"/>
    <n v="20"/>
    <n v="4"/>
    <n v="3"/>
    <n v="80"/>
    <n v="1"/>
    <n v="2"/>
    <n v="2"/>
    <n v="3"/>
    <n v="2"/>
    <n v="2"/>
    <n v="2"/>
    <n v="2"/>
    <x v="2"/>
    <s v="Low"/>
  </r>
  <r>
    <n v="32"/>
    <x v="1"/>
    <s v="Travel_Frequently"/>
    <n v="1316"/>
    <x v="1"/>
    <n v="2"/>
    <n v="2"/>
    <s v="Life Sciences"/>
    <n v="1"/>
    <n v="1235"/>
    <n v="4"/>
    <x v="0"/>
    <n v="38"/>
    <n v="3"/>
    <n v="2"/>
    <x v="1"/>
    <n v="3"/>
    <s v="Single"/>
    <n v="4998"/>
    <n v="2338"/>
    <n v="4"/>
    <s v="Y"/>
    <x v="0"/>
    <n v="14"/>
    <n v="3"/>
    <n v="4"/>
    <n v="80"/>
    <n v="0"/>
    <n v="10"/>
    <n v="2"/>
    <n v="3"/>
    <n v="8"/>
    <n v="7"/>
    <n v="0"/>
    <n v="7"/>
    <x v="2"/>
    <s v="Mid"/>
  </r>
  <r>
    <n v="36"/>
    <x v="1"/>
    <s v="Travel_Rarely"/>
    <n v="363"/>
    <x v="1"/>
    <n v="1"/>
    <n v="3"/>
    <s v="Technical Degree"/>
    <n v="1"/>
    <n v="1237"/>
    <n v="3"/>
    <x v="0"/>
    <n v="77"/>
    <n v="1"/>
    <n v="3"/>
    <x v="3"/>
    <n v="1"/>
    <s v="Divorced"/>
    <n v="10252"/>
    <n v="4235"/>
    <n v="2"/>
    <s v="Y"/>
    <x v="0"/>
    <n v="21"/>
    <n v="4"/>
    <n v="3"/>
    <n v="80"/>
    <n v="1"/>
    <n v="17"/>
    <n v="2"/>
    <n v="3"/>
    <n v="7"/>
    <n v="7"/>
    <n v="7"/>
    <n v="7"/>
    <x v="0"/>
    <s v="High"/>
  </r>
  <r>
    <n v="33"/>
    <x v="1"/>
    <s v="Travel_Rarely"/>
    <n v="117"/>
    <x v="1"/>
    <n v="9"/>
    <n v="3"/>
    <s v="Medical"/>
    <n v="1"/>
    <n v="1238"/>
    <n v="1"/>
    <x v="1"/>
    <n v="60"/>
    <n v="3"/>
    <n v="1"/>
    <x v="1"/>
    <n v="4"/>
    <s v="Married"/>
    <n v="2781"/>
    <n v="6311"/>
    <n v="0"/>
    <s v="Y"/>
    <x v="1"/>
    <n v="13"/>
    <n v="3"/>
    <n v="2"/>
    <n v="80"/>
    <n v="1"/>
    <n v="15"/>
    <n v="5"/>
    <n v="3"/>
    <n v="14"/>
    <n v="10"/>
    <n v="4"/>
    <n v="10"/>
    <x v="2"/>
    <s v="Low"/>
  </r>
  <r>
    <n v="40"/>
    <x v="1"/>
    <s v="Travel_Rarely"/>
    <n v="107"/>
    <x v="0"/>
    <n v="10"/>
    <n v="3"/>
    <s v="Technical Degree"/>
    <n v="1"/>
    <n v="1239"/>
    <n v="2"/>
    <x v="0"/>
    <n v="84"/>
    <n v="2"/>
    <n v="2"/>
    <x v="0"/>
    <n v="2"/>
    <s v="Divorced"/>
    <n v="6852"/>
    <n v="11591"/>
    <n v="7"/>
    <s v="Y"/>
    <x v="1"/>
    <n v="12"/>
    <n v="3"/>
    <n v="2"/>
    <n v="80"/>
    <n v="1"/>
    <n v="7"/>
    <n v="2"/>
    <n v="4"/>
    <n v="5"/>
    <n v="1"/>
    <n v="1"/>
    <n v="3"/>
    <x v="0"/>
    <s v="Mid"/>
  </r>
  <r>
    <n v="25"/>
    <x v="1"/>
    <s v="Travel_Rarely"/>
    <n v="1356"/>
    <x v="0"/>
    <n v="10"/>
    <n v="4"/>
    <s v="Life Sciences"/>
    <n v="1"/>
    <n v="1240"/>
    <n v="3"/>
    <x v="1"/>
    <n v="57"/>
    <n v="3"/>
    <n v="2"/>
    <x v="0"/>
    <n v="4"/>
    <s v="Single"/>
    <n v="4950"/>
    <n v="20623"/>
    <n v="0"/>
    <s v="Y"/>
    <x v="1"/>
    <n v="14"/>
    <n v="3"/>
    <n v="2"/>
    <n v="80"/>
    <n v="0"/>
    <n v="5"/>
    <n v="4"/>
    <n v="3"/>
    <n v="4"/>
    <n v="3"/>
    <n v="1"/>
    <n v="1"/>
    <x v="3"/>
    <s v="Mid"/>
  </r>
  <r>
    <n v="30"/>
    <x v="1"/>
    <s v="Travel_Rarely"/>
    <n v="1465"/>
    <x v="1"/>
    <n v="1"/>
    <n v="3"/>
    <s v="Medical"/>
    <n v="1"/>
    <n v="1241"/>
    <n v="4"/>
    <x v="1"/>
    <n v="63"/>
    <n v="3"/>
    <n v="1"/>
    <x v="1"/>
    <n v="2"/>
    <s v="Married"/>
    <n v="3579"/>
    <n v="9369"/>
    <n v="0"/>
    <s v="Y"/>
    <x v="0"/>
    <n v="21"/>
    <n v="4"/>
    <n v="1"/>
    <n v="80"/>
    <n v="1"/>
    <n v="12"/>
    <n v="2"/>
    <n v="3"/>
    <n v="11"/>
    <n v="9"/>
    <n v="5"/>
    <n v="7"/>
    <x v="2"/>
    <s v="Mid"/>
  </r>
  <r>
    <n v="42"/>
    <x v="1"/>
    <s v="Travel_Frequently"/>
    <n v="458"/>
    <x v="1"/>
    <n v="26"/>
    <n v="5"/>
    <s v="Medical"/>
    <n v="1"/>
    <n v="1242"/>
    <n v="1"/>
    <x v="0"/>
    <n v="60"/>
    <n v="3"/>
    <n v="3"/>
    <x v="7"/>
    <n v="1"/>
    <s v="Married"/>
    <n v="13191"/>
    <n v="23281"/>
    <n v="3"/>
    <s v="Y"/>
    <x v="0"/>
    <n v="17"/>
    <n v="3"/>
    <n v="3"/>
    <n v="80"/>
    <n v="0"/>
    <n v="20"/>
    <n v="6"/>
    <n v="3"/>
    <n v="1"/>
    <n v="0"/>
    <n v="0"/>
    <n v="0"/>
    <x v="0"/>
    <s v="Top"/>
  </r>
  <r>
    <n v="35"/>
    <x v="1"/>
    <s v="Non-Travel"/>
    <n v="1212"/>
    <x v="0"/>
    <n v="8"/>
    <n v="2"/>
    <s v="Marketing"/>
    <n v="1"/>
    <n v="1243"/>
    <n v="3"/>
    <x v="0"/>
    <n v="78"/>
    <n v="2"/>
    <n v="3"/>
    <x v="0"/>
    <n v="4"/>
    <s v="Married"/>
    <n v="10377"/>
    <n v="13755"/>
    <n v="4"/>
    <s v="Y"/>
    <x v="0"/>
    <n v="11"/>
    <n v="3"/>
    <n v="2"/>
    <n v="80"/>
    <n v="1"/>
    <n v="16"/>
    <n v="6"/>
    <n v="2"/>
    <n v="13"/>
    <n v="2"/>
    <n v="4"/>
    <n v="12"/>
    <x v="2"/>
    <s v="High"/>
  </r>
  <r>
    <n v="27"/>
    <x v="1"/>
    <s v="Travel_Rarely"/>
    <n v="1103"/>
    <x v="1"/>
    <n v="14"/>
    <n v="3"/>
    <s v="Life Sciences"/>
    <n v="1"/>
    <n v="1244"/>
    <n v="1"/>
    <x v="1"/>
    <n v="42"/>
    <n v="3"/>
    <n v="1"/>
    <x v="1"/>
    <n v="1"/>
    <s v="Married"/>
    <n v="2235"/>
    <n v="14377"/>
    <n v="1"/>
    <s v="Y"/>
    <x v="0"/>
    <n v="14"/>
    <n v="3"/>
    <n v="4"/>
    <n v="80"/>
    <n v="2"/>
    <n v="9"/>
    <n v="3"/>
    <n v="2"/>
    <n v="9"/>
    <n v="7"/>
    <n v="6"/>
    <n v="8"/>
    <x v="2"/>
    <s v="Low"/>
  </r>
  <r>
    <n v="54"/>
    <x v="1"/>
    <s v="Travel_Frequently"/>
    <n v="966"/>
    <x v="1"/>
    <n v="1"/>
    <n v="4"/>
    <s v="Life Sciences"/>
    <n v="1"/>
    <n v="1245"/>
    <n v="4"/>
    <x v="0"/>
    <n v="53"/>
    <n v="3"/>
    <n v="3"/>
    <x v="3"/>
    <n v="3"/>
    <s v="Divorced"/>
    <n v="10502"/>
    <n v="9659"/>
    <n v="7"/>
    <s v="Y"/>
    <x v="1"/>
    <n v="17"/>
    <n v="3"/>
    <n v="1"/>
    <n v="80"/>
    <n v="1"/>
    <n v="33"/>
    <n v="2"/>
    <n v="1"/>
    <n v="5"/>
    <n v="4"/>
    <n v="1"/>
    <n v="4"/>
    <x v="1"/>
    <s v="High"/>
  </r>
  <r>
    <n v="44"/>
    <x v="1"/>
    <s v="Travel_Rarely"/>
    <n v="1117"/>
    <x v="1"/>
    <n v="2"/>
    <n v="1"/>
    <s v="Life Sciences"/>
    <n v="1"/>
    <n v="1246"/>
    <n v="1"/>
    <x v="0"/>
    <n v="72"/>
    <n v="4"/>
    <n v="1"/>
    <x v="1"/>
    <n v="4"/>
    <s v="Married"/>
    <n v="2011"/>
    <n v="19982"/>
    <n v="1"/>
    <s v="Y"/>
    <x v="1"/>
    <n v="13"/>
    <n v="3"/>
    <n v="4"/>
    <n v="80"/>
    <n v="1"/>
    <n v="10"/>
    <n v="5"/>
    <n v="3"/>
    <n v="10"/>
    <n v="5"/>
    <n v="7"/>
    <n v="7"/>
    <x v="0"/>
    <s v="Low"/>
  </r>
  <r>
    <n v="19"/>
    <x v="0"/>
    <s v="Non-Travel"/>
    <n v="504"/>
    <x v="1"/>
    <n v="10"/>
    <n v="3"/>
    <s v="Medical"/>
    <n v="1"/>
    <n v="1248"/>
    <n v="1"/>
    <x v="0"/>
    <n v="96"/>
    <n v="2"/>
    <n v="1"/>
    <x v="1"/>
    <n v="2"/>
    <s v="Single"/>
    <n v="1859"/>
    <n v="6148"/>
    <n v="1"/>
    <s v="Y"/>
    <x v="0"/>
    <n v="25"/>
    <n v="4"/>
    <n v="2"/>
    <n v="80"/>
    <n v="0"/>
    <n v="1"/>
    <n v="2"/>
    <n v="4"/>
    <n v="1"/>
    <n v="1"/>
    <n v="0"/>
    <n v="0"/>
    <x v="3"/>
    <s v="Low"/>
  </r>
  <r>
    <n v="29"/>
    <x v="1"/>
    <s v="Travel_Rarely"/>
    <n v="1010"/>
    <x v="1"/>
    <n v="1"/>
    <n v="3"/>
    <s v="Life Sciences"/>
    <n v="1"/>
    <n v="1249"/>
    <n v="1"/>
    <x v="0"/>
    <n v="97"/>
    <n v="3"/>
    <n v="1"/>
    <x v="1"/>
    <n v="4"/>
    <s v="Divorced"/>
    <n v="3760"/>
    <n v="5598"/>
    <n v="1"/>
    <s v="Y"/>
    <x v="1"/>
    <n v="15"/>
    <n v="3"/>
    <n v="1"/>
    <n v="80"/>
    <n v="3"/>
    <n v="3"/>
    <n v="5"/>
    <n v="3"/>
    <n v="3"/>
    <n v="2"/>
    <n v="1"/>
    <n v="2"/>
    <x v="2"/>
    <s v="Mid"/>
  </r>
  <r>
    <n v="54"/>
    <x v="1"/>
    <s v="Travel_Rarely"/>
    <n v="685"/>
    <x v="1"/>
    <n v="3"/>
    <n v="3"/>
    <s v="Life Sciences"/>
    <n v="1"/>
    <n v="1250"/>
    <n v="4"/>
    <x v="1"/>
    <n v="85"/>
    <n v="3"/>
    <n v="4"/>
    <x v="7"/>
    <n v="4"/>
    <s v="Married"/>
    <n v="17779"/>
    <n v="23474"/>
    <n v="3"/>
    <s v="Y"/>
    <x v="1"/>
    <n v="14"/>
    <n v="3"/>
    <n v="1"/>
    <n v="80"/>
    <n v="0"/>
    <n v="36"/>
    <n v="2"/>
    <n v="3"/>
    <n v="10"/>
    <n v="9"/>
    <n v="0"/>
    <n v="9"/>
    <x v="1"/>
    <s v="Top"/>
  </r>
  <r>
    <n v="31"/>
    <x v="1"/>
    <s v="Travel_Rarely"/>
    <n v="1332"/>
    <x v="1"/>
    <n v="11"/>
    <n v="2"/>
    <s v="Medical"/>
    <n v="1"/>
    <n v="1251"/>
    <n v="3"/>
    <x v="1"/>
    <n v="80"/>
    <n v="3"/>
    <n v="2"/>
    <x v="4"/>
    <n v="1"/>
    <s v="Married"/>
    <n v="6833"/>
    <n v="17089"/>
    <n v="1"/>
    <s v="Y"/>
    <x v="0"/>
    <n v="12"/>
    <n v="3"/>
    <n v="4"/>
    <n v="80"/>
    <n v="0"/>
    <n v="6"/>
    <n v="2"/>
    <n v="2"/>
    <n v="6"/>
    <n v="5"/>
    <n v="0"/>
    <n v="1"/>
    <x v="2"/>
    <s v="Mid"/>
  </r>
  <r>
    <n v="31"/>
    <x v="1"/>
    <s v="Travel_Rarely"/>
    <n v="1062"/>
    <x v="1"/>
    <n v="24"/>
    <n v="3"/>
    <s v="Medical"/>
    <n v="1"/>
    <n v="1252"/>
    <n v="3"/>
    <x v="0"/>
    <n v="96"/>
    <n v="2"/>
    <n v="2"/>
    <x v="4"/>
    <n v="1"/>
    <s v="Single"/>
    <n v="6812"/>
    <n v="17198"/>
    <n v="1"/>
    <s v="Y"/>
    <x v="1"/>
    <n v="19"/>
    <n v="3"/>
    <n v="2"/>
    <n v="80"/>
    <n v="0"/>
    <n v="10"/>
    <n v="2"/>
    <n v="3"/>
    <n v="10"/>
    <n v="9"/>
    <n v="1"/>
    <n v="8"/>
    <x v="2"/>
    <s v="Mid"/>
  </r>
  <r>
    <n v="59"/>
    <x v="1"/>
    <s v="Travel_Rarely"/>
    <n v="326"/>
    <x v="0"/>
    <n v="3"/>
    <n v="3"/>
    <s v="Life Sciences"/>
    <n v="1"/>
    <n v="1254"/>
    <n v="3"/>
    <x v="0"/>
    <n v="48"/>
    <n v="2"/>
    <n v="2"/>
    <x v="0"/>
    <n v="4"/>
    <s v="Single"/>
    <n v="5171"/>
    <n v="16490"/>
    <n v="5"/>
    <s v="Y"/>
    <x v="1"/>
    <n v="17"/>
    <n v="3"/>
    <n v="4"/>
    <n v="80"/>
    <n v="0"/>
    <n v="13"/>
    <n v="2"/>
    <n v="3"/>
    <n v="6"/>
    <n v="1"/>
    <n v="0"/>
    <n v="5"/>
    <x v="1"/>
    <s v="Mid"/>
  </r>
  <r>
    <n v="43"/>
    <x v="1"/>
    <s v="Travel_Rarely"/>
    <n v="920"/>
    <x v="1"/>
    <n v="3"/>
    <n v="3"/>
    <s v="Life Sciences"/>
    <n v="1"/>
    <n v="1255"/>
    <n v="3"/>
    <x v="1"/>
    <n v="96"/>
    <n v="1"/>
    <n v="5"/>
    <x v="7"/>
    <n v="4"/>
    <s v="Married"/>
    <n v="19740"/>
    <n v="18625"/>
    <n v="3"/>
    <s v="Y"/>
    <x v="1"/>
    <n v="14"/>
    <n v="3"/>
    <n v="2"/>
    <n v="80"/>
    <n v="1"/>
    <n v="25"/>
    <n v="2"/>
    <n v="3"/>
    <n v="8"/>
    <n v="7"/>
    <n v="0"/>
    <n v="7"/>
    <x v="0"/>
    <s v="Top"/>
  </r>
  <r>
    <n v="49"/>
    <x v="1"/>
    <s v="Travel_Rarely"/>
    <n v="1098"/>
    <x v="1"/>
    <n v="4"/>
    <n v="2"/>
    <s v="Medical"/>
    <n v="1"/>
    <n v="1256"/>
    <n v="1"/>
    <x v="1"/>
    <n v="85"/>
    <n v="2"/>
    <n v="5"/>
    <x v="5"/>
    <n v="3"/>
    <s v="Married"/>
    <n v="18711"/>
    <n v="12124"/>
    <n v="2"/>
    <s v="Y"/>
    <x v="1"/>
    <n v="13"/>
    <n v="3"/>
    <n v="3"/>
    <n v="80"/>
    <n v="1"/>
    <n v="23"/>
    <n v="2"/>
    <n v="4"/>
    <n v="1"/>
    <n v="0"/>
    <n v="0"/>
    <n v="0"/>
    <x v="1"/>
    <s v="Top"/>
  </r>
  <r>
    <n v="36"/>
    <x v="1"/>
    <s v="Travel_Frequently"/>
    <n v="469"/>
    <x v="1"/>
    <n v="3"/>
    <n v="3"/>
    <s v="Technical Degree"/>
    <n v="1"/>
    <n v="1257"/>
    <n v="3"/>
    <x v="1"/>
    <n v="46"/>
    <n v="3"/>
    <n v="1"/>
    <x v="1"/>
    <n v="2"/>
    <s v="Married"/>
    <n v="3692"/>
    <n v="9256"/>
    <n v="1"/>
    <s v="Y"/>
    <x v="1"/>
    <n v="12"/>
    <n v="3"/>
    <n v="3"/>
    <n v="80"/>
    <n v="0"/>
    <n v="12"/>
    <n v="2"/>
    <n v="2"/>
    <n v="11"/>
    <n v="10"/>
    <n v="0"/>
    <n v="7"/>
    <x v="0"/>
    <s v="Mid"/>
  </r>
  <r>
    <n v="48"/>
    <x v="1"/>
    <s v="Travel_Rarely"/>
    <n v="969"/>
    <x v="1"/>
    <n v="2"/>
    <n v="2"/>
    <s v="Technical Degree"/>
    <n v="1"/>
    <n v="1258"/>
    <n v="4"/>
    <x v="1"/>
    <n v="76"/>
    <n v="4"/>
    <n v="1"/>
    <x v="2"/>
    <n v="2"/>
    <s v="Single"/>
    <n v="2559"/>
    <n v="16620"/>
    <n v="5"/>
    <s v="Y"/>
    <x v="1"/>
    <n v="11"/>
    <n v="3"/>
    <n v="3"/>
    <n v="80"/>
    <n v="0"/>
    <n v="7"/>
    <n v="4"/>
    <n v="2"/>
    <n v="1"/>
    <n v="0"/>
    <n v="0"/>
    <n v="0"/>
    <x v="1"/>
    <s v="Low"/>
  </r>
  <r>
    <n v="27"/>
    <x v="1"/>
    <s v="Travel_Rarely"/>
    <n v="1167"/>
    <x v="1"/>
    <n v="4"/>
    <n v="2"/>
    <s v="Life Sciences"/>
    <n v="1"/>
    <n v="1259"/>
    <n v="1"/>
    <x v="1"/>
    <n v="76"/>
    <n v="3"/>
    <n v="1"/>
    <x v="1"/>
    <n v="3"/>
    <s v="Divorced"/>
    <n v="2517"/>
    <n v="3208"/>
    <n v="1"/>
    <s v="Y"/>
    <x v="1"/>
    <n v="11"/>
    <n v="3"/>
    <n v="2"/>
    <n v="80"/>
    <n v="3"/>
    <n v="5"/>
    <n v="2"/>
    <n v="3"/>
    <n v="5"/>
    <n v="3"/>
    <n v="0"/>
    <n v="3"/>
    <x v="2"/>
    <s v="Low"/>
  </r>
  <r>
    <n v="29"/>
    <x v="1"/>
    <s v="Travel_Rarely"/>
    <n v="1329"/>
    <x v="1"/>
    <n v="7"/>
    <n v="3"/>
    <s v="Life Sciences"/>
    <n v="1"/>
    <n v="1260"/>
    <n v="3"/>
    <x v="1"/>
    <n v="82"/>
    <n v="3"/>
    <n v="2"/>
    <x v="4"/>
    <n v="4"/>
    <s v="Divorced"/>
    <n v="6623"/>
    <n v="4204"/>
    <n v="1"/>
    <s v="Y"/>
    <x v="0"/>
    <n v="11"/>
    <n v="3"/>
    <n v="2"/>
    <n v="80"/>
    <n v="2"/>
    <n v="6"/>
    <n v="2"/>
    <n v="3"/>
    <n v="6"/>
    <n v="0"/>
    <n v="1"/>
    <n v="0"/>
    <x v="2"/>
    <s v="Mid"/>
  </r>
  <r>
    <n v="48"/>
    <x v="1"/>
    <s v="Travel_Rarely"/>
    <n v="715"/>
    <x v="1"/>
    <n v="1"/>
    <n v="3"/>
    <s v="Life Sciences"/>
    <n v="1"/>
    <n v="1263"/>
    <n v="4"/>
    <x v="1"/>
    <n v="76"/>
    <n v="2"/>
    <n v="5"/>
    <x v="7"/>
    <n v="4"/>
    <s v="Single"/>
    <n v="18265"/>
    <n v="8733"/>
    <n v="6"/>
    <s v="Y"/>
    <x v="1"/>
    <n v="12"/>
    <n v="3"/>
    <n v="3"/>
    <n v="80"/>
    <n v="0"/>
    <n v="25"/>
    <n v="3"/>
    <n v="4"/>
    <n v="1"/>
    <n v="0"/>
    <n v="0"/>
    <n v="0"/>
    <x v="1"/>
    <s v="Top"/>
  </r>
  <r>
    <n v="29"/>
    <x v="1"/>
    <s v="Travel_Rarely"/>
    <n v="694"/>
    <x v="1"/>
    <n v="1"/>
    <n v="3"/>
    <s v="Life Sciences"/>
    <n v="1"/>
    <n v="1264"/>
    <n v="4"/>
    <x v="0"/>
    <n v="87"/>
    <n v="2"/>
    <n v="4"/>
    <x v="7"/>
    <n v="4"/>
    <s v="Divorced"/>
    <n v="16124"/>
    <n v="3423"/>
    <n v="3"/>
    <s v="Y"/>
    <x v="1"/>
    <n v="14"/>
    <n v="3"/>
    <n v="2"/>
    <n v="80"/>
    <n v="2"/>
    <n v="9"/>
    <n v="2"/>
    <n v="2"/>
    <n v="7"/>
    <n v="7"/>
    <n v="1"/>
    <n v="7"/>
    <x v="2"/>
    <s v="Top"/>
  </r>
  <r>
    <n v="34"/>
    <x v="1"/>
    <s v="Travel_Rarely"/>
    <n v="1320"/>
    <x v="1"/>
    <n v="20"/>
    <n v="3"/>
    <s v="Technical Degree"/>
    <n v="1"/>
    <n v="1265"/>
    <n v="3"/>
    <x v="0"/>
    <n v="89"/>
    <n v="4"/>
    <n v="1"/>
    <x v="1"/>
    <n v="3"/>
    <s v="Married"/>
    <n v="2585"/>
    <n v="21643"/>
    <n v="0"/>
    <s v="Y"/>
    <x v="1"/>
    <n v="17"/>
    <n v="3"/>
    <n v="4"/>
    <n v="80"/>
    <n v="0"/>
    <n v="2"/>
    <n v="5"/>
    <n v="2"/>
    <n v="1"/>
    <n v="0"/>
    <n v="0"/>
    <n v="0"/>
    <x v="2"/>
    <s v="Low"/>
  </r>
  <r>
    <n v="44"/>
    <x v="1"/>
    <s v="Travel_Rarely"/>
    <n v="1099"/>
    <x v="0"/>
    <n v="5"/>
    <n v="3"/>
    <s v="Marketing"/>
    <n v="1"/>
    <n v="1267"/>
    <n v="2"/>
    <x v="1"/>
    <n v="88"/>
    <n v="3"/>
    <n v="5"/>
    <x v="5"/>
    <n v="2"/>
    <s v="Married"/>
    <n v="18213"/>
    <n v="8751"/>
    <n v="7"/>
    <s v="Y"/>
    <x v="1"/>
    <n v="11"/>
    <n v="3"/>
    <n v="3"/>
    <n v="80"/>
    <n v="1"/>
    <n v="26"/>
    <n v="5"/>
    <n v="3"/>
    <n v="22"/>
    <n v="9"/>
    <n v="3"/>
    <n v="10"/>
    <x v="0"/>
    <s v="Top"/>
  </r>
  <r>
    <n v="33"/>
    <x v="1"/>
    <s v="Travel_Rarely"/>
    <n v="536"/>
    <x v="0"/>
    <n v="10"/>
    <n v="5"/>
    <s v="Marketing"/>
    <n v="1"/>
    <n v="1268"/>
    <n v="4"/>
    <x v="1"/>
    <n v="82"/>
    <n v="4"/>
    <n v="3"/>
    <x v="0"/>
    <n v="3"/>
    <s v="Divorced"/>
    <n v="8380"/>
    <n v="21708"/>
    <n v="0"/>
    <s v="Y"/>
    <x v="0"/>
    <n v="14"/>
    <n v="3"/>
    <n v="4"/>
    <n v="80"/>
    <n v="2"/>
    <n v="10"/>
    <n v="3"/>
    <n v="3"/>
    <n v="9"/>
    <n v="8"/>
    <n v="0"/>
    <n v="8"/>
    <x v="2"/>
    <s v="High"/>
  </r>
  <r>
    <n v="19"/>
    <x v="1"/>
    <s v="Travel_Rarely"/>
    <n v="265"/>
    <x v="1"/>
    <n v="25"/>
    <n v="3"/>
    <s v="Life Sciences"/>
    <n v="1"/>
    <n v="1269"/>
    <n v="2"/>
    <x v="0"/>
    <n v="57"/>
    <n v="4"/>
    <n v="1"/>
    <x v="1"/>
    <n v="4"/>
    <s v="Single"/>
    <n v="2994"/>
    <n v="21221"/>
    <n v="1"/>
    <s v="Y"/>
    <x v="0"/>
    <n v="12"/>
    <n v="3"/>
    <n v="4"/>
    <n v="80"/>
    <n v="0"/>
    <n v="1"/>
    <n v="2"/>
    <n v="3"/>
    <n v="1"/>
    <n v="0"/>
    <n v="0"/>
    <n v="1"/>
    <x v="3"/>
    <s v="Low"/>
  </r>
  <r>
    <n v="23"/>
    <x v="1"/>
    <s v="Travel_Rarely"/>
    <n v="373"/>
    <x v="1"/>
    <n v="1"/>
    <n v="2"/>
    <s v="Life Sciences"/>
    <n v="1"/>
    <n v="1270"/>
    <n v="4"/>
    <x v="1"/>
    <n v="47"/>
    <n v="3"/>
    <n v="1"/>
    <x v="1"/>
    <n v="3"/>
    <s v="Married"/>
    <n v="1223"/>
    <n v="16901"/>
    <n v="1"/>
    <s v="Y"/>
    <x v="1"/>
    <n v="22"/>
    <n v="4"/>
    <n v="4"/>
    <n v="80"/>
    <n v="1"/>
    <n v="1"/>
    <n v="2"/>
    <n v="3"/>
    <n v="1"/>
    <n v="0"/>
    <n v="0"/>
    <n v="1"/>
    <x v="3"/>
    <s v="Low"/>
  </r>
  <r>
    <n v="25"/>
    <x v="0"/>
    <s v="Travel_Frequently"/>
    <n v="599"/>
    <x v="0"/>
    <n v="24"/>
    <n v="1"/>
    <s v="Life Sciences"/>
    <n v="1"/>
    <n v="1273"/>
    <n v="3"/>
    <x v="1"/>
    <n v="73"/>
    <n v="1"/>
    <n v="1"/>
    <x v="6"/>
    <n v="4"/>
    <s v="Single"/>
    <n v="1118"/>
    <n v="8040"/>
    <n v="1"/>
    <s v="Y"/>
    <x v="0"/>
    <n v="14"/>
    <n v="3"/>
    <n v="4"/>
    <n v="80"/>
    <n v="0"/>
    <n v="1"/>
    <n v="4"/>
    <n v="3"/>
    <n v="1"/>
    <n v="0"/>
    <n v="1"/>
    <n v="0"/>
    <x v="3"/>
    <s v="Low"/>
  </r>
  <r>
    <n v="26"/>
    <x v="1"/>
    <s v="Travel_Rarely"/>
    <n v="583"/>
    <x v="1"/>
    <n v="4"/>
    <n v="2"/>
    <s v="Life Sciences"/>
    <n v="1"/>
    <n v="1275"/>
    <n v="3"/>
    <x v="1"/>
    <n v="53"/>
    <n v="3"/>
    <n v="1"/>
    <x v="1"/>
    <n v="4"/>
    <s v="Single"/>
    <n v="2875"/>
    <n v="9973"/>
    <n v="1"/>
    <s v="Y"/>
    <x v="0"/>
    <n v="20"/>
    <n v="4"/>
    <n v="2"/>
    <n v="80"/>
    <n v="0"/>
    <n v="8"/>
    <n v="2"/>
    <n v="2"/>
    <n v="8"/>
    <n v="5"/>
    <n v="2"/>
    <n v="2"/>
    <x v="2"/>
    <s v="Low"/>
  </r>
  <r>
    <n v="45"/>
    <x v="0"/>
    <s v="Travel_Rarely"/>
    <n v="1449"/>
    <x v="0"/>
    <n v="2"/>
    <n v="3"/>
    <s v="Marketing"/>
    <n v="1"/>
    <n v="1277"/>
    <n v="1"/>
    <x v="0"/>
    <n v="94"/>
    <n v="1"/>
    <n v="5"/>
    <x v="5"/>
    <n v="2"/>
    <s v="Single"/>
    <n v="18824"/>
    <n v="2493"/>
    <n v="2"/>
    <s v="Y"/>
    <x v="0"/>
    <n v="16"/>
    <n v="3"/>
    <n v="1"/>
    <n v="80"/>
    <n v="0"/>
    <n v="26"/>
    <n v="2"/>
    <n v="3"/>
    <n v="24"/>
    <n v="10"/>
    <n v="1"/>
    <n v="11"/>
    <x v="0"/>
    <s v="Top"/>
  </r>
  <r>
    <n v="55"/>
    <x v="1"/>
    <s v="Non-Travel"/>
    <n v="177"/>
    <x v="1"/>
    <n v="8"/>
    <n v="1"/>
    <s v="Medical"/>
    <n v="1"/>
    <n v="1278"/>
    <n v="4"/>
    <x v="1"/>
    <n v="37"/>
    <n v="2"/>
    <n v="4"/>
    <x v="4"/>
    <n v="2"/>
    <s v="Divorced"/>
    <n v="13577"/>
    <n v="25592"/>
    <n v="1"/>
    <s v="Y"/>
    <x v="0"/>
    <n v="15"/>
    <n v="3"/>
    <n v="4"/>
    <n v="80"/>
    <n v="1"/>
    <n v="34"/>
    <n v="3"/>
    <n v="3"/>
    <n v="33"/>
    <n v="9"/>
    <n v="15"/>
    <n v="0"/>
    <x v="1"/>
    <s v="Top"/>
  </r>
  <r>
    <n v="21"/>
    <x v="0"/>
    <s v="Travel_Frequently"/>
    <n v="251"/>
    <x v="1"/>
    <n v="10"/>
    <n v="2"/>
    <s v="Life Sciences"/>
    <n v="1"/>
    <n v="1279"/>
    <n v="1"/>
    <x v="0"/>
    <n v="45"/>
    <n v="2"/>
    <n v="1"/>
    <x v="2"/>
    <n v="3"/>
    <s v="Single"/>
    <n v="2625"/>
    <n v="25308"/>
    <n v="1"/>
    <s v="Y"/>
    <x v="1"/>
    <n v="20"/>
    <n v="4"/>
    <n v="3"/>
    <n v="80"/>
    <n v="0"/>
    <n v="2"/>
    <n v="2"/>
    <n v="1"/>
    <n v="2"/>
    <n v="2"/>
    <n v="2"/>
    <n v="2"/>
    <x v="3"/>
    <s v="Low"/>
  </r>
  <r>
    <n v="46"/>
    <x v="1"/>
    <s v="Travel_Rarely"/>
    <n v="168"/>
    <x v="0"/>
    <n v="4"/>
    <n v="2"/>
    <s v="Marketing"/>
    <n v="1"/>
    <n v="1280"/>
    <n v="4"/>
    <x v="0"/>
    <n v="33"/>
    <n v="2"/>
    <n v="5"/>
    <x v="5"/>
    <n v="2"/>
    <s v="Married"/>
    <n v="18789"/>
    <n v="9946"/>
    <n v="2"/>
    <s v="Y"/>
    <x v="1"/>
    <n v="14"/>
    <n v="3"/>
    <n v="3"/>
    <n v="80"/>
    <n v="1"/>
    <n v="26"/>
    <n v="2"/>
    <n v="3"/>
    <n v="11"/>
    <n v="4"/>
    <n v="0"/>
    <n v="8"/>
    <x v="1"/>
    <s v="Top"/>
  </r>
  <r>
    <n v="34"/>
    <x v="1"/>
    <s v="Travel_Rarely"/>
    <n v="131"/>
    <x v="0"/>
    <n v="2"/>
    <n v="3"/>
    <s v="Marketing"/>
    <n v="1"/>
    <n v="1281"/>
    <n v="3"/>
    <x v="0"/>
    <n v="86"/>
    <n v="3"/>
    <n v="2"/>
    <x v="0"/>
    <n v="1"/>
    <s v="Single"/>
    <n v="4538"/>
    <n v="6039"/>
    <n v="0"/>
    <s v="Y"/>
    <x v="0"/>
    <n v="12"/>
    <n v="3"/>
    <n v="4"/>
    <n v="80"/>
    <n v="0"/>
    <n v="4"/>
    <n v="3"/>
    <n v="3"/>
    <n v="3"/>
    <n v="2"/>
    <n v="0"/>
    <n v="2"/>
    <x v="2"/>
    <s v="Mid"/>
  </r>
  <r>
    <n v="51"/>
    <x v="1"/>
    <s v="Travel_Frequently"/>
    <n v="237"/>
    <x v="0"/>
    <n v="9"/>
    <n v="3"/>
    <s v="Life Sciences"/>
    <n v="1"/>
    <n v="1282"/>
    <n v="4"/>
    <x v="1"/>
    <n v="83"/>
    <n v="3"/>
    <n v="5"/>
    <x v="5"/>
    <n v="2"/>
    <s v="Divorced"/>
    <n v="19847"/>
    <n v="19196"/>
    <n v="4"/>
    <s v="Y"/>
    <x v="0"/>
    <n v="24"/>
    <n v="4"/>
    <n v="1"/>
    <n v="80"/>
    <n v="1"/>
    <n v="31"/>
    <n v="5"/>
    <n v="2"/>
    <n v="29"/>
    <n v="10"/>
    <n v="11"/>
    <n v="10"/>
    <x v="1"/>
    <s v="Top"/>
  </r>
  <r>
    <n v="59"/>
    <x v="1"/>
    <s v="Travel_Rarely"/>
    <n v="1429"/>
    <x v="1"/>
    <n v="18"/>
    <n v="4"/>
    <s v="Medical"/>
    <n v="1"/>
    <n v="1283"/>
    <n v="4"/>
    <x v="1"/>
    <n v="67"/>
    <n v="3"/>
    <n v="3"/>
    <x v="3"/>
    <n v="4"/>
    <s v="Single"/>
    <n v="10512"/>
    <n v="20002"/>
    <n v="6"/>
    <s v="Y"/>
    <x v="1"/>
    <n v="12"/>
    <n v="3"/>
    <n v="4"/>
    <n v="80"/>
    <n v="0"/>
    <n v="25"/>
    <n v="6"/>
    <n v="2"/>
    <n v="9"/>
    <n v="7"/>
    <n v="5"/>
    <n v="4"/>
    <x v="1"/>
    <s v="High"/>
  </r>
  <r>
    <n v="34"/>
    <x v="1"/>
    <s v="Travel_Frequently"/>
    <n v="135"/>
    <x v="1"/>
    <n v="19"/>
    <n v="3"/>
    <s v="Medical"/>
    <n v="1"/>
    <n v="1285"/>
    <n v="3"/>
    <x v="0"/>
    <n v="46"/>
    <n v="3"/>
    <n v="2"/>
    <x v="2"/>
    <n v="2"/>
    <s v="Divorced"/>
    <n v="4444"/>
    <n v="22534"/>
    <n v="4"/>
    <s v="Y"/>
    <x v="1"/>
    <n v="13"/>
    <n v="3"/>
    <n v="3"/>
    <n v="80"/>
    <n v="2"/>
    <n v="15"/>
    <n v="2"/>
    <n v="4"/>
    <n v="11"/>
    <n v="8"/>
    <n v="5"/>
    <n v="10"/>
    <x v="2"/>
    <s v="Mid"/>
  </r>
  <r>
    <n v="28"/>
    <x v="1"/>
    <s v="Travel_Frequently"/>
    <n v="791"/>
    <x v="1"/>
    <n v="1"/>
    <n v="4"/>
    <s v="Medical"/>
    <n v="1"/>
    <n v="1286"/>
    <n v="4"/>
    <x v="1"/>
    <n v="44"/>
    <n v="3"/>
    <n v="1"/>
    <x v="2"/>
    <n v="3"/>
    <s v="Single"/>
    <n v="2154"/>
    <n v="6842"/>
    <n v="0"/>
    <s v="Y"/>
    <x v="0"/>
    <n v="11"/>
    <n v="3"/>
    <n v="3"/>
    <n v="80"/>
    <n v="0"/>
    <n v="5"/>
    <n v="2"/>
    <n v="2"/>
    <n v="4"/>
    <n v="2"/>
    <n v="0"/>
    <n v="2"/>
    <x v="2"/>
    <s v="Low"/>
  </r>
  <r>
    <n v="44"/>
    <x v="1"/>
    <s v="Travel_Rarely"/>
    <n v="1199"/>
    <x v="1"/>
    <n v="4"/>
    <n v="2"/>
    <s v="Life Sciences"/>
    <n v="1"/>
    <n v="1288"/>
    <n v="3"/>
    <x v="1"/>
    <n v="92"/>
    <n v="4"/>
    <n v="5"/>
    <x v="5"/>
    <n v="1"/>
    <s v="Divorced"/>
    <n v="19190"/>
    <n v="17477"/>
    <n v="1"/>
    <s v="Y"/>
    <x v="1"/>
    <n v="14"/>
    <n v="3"/>
    <n v="4"/>
    <n v="80"/>
    <n v="2"/>
    <n v="26"/>
    <n v="4"/>
    <n v="2"/>
    <n v="25"/>
    <n v="9"/>
    <n v="14"/>
    <n v="13"/>
    <x v="0"/>
    <s v="Top"/>
  </r>
  <r>
    <n v="34"/>
    <x v="1"/>
    <s v="Travel_Frequently"/>
    <n v="648"/>
    <x v="2"/>
    <n v="11"/>
    <n v="3"/>
    <s v="Life Sciences"/>
    <n v="1"/>
    <n v="1289"/>
    <n v="3"/>
    <x v="1"/>
    <n v="56"/>
    <n v="2"/>
    <n v="2"/>
    <x v="8"/>
    <n v="2"/>
    <s v="Married"/>
    <n v="4490"/>
    <n v="21833"/>
    <n v="4"/>
    <s v="Y"/>
    <x v="1"/>
    <n v="11"/>
    <n v="3"/>
    <n v="4"/>
    <n v="80"/>
    <n v="2"/>
    <n v="14"/>
    <n v="5"/>
    <n v="4"/>
    <n v="10"/>
    <n v="9"/>
    <n v="1"/>
    <n v="8"/>
    <x v="2"/>
    <s v="Mid"/>
  </r>
  <r>
    <n v="35"/>
    <x v="1"/>
    <s v="Travel_Rarely"/>
    <n v="735"/>
    <x v="1"/>
    <n v="6"/>
    <n v="1"/>
    <s v="Life Sciences"/>
    <n v="1"/>
    <n v="1291"/>
    <n v="3"/>
    <x v="1"/>
    <n v="66"/>
    <n v="3"/>
    <n v="1"/>
    <x v="1"/>
    <n v="3"/>
    <s v="Married"/>
    <n v="3506"/>
    <n v="6020"/>
    <n v="0"/>
    <s v="Y"/>
    <x v="0"/>
    <n v="14"/>
    <n v="3"/>
    <n v="4"/>
    <n v="80"/>
    <n v="0"/>
    <n v="4"/>
    <n v="3"/>
    <n v="3"/>
    <n v="3"/>
    <n v="2"/>
    <n v="2"/>
    <n v="2"/>
    <x v="2"/>
    <s v="Mid"/>
  </r>
  <r>
    <n v="42"/>
    <x v="1"/>
    <s v="Travel_Rarely"/>
    <n v="603"/>
    <x v="1"/>
    <n v="7"/>
    <n v="4"/>
    <s v="Medical"/>
    <n v="1"/>
    <n v="1292"/>
    <n v="2"/>
    <x v="0"/>
    <n v="78"/>
    <n v="4"/>
    <n v="2"/>
    <x v="1"/>
    <n v="2"/>
    <s v="Married"/>
    <n v="2372"/>
    <n v="5628"/>
    <n v="6"/>
    <s v="Y"/>
    <x v="0"/>
    <n v="16"/>
    <n v="3"/>
    <n v="4"/>
    <n v="80"/>
    <n v="0"/>
    <n v="18"/>
    <n v="2"/>
    <n v="3"/>
    <n v="1"/>
    <n v="0"/>
    <n v="0"/>
    <n v="0"/>
    <x v="0"/>
    <s v="Low"/>
  </r>
  <r>
    <n v="43"/>
    <x v="1"/>
    <s v="Travel_Rarely"/>
    <n v="531"/>
    <x v="0"/>
    <n v="4"/>
    <n v="4"/>
    <s v="Marketing"/>
    <n v="1"/>
    <n v="1293"/>
    <n v="4"/>
    <x v="0"/>
    <n v="56"/>
    <n v="2"/>
    <n v="3"/>
    <x v="0"/>
    <n v="4"/>
    <s v="Single"/>
    <n v="10231"/>
    <n v="20364"/>
    <n v="3"/>
    <s v="Y"/>
    <x v="1"/>
    <n v="14"/>
    <n v="3"/>
    <n v="4"/>
    <n v="80"/>
    <n v="0"/>
    <n v="23"/>
    <n v="3"/>
    <n v="4"/>
    <n v="21"/>
    <n v="7"/>
    <n v="15"/>
    <n v="17"/>
    <x v="0"/>
    <s v="High"/>
  </r>
  <r>
    <n v="36"/>
    <x v="1"/>
    <s v="Travel_Rarely"/>
    <n v="429"/>
    <x v="1"/>
    <n v="2"/>
    <n v="4"/>
    <s v="Life Sciences"/>
    <n v="1"/>
    <n v="1294"/>
    <n v="3"/>
    <x v="0"/>
    <n v="53"/>
    <n v="3"/>
    <n v="2"/>
    <x v="3"/>
    <n v="2"/>
    <s v="Single"/>
    <n v="5410"/>
    <n v="2323"/>
    <n v="9"/>
    <s v="Y"/>
    <x v="0"/>
    <n v="11"/>
    <n v="3"/>
    <n v="4"/>
    <n v="80"/>
    <n v="0"/>
    <n v="18"/>
    <n v="2"/>
    <n v="3"/>
    <n v="16"/>
    <n v="14"/>
    <n v="5"/>
    <n v="12"/>
    <x v="0"/>
    <s v="Mid"/>
  </r>
  <r>
    <n v="44"/>
    <x v="0"/>
    <s v="Travel_Rarely"/>
    <n v="621"/>
    <x v="1"/>
    <n v="15"/>
    <n v="3"/>
    <s v="Medical"/>
    <n v="1"/>
    <n v="1295"/>
    <n v="1"/>
    <x v="0"/>
    <n v="73"/>
    <n v="3"/>
    <n v="3"/>
    <x v="4"/>
    <n v="4"/>
    <s v="Married"/>
    <n v="7978"/>
    <n v="14075"/>
    <n v="1"/>
    <s v="Y"/>
    <x v="1"/>
    <n v="11"/>
    <n v="3"/>
    <n v="4"/>
    <n v="80"/>
    <n v="1"/>
    <n v="10"/>
    <n v="2"/>
    <n v="3"/>
    <n v="10"/>
    <n v="7"/>
    <n v="0"/>
    <n v="5"/>
    <x v="0"/>
    <s v="High"/>
  </r>
  <r>
    <n v="28"/>
    <x v="1"/>
    <s v="Travel_Frequently"/>
    <n v="193"/>
    <x v="1"/>
    <n v="2"/>
    <n v="3"/>
    <s v="Life Sciences"/>
    <n v="1"/>
    <n v="1296"/>
    <n v="4"/>
    <x v="1"/>
    <n v="52"/>
    <n v="2"/>
    <n v="1"/>
    <x v="2"/>
    <n v="4"/>
    <s v="Married"/>
    <n v="3867"/>
    <n v="14222"/>
    <n v="1"/>
    <s v="Y"/>
    <x v="0"/>
    <n v="12"/>
    <n v="3"/>
    <n v="2"/>
    <n v="80"/>
    <n v="1"/>
    <n v="2"/>
    <n v="2"/>
    <n v="3"/>
    <n v="2"/>
    <n v="2"/>
    <n v="2"/>
    <n v="2"/>
    <x v="2"/>
    <s v="Mid"/>
  </r>
  <r>
    <n v="51"/>
    <x v="1"/>
    <s v="Travel_Frequently"/>
    <n v="968"/>
    <x v="1"/>
    <n v="6"/>
    <n v="2"/>
    <s v="Medical"/>
    <n v="1"/>
    <n v="1297"/>
    <n v="2"/>
    <x v="0"/>
    <n v="40"/>
    <n v="2"/>
    <n v="1"/>
    <x v="2"/>
    <n v="3"/>
    <s v="Single"/>
    <n v="2838"/>
    <n v="4257"/>
    <n v="0"/>
    <s v="Y"/>
    <x v="1"/>
    <n v="14"/>
    <n v="3"/>
    <n v="2"/>
    <n v="80"/>
    <n v="0"/>
    <n v="8"/>
    <n v="6"/>
    <n v="2"/>
    <n v="7"/>
    <n v="0"/>
    <n v="7"/>
    <n v="7"/>
    <x v="1"/>
    <s v="Low"/>
  </r>
  <r>
    <n v="30"/>
    <x v="1"/>
    <s v="Non-Travel"/>
    <n v="879"/>
    <x v="1"/>
    <n v="9"/>
    <n v="2"/>
    <s v="Medical"/>
    <n v="1"/>
    <n v="1298"/>
    <n v="3"/>
    <x v="0"/>
    <n v="72"/>
    <n v="3"/>
    <n v="2"/>
    <x v="3"/>
    <n v="3"/>
    <s v="Single"/>
    <n v="4695"/>
    <n v="12858"/>
    <n v="7"/>
    <s v="Y"/>
    <x v="0"/>
    <n v="18"/>
    <n v="3"/>
    <n v="3"/>
    <n v="80"/>
    <n v="0"/>
    <n v="10"/>
    <n v="3"/>
    <n v="3"/>
    <n v="8"/>
    <n v="4"/>
    <n v="1"/>
    <n v="7"/>
    <x v="2"/>
    <s v="Mid"/>
  </r>
  <r>
    <n v="29"/>
    <x v="0"/>
    <s v="Travel_Rarely"/>
    <n v="806"/>
    <x v="1"/>
    <n v="7"/>
    <n v="3"/>
    <s v="Technical Degree"/>
    <n v="1"/>
    <n v="1299"/>
    <n v="2"/>
    <x v="0"/>
    <n v="39"/>
    <n v="3"/>
    <n v="1"/>
    <x v="2"/>
    <n v="3"/>
    <s v="Divorced"/>
    <n v="3339"/>
    <n v="17285"/>
    <n v="3"/>
    <s v="Y"/>
    <x v="0"/>
    <n v="13"/>
    <n v="3"/>
    <n v="1"/>
    <n v="80"/>
    <n v="2"/>
    <n v="10"/>
    <n v="2"/>
    <n v="3"/>
    <n v="7"/>
    <n v="7"/>
    <n v="7"/>
    <n v="7"/>
    <x v="2"/>
    <s v="Mid"/>
  </r>
  <r>
    <n v="28"/>
    <x v="1"/>
    <s v="Travel_Rarely"/>
    <n v="640"/>
    <x v="1"/>
    <n v="1"/>
    <n v="3"/>
    <s v="Technical Degree"/>
    <n v="1"/>
    <n v="1301"/>
    <n v="4"/>
    <x v="1"/>
    <n v="84"/>
    <n v="3"/>
    <n v="1"/>
    <x v="1"/>
    <n v="1"/>
    <s v="Single"/>
    <n v="2080"/>
    <n v="4732"/>
    <n v="2"/>
    <s v="Y"/>
    <x v="1"/>
    <n v="11"/>
    <n v="3"/>
    <n v="2"/>
    <n v="80"/>
    <n v="0"/>
    <n v="5"/>
    <n v="2"/>
    <n v="2"/>
    <n v="3"/>
    <n v="2"/>
    <n v="1"/>
    <n v="2"/>
    <x v="2"/>
    <s v="Low"/>
  </r>
  <r>
    <n v="25"/>
    <x v="1"/>
    <s v="Travel_Rarely"/>
    <n v="266"/>
    <x v="1"/>
    <n v="1"/>
    <n v="3"/>
    <s v="Medical"/>
    <n v="1"/>
    <n v="1303"/>
    <n v="4"/>
    <x v="0"/>
    <n v="40"/>
    <n v="3"/>
    <n v="1"/>
    <x v="1"/>
    <n v="2"/>
    <s v="Single"/>
    <n v="2096"/>
    <n v="18830"/>
    <n v="1"/>
    <s v="Y"/>
    <x v="1"/>
    <n v="18"/>
    <n v="3"/>
    <n v="4"/>
    <n v="80"/>
    <n v="0"/>
    <n v="2"/>
    <n v="3"/>
    <n v="2"/>
    <n v="2"/>
    <n v="2"/>
    <n v="2"/>
    <n v="1"/>
    <x v="3"/>
    <s v="Low"/>
  </r>
  <r>
    <n v="32"/>
    <x v="1"/>
    <s v="Travel_Rarely"/>
    <n v="604"/>
    <x v="0"/>
    <n v="8"/>
    <n v="3"/>
    <s v="Medical"/>
    <n v="1"/>
    <n v="1304"/>
    <n v="3"/>
    <x v="1"/>
    <n v="56"/>
    <n v="4"/>
    <n v="2"/>
    <x v="0"/>
    <n v="4"/>
    <s v="Married"/>
    <n v="6209"/>
    <n v="11693"/>
    <n v="1"/>
    <s v="Y"/>
    <x v="1"/>
    <n v="15"/>
    <n v="3"/>
    <n v="3"/>
    <n v="80"/>
    <n v="2"/>
    <n v="10"/>
    <n v="4"/>
    <n v="4"/>
    <n v="10"/>
    <n v="7"/>
    <n v="0"/>
    <n v="8"/>
    <x v="2"/>
    <s v="Mid"/>
  </r>
  <r>
    <n v="45"/>
    <x v="1"/>
    <s v="Travel_Frequently"/>
    <n v="364"/>
    <x v="1"/>
    <n v="25"/>
    <n v="3"/>
    <s v="Medical"/>
    <n v="1"/>
    <n v="1306"/>
    <n v="2"/>
    <x v="0"/>
    <n v="83"/>
    <n v="3"/>
    <n v="5"/>
    <x v="5"/>
    <n v="2"/>
    <s v="Single"/>
    <n v="18061"/>
    <n v="13035"/>
    <n v="3"/>
    <s v="Y"/>
    <x v="1"/>
    <n v="22"/>
    <n v="4"/>
    <n v="3"/>
    <n v="80"/>
    <n v="0"/>
    <n v="22"/>
    <n v="4"/>
    <n v="3"/>
    <n v="0"/>
    <n v="0"/>
    <n v="0"/>
    <n v="0"/>
    <x v="0"/>
    <s v="Top"/>
  </r>
  <r>
    <n v="39"/>
    <x v="1"/>
    <s v="Travel_Rarely"/>
    <n v="412"/>
    <x v="1"/>
    <n v="13"/>
    <n v="4"/>
    <s v="Medical"/>
    <n v="1"/>
    <n v="1307"/>
    <n v="3"/>
    <x v="0"/>
    <n v="94"/>
    <n v="2"/>
    <n v="4"/>
    <x v="5"/>
    <n v="2"/>
    <s v="Divorced"/>
    <n v="17123"/>
    <n v="17334"/>
    <n v="6"/>
    <s v="Y"/>
    <x v="0"/>
    <n v="13"/>
    <n v="3"/>
    <n v="4"/>
    <n v="80"/>
    <n v="2"/>
    <n v="21"/>
    <n v="4"/>
    <n v="3"/>
    <n v="19"/>
    <n v="9"/>
    <n v="15"/>
    <n v="2"/>
    <x v="0"/>
    <s v="Top"/>
  </r>
  <r>
    <n v="58"/>
    <x v="1"/>
    <s v="Travel_Rarely"/>
    <n v="848"/>
    <x v="1"/>
    <n v="23"/>
    <n v="4"/>
    <s v="Life Sciences"/>
    <n v="1"/>
    <n v="1308"/>
    <n v="1"/>
    <x v="1"/>
    <n v="88"/>
    <n v="3"/>
    <n v="1"/>
    <x v="1"/>
    <n v="3"/>
    <s v="Divorced"/>
    <n v="2372"/>
    <n v="26076"/>
    <n v="1"/>
    <s v="Y"/>
    <x v="1"/>
    <n v="12"/>
    <n v="3"/>
    <n v="4"/>
    <n v="80"/>
    <n v="2"/>
    <n v="2"/>
    <n v="3"/>
    <n v="3"/>
    <n v="2"/>
    <n v="2"/>
    <n v="2"/>
    <n v="2"/>
    <x v="1"/>
    <s v="Low"/>
  </r>
  <r>
    <n v="32"/>
    <x v="0"/>
    <s v="Travel_Rarely"/>
    <n v="1089"/>
    <x v="1"/>
    <n v="7"/>
    <n v="2"/>
    <s v="Life Sciences"/>
    <n v="1"/>
    <n v="1309"/>
    <n v="4"/>
    <x v="1"/>
    <n v="79"/>
    <n v="3"/>
    <n v="2"/>
    <x v="2"/>
    <n v="3"/>
    <s v="Married"/>
    <n v="4883"/>
    <n v="22845"/>
    <n v="1"/>
    <s v="Y"/>
    <x v="1"/>
    <n v="18"/>
    <n v="3"/>
    <n v="1"/>
    <n v="80"/>
    <n v="1"/>
    <n v="10"/>
    <n v="3"/>
    <n v="3"/>
    <n v="10"/>
    <n v="4"/>
    <n v="1"/>
    <n v="1"/>
    <x v="2"/>
    <s v="Mid"/>
  </r>
  <r>
    <n v="39"/>
    <x v="0"/>
    <s v="Travel_Rarely"/>
    <n v="360"/>
    <x v="1"/>
    <n v="23"/>
    <n v="3"/>
    <s v="Medical"/>
    <n v="1"/>
    <n v="1310"/>
    <n v="3"/>
    <x v="1"/>
    <n v="93"/>
    <n v="3"/>
    <n v="1"/>
    <x v="1"/>
    <n v="1"/>
    <s v="Single"/>
    <n v="3904"/>
    <n v="22154"/>
    <n v="0"/>
    <s v="Y"/>
    <x v="1"/>
    <n v="13"/>
    <n v="3"/>
    <n v="1"/>
    <n v="80"/>
    <n v="0"/>
    <n v="6"/>
    <n v="2"/>
    <n v="3"/>
    <n v="5"/>
    <n v="2"/>
    <n v="0"/>
    <n v="3"/>
    <x v="0"/>
    <s v="Mid"/>
  </r>
  <r>
    <n v="30"/>
    <x v="1"/>
    <s v="Travel_Rarely"/>
    <n v="1138"/>
    <x v="1"/>
    <n v="6"/>
    <n v="3"/>
    <s v="Technical Degree"/>
    <n v="1"/>
    <n v="1311"/>
    <n v="1"/>
    <x v="0"/>
    <n v="48"/>
    <n v="2"/>
    <n v="2"/>
    <x v="2"/>
    <n v="4"/>
    <s v="Married"/>
    <n v="4627"/>
    <n v="23631"/>
    <n v="0"/>
    <s v="Y"/>
    <x v="1"/>
    <n v="12"/>
    <n v="3"/>
    <n v="1"/>
    <n v="80"/>
    <n v="1"/>
    <n v="10"/>
    <n v="6"/>
    <n v="3"/>
    <n v="9"/>
    <n v="2"/>
    <n v="6"/>
    <n v="7"/>
    <x v="2"/>
    <s v="Mid"/>
  </r>
  <r>
    <n v="36"/>
    <x v="1"/>
    <s v="Travel_Rarely"/>
    <n v="325"/>
    <x v="1"/>
    <n v="10"/>
    <n v="4"/>
    <s v="Technical Degree"/>
    <n v="1"/>
    <n v="1312"/>
    <n v="4"/>
    <x v="0"/>
    <n v="63"/>
    <n v="3"/>
    <n v="3"/>
    <x v="4"/>
    <n v="3"/>
    <s v="Married"/>
    <n v="7094"/>
    <n v="5747"/>
    <n v="3"/>
    <s v="Y"/>
    <x v="1"/>
    <n v="12"/>
    <n v="3"/>
    <n v="1"/>
    <n v="80"/>
    <n v="0"/>
    <n v="10"/>
    <n v="0"/>
    <n v="3"/>
    <n v="7"/>
    <n v="7"/>
    <n v="1"/>
    <n v="7"/>
    <x v="0"/>
    <s v="High"/>
  </r>
  <r>
    <n v="46"/>
    <x v="1"/>
    <s v="Travel_Rarely"/>
    <n v="991"/>
    <x v="2"/>
    <n v="1"/>
    <n v="2"/>
    <s v="Life Sciences"/>
    <n v="1"/>
    <n v="1314"/>
    <n v="4"/>
    <x v="0"/>
    <n v="44"/>
    <n v="3"/>
    <n v="1"/>
    <x v="8"/>
    <n v="1"/>
    <s v="Single"/>
    <n v="3423"/>
    <n v="22957"/>
    <n v="6"/>
    <s v="Y"/>
    <x v="1"/>
    <n v="12"/>
    <n v="3"/>
    <n v="3"/>
    <n v="80"/>
    <n v="0"/>
    <n v="10"/>
    <n v="3"/>
    <n v="4"/>
    <n v="7"/>
    <n v="6"/>
    <n v="5"/>
    <n v="7"/>
    <x v="1"/>
    <s v="Mid"/>
  </r>
  <r>
    <n v="28"/>
    <x v="1"/>
    <s v="Non-Travel"/>
    <n v="1476"/>
    <x v="1"/>
    <n v="1"/>
    <n v="3"/>
    <s v="Life Sciences"/>
    <n v="1"/>
    <n v="1315"/>
    <n v="3"/>
    <x v="0"/>
    <n v="55"/>
    <n v="1"/>
    <n v="2"/>
    <x v="2"/>
    <n v="4"/>
    <s v="Married"/>
    <n v="6674"/>
    <n v="16392"/>
    <n v="0"/>
    <s v="Y"/>
    <x v="1"/>
    <n v="11"/>
    <n v="3"/>
    <n v="1"/>
    <n v="80"/>
    <n v="3"/>
    <n v="10"/>
    <n v="6"/>
    <n v="3"/>
    <n v="9"/>
    <n v="8"/>
    <n v="7"/>
    <n v="5"/>
    <x v="2"/>
    <s v="Mid"/>
  </r>
  <r>
    <n v="50"/>
    <x v="1"/>
    <s v="Travel_Rarely"/>
    <n v="1322"/>
    <x v="1"/>
    <n v="28"/>
    <n v="3"/>
    <s v="Life Sciences"/>
    <n v="1"/>
    <n v="1317"/>
    <n v="4"/>
    <x v="0"/>
    <n v="43"/>
    <n v="3"/>
    <n v="4"/>
    <x v="7"/>
    <n v="1"/>
    <s v="Married"/>
    <n v="16880"/>
    <n v="22422"/>
    <n v="4"/>
    <s v="Y"/>
    <x v="0"/>
    <n v="11"/>
    <n v="3"/>
    <n v="2"/>
    <n v="80"/>
    <n v="0"/>
    <n v="25"/>
    <n v="2"/>
    <n v="3"/>
    <n v="3"/>
    <n v="2"/>
    <n v="1"/>
    <n v="2"/>
    <x v="1"/>
    <s v="Top"/>
  </r>
  <r>
    <n v="40"/>
    <x v="0"/>
    <s v="Travel_Rarely"/>
    <n v="299"/>
    <x v="0"/>
    <n v="25"/>
    <n v="4"/>
    <s v="Marketing"/>
    <n v="1"/>
    <n v="1318"/>
    <n v="4"/>
    <x v="1"/>
    <n v="57"/>
    <n v="2"/>
    <n v="3"/>
    <x v="0"/>
    <n v="2"/>
    <s v="Single"/>
    <n v="9094"/>
    <n v="17235"/>
    <n v="2"/>
    <s v="Y"/>
    <x v="0"/>
    <n v="12"/>
    <n v="3"/>
    <n v="3"/>
    <n v="80"/>
    <n v="0"/>
    <n v="9"/>
    <n v="2"/>
    <n v="3"/>
    <n v="5"/>
    <n v="4"/>
    <n v="1"/>
    <n v="0"/>
    <x v="0"/>
    <s v="High"/>
  </r>
  <r>
    <n v="52"/>
    <x v="0"/>
    <s v="Travel_Rarely"/>
    <n v="1030"/>
    <x v="0"/>
    <n v="5"/>
    <n v="3"/>
    <s v="Life Sciences"/>
    <n v="1"/>
    <n v="1319"/>
    <n v="2"/>
    <x v="1"/>
    <n v="64"/>
    <n v="3"/>
    <n v="3"/>
    <x v="0"/>
    <n v="2"/>
    <s v="Single"/>
    <n v="8446"/>
    <n v="21534"/>
    <n v="9"/>
    <s v="Y"/>
    <x v="0"/>
    <n v="19"/>
    <n v="3"/>
    <n v="3"/>
    <n v="80"/>
    <n v="0"/>
    <n v="10"/>
    <n v="2"/>
    <n v="2"/>
    <n v="8"/>
    <n v="7"/>
    <n v="7"/>
    <n v="7"/>
    <x v="1"/>
    <s v="High"/>
  </r>
  <r>
    <n v="30"/>
    <x v="1"/>
    <s v="Travel_Rarely"/>
    <n v="634"/>
    <x v="1"/>
    <n v="17"/>
    <n v="4"/>
    <s v="Medical"/>
    <n v="1"/>
    <n v="1321"/>
    <n v="2"/>
    <x v="0"/>
    <n v="95"/>
    <n v="3"/>
    <n v="3"/>
    <x v="5"/>
    <n v="1"/>
    <s v="Married"/>
    <n v="11916"/>
    <n v="25927"/>
    <n v="1"/>
    <s v="Y"/>
    <x v="0"/>
    <n v="23"/>
    <n v="4"/>
    <n v="4"/>
    <n v="80"/>
    <n v="2"/>
    <n v="9"/>
    <n v="2"/>
    <n v="3"/>
    <n v="9"/>
    <n v="1"/>
    <n v="0"/>
    <n v="8"/>
    <x v="2"/>
    <s v="High"/>
  </r>
  <r>
    <n v="39"/>
    <x v="1"/>
    <s v="Travel_Rarely"/>
    <n v="524"/>
    <x v="1"/>
    <n v="18"/>
    <n v="2"/>
    <s v="Life Sciences"/>
    <n v="1"/>
    <n v="1322"/>
    <n v="1"/>
    <x v="1"/>
    <n v="32"/>
    <n v="3"/>
    <n v="2"/>
    <x v="3"/>
    <n v="3"/>
    <s v="Single"/>
    <n v="4534"/>
    <n v="13352"/>
    <n v="0"/>
    <s v="Y"/>
    <x v="1"/>
    <n v="11"/>
    <n v="3"/>
    <n v="1"/>
    <n v="80"/>
    <n v="0"/>
    <n v="9"/>
    <n v="6"/>
    <n v="3"/>
    <n v="8"/>
    <n v="7"/>
    <n v="1"/>
    <n v="7"/>
    <x v="0"/>
    <s v="Mid"/>
  </r>
  <r>
    <n v="31"/>
    <x v="1"/>
    <s v="Non-Travel"/>
    <n v="587"/>
    <x v="0"/>
    <n v="2"/>
    <n v="4"/>
    <s v="Life Sciences"/>
    <n v="1"/>
    <n v="1324"/>
    <n v="4"/>
    <x v="0"/>
    <n v="57"/>
    <n v="3"/>
    <n v="3"/>
    <x v="0"/>
    <n v="3"/>
    <s v="Divorced"/>
    <n v="9852"/>
    <n v="8935"/>
    <n v="1"/>
    <s v="Y"/>
    <x v="0"/>
    <n v="19"/>
    <n v="3"/>
    <n v="1"/>
    <n v="80"/>
    <n v="1"/>
    <n v="10"/>
    <n v="5"/>
    <n v="2"/>
    <n v="10"/>
    <n v="8"/>
    <n v="9"/>
    <n v="6"/>
    <x v="2"/>
    <s v="High"/>
  </r>
  <r>
    <n v="41"/>
    <x v="1"/>
    <s v="Non-Travel"/>
    <n v="256"/>
    <x v="0"/>
    <n v="10"/>
    <n v="2"/>
    <s v="Medical"/>
    <n v="1"/>
    <n v="1329"/>
    <n v="3"/>
    <x v="1"/>
    <n v="40"/>
    <n v="1"/>
    <n v="2"/>
    <x v="0"/>
    <n v="2"/>
    <s v="Single"/>
    <n v="6151"/>
    <n v="22074"/>
    <n v="1"/>
    <s v="Y"/>
    <x v="1"/>
    <n v="13"/>
    <n v="3"/>
    <n v="1"/>
    <n v="80"/>
    <n v="0"/>
    <n v="19"/>
    <n v="4"/>
    <n v="3"/>
    <n v="19"/>
    <n v="2"/>
    <n v="11"/>
    <n v="9"/>
    <x v="0"/>
    <s v="Mid"/>
  </r>
  <r>
    <n v="31"/>
    <x v="0"/>
    <s v="Travel_Frequently"/>
    <n v="1060"/>
    <x v="0"/>
    <n v="1"/>
    <n v="3"/>
    <s v="Life Sciences"/>
    <n v="1"/>
    <n v="1331"/>
    <n v="4"/>
    <x v="0"/>
    <n v="54"/>
    <n v="3"/>
    <n v="1"/>
    <x v="6"/>
    <n v="2"/>
    <s v="Single"/>
    <n v="2302"/>
    <n v="8319"/>
    <n v="1"/>
    <s v="Y"/>
    <x v="0"/>
    <n v="11"/>
    <n v="3"/>
    <n v="1"/>
    <n v="80"/>
    <n v="0"/>
    <n v="3"/>
    <n v="2"/>
    <n v="4"/>
    <n v="3"/>
    <n v="2"/>
    <n v="2"/>
    <n v="2"/>
    <x v="2"/>
    <s v="Low"/>
  </r>
  <r>
    <n v="44"/>
    <x v="0"/>
    <s v="Travel_Rarely"/>
    <n v="935"/>
    <x v="1"/>
    <n v="3"/>
    <n v="3"/>
    <s v="Life Sciences"/>
    <n v="1"/>
    <n v="1333"/>
    <n v="1"/>
    <x v="1"/>
    <n v="89"/>
    <n v="3"/>
    <n v="1"/>
    <x v="2"/>
    <n v="1"/>
    <s v="Married"/>
    <n v="2362"/>
    <n v="14669"/>
    <n v="4"/>
    <s v="Y"/>
    <x v="1"/>
    <n v="12"/>
    <n v="3"/>
    <n v="3"/>
    <n v="80"/>
    <n v="0"/>
    <n v="10"/>
    <n v="4"/>
    <n v="4"/>
    <n v="3"/>
    <n v="2"/>
    <n v="1"/>
    <n v="2"/>
    <x v="0"/>
    <s v="Low"/>
  </r>
  <r>
    <n v="42"/>
    <x v="1"/>
    <s v="Non-Travel"/>
    <n v="495"/>
    <x v="1"/>
    <n v="2"/>
    <n v="1"/>
    <s v="Life Sciences"/>
    <n v="1"/>
    <n v="1334"/>
    <n v="3"/>
    <x v="1"/>
    <n v="37"/>
    <n v="3"/>
    <n v="4"/>
    <x v="5"/>
    <n v="3"/>
    <s v="Married"/>
    <n v="17861"/>
    <n v="26582"/>
    <n v="0"/>
    <s v="Y"/>
    <x v="0"/>
    <n v="13"/>
    <n v="3"/>
    <n v="4"/>
    <n v="80"/>
    <n v="0"/>
    <n v="21"/>
    <n v="3"/>
    <n v="2"/>
    <n v="20"/>
    <n v="8"/>
    <n v="2"/>
    <n v="10"/>
    <x v="0"/>
    <s v="Top"/>
  </r>
  <r>
    <n v="55"/>
    <x v="1"/>
    <s v="Travel_Rarely"/>
    <n v="282"/>
    <x v="1"/>
    <n v="2"/>
    <n v="2"/>
    <s v="Medical"/>
    <n v="1"/>
    <n v="1336"/>
    <n v="4"/>
    <x v="0"/>
    <n v="58"/>
    <n v="1"/>
    <n v="5"/>
    <x v="5"/>
    <n v="3"/>
    <s v="Married"/>
    <n v="19187"/>
    <n v="6992"/>
    <n v="4"/>
    <s v="Y"/>
    <x v="1"/>
    <n v="14"/>
    <n v="3"/>
    <n v="4"/>
    <n v="80"/>
    <n v="1"/>
    <n v="23"/>
    <n v="5"/>
    <n v="3"/>
    <n v="19"/>
    <n v="9"/>
    <n v="9"/>
    <n v="11"/>
    <x v="1"/>
    <s v="Top"/>
  </r>
  <r>
    <n v="56"/>
    <x v="1"/>
    <s v="Travel_Rarely"/>
    <n v="206"/>
    <x v="2"/>
    <n v="8"/>
    <n v="4"/>
    <s v="Life Sciences"/>
    <n v="1"/>
    <n v="1338"/>
    <n v="4"/>
    <x v="1"/>
    <n v="99"/>
    <n v="3"/>
    <n v="5"/>
    <x v="5"/>
    <n v="2"/>
    <s v="Single"/>
    <n v="19717"/>
    <n v="4022"/>
    <n v="6"/>
    <s v="Y"/>
    <x v="1"/>
    <n v="14"/>
    <n v="3"/>
    <n v="1"/>
    <n v="80"/>
    <n v="0"/>
    <n v="36"/>
    <n v="4"/>
    <n v="3"/>
    <n v="7"/>
    <n v="3"/>
    <n v="7"/>
    <n v="7"/>
    <x v="1"/>
    <s v="Top"/>
  </r>
  <r>
    <n v="40"/>
    <x v="1"/>
    <s v="Non-Travel"/>
    <n v="458"/>
    <x v="1"/>
    <n v="16"/>
    <n v="2"/>
    <s v="Life Sciences"/>
    <n v="1"/>
    <n v="1340"/>
    <n v="3"/>
    <x v="1"/>
    <n v="74"/>
    <n v="3"/>
    <n v="1"/>
    <x v="1"/>
    <n v="3"/>
    <s v="Divorced"/>
    <n v="3544"/>
    <n v="8532"/>
    <n v="9"/>
    <s v="Y"/>
    <x v="1"/>
    <n v="16"/>
    <n v="3"/>
    <n v="2"/>
    <n v="80"/>
    <n v="1"/>
    <n v="6"/>
    <n v="0"/>
    <n v="3"/>
    <n v="4"/>
    <n v="2"/>
    <n v="0"/>
    <n v="0"/>
    <x v="0"/>
    <s v="Mid"/>
  </r>
  <r>
    <n v="34"/>
    <x v="1"/>
    <s v="Travel_Rarely"/>
    <n v="943"/>
    <x v="1"/>
    <n v="9"/>
    <n v="3"/>
    <s v="Life Sciences"/>
    <n v="1"/>
    <n v="1344"/>
    <n v="4"/>
    <x v="1"/>
    <n v="86"/>
    <n v="3"/>
    <n v="3"/>
    <x v="4"/>
    <n v="4"/>
    <s v="Divorced"/>
    <n v="8500"/>
    <n v="5494"/>
    <n v="0"/>
    <s v="Y"/>
    <x v="1"/>
    <n v="11"/>
    <n v="3"/>
    <n v="4"/>
    <n v="80"/>
    <n v="1"/>
    <n v="10"/>
    <n v="0"/>
    <n v="2"/>
    <n v="9"/>
    <n v="7"/>
    <n v="1"/>
    <n v="6"/>
    <x v="2"/>
    <s v="High"/>
  </r>
  <r>
    <n v="40"/>
    <x v="1"/>
    <s v="Travel_Rarely"/>
    <n v="523"/>
    <x v="1"/>
    <n v="2"/>
    <n v="3"/>
    <s v="Life Sciences"/>
    <n v="1"/>
    <n v="1346"/>
    <n v="3"/>
    <x v="1"/>
    <n v="98"/>
    <n v="3"/>
    <n v="2"/>
    <x v="1"/>
    <n v="4"/>
    <s v="Single"/>
    <n v="4661"/>
    <n v="22455"/>
    <n v="1"/>
    <s v="Y"/>
    <x v="1"/>
    <n v="13"/>
    <n v="3"/>
    <n v="3"/>
    <n v="80"/>
    <n v="0"/>
    <n v="9"/>
    <n v="4"/>
    <n v="3"/>
    <n v="9"/>
    <n v="8"/>
    <n v="8"/>
    <n v="8"/>
    <x v="0"/>
    <s v="Mid"/>
  </r>
  <r>
    <n v="41"/>
    <x v="1"/>
    <s v="Travel_Frequently"/>
    <n v="1018"/>
    <x v="0"/>
    <n v="1"/>
    <n v="3"/>
    <s v="Marketing"/>
    <n v="1"/>
    <n v="1349"/>
    <n v="3"/>
    <x v="0"/>
    <n v="66"/>
    <n v="3"/>
    <n v="2"/>
    <x v="0"/>
    <n v="1"/>
    <s v="Divorced"/>
    <n v="4103"/>
    <n v="4297"/>
    <n v="0"/>
    <s v="Y"/>
    <x v="1"/>
    <n v="17"/>
    <n v="3"/>
    <n v="4"/>
    <n v="80"/>
    <n v="1"/>
    <n v="10"/>
    <n v="2"/>
    <n v="3"/>
    <n v="9"/>
    <n v="3"/>
    <n v="1"/>
    <n v="7"/>
    <x v="0"/>
    <s v="Mid"/>
  </r>
  <r>
    <n v="35"/>
    <x v="1"/>
    <s v="Travel_Frequently"/>
    <n v="482"/>
    <x v="1"/>
    <n v="4"/>
    <n v="4"/>
    <s v="Life Sciences"/>
    <n v="1"/>
    <n v="1350"/>
    <n v="3"/>
    <x v="1"/>
    <n v="87"/>
    <n v="3"/>
    <n v="2"/>
    <x v="1"/>
    <n v="3"/>
    <s v="Single"/>
    <n v="4249"/>
    <n v="2690"/>
    <n v="1"/>
    <s v="Y"/>
    <x v="0"/>
    <n v="11"/>
    <n v="3"/>
    <n v="2"/>
    <n v="80"/>
    <n v="0"/>
    <n v="9"/>
    <n v="3"/>
    <n v="3"/>
    <n v="9"/>
    <n v="6"/>
    <n v="1"/>
    <n v="1"/>
    <x v="2"/>
    <s v="Mid"/>
  </r>
  <r>
    <n v="51"/>
    <x v="1"/>
    <s v="Travel_Rarely"/>
    <n v="770"/>
    <x v="2"/>
    <n v="5"/>
    <n v="3"/>
    <s v="Life Sciences"/>
    <n v="1"/>
    <n v="1352"/>
    <n v="3"/>
    <x v="1"/>
    <n v="84"/>
    <n v="3"/>
    <n v="4"/>
    <x v="5"/>
    <n v="2"/>
    <s v="Divorced"/>
    <n v="14026"/>
    <n v="17588"/>
    <n v="1"/>
    <s v="Y"/>
    <x v="0"/>
    <n v="11"/>
    <n v="3"/>
    <n v="2"/>
    <n v="80"/>
    <n v="1"/>
    <n v="33"/>
    <n v="2"/>
    <n v="3"/>
    <n v="33"/>
    <n v="9"/>
    <n v="0"/>
    <n v="10"/>
    <x v="1"/>
    <s v="Top"/>
  </r>
  <r>
    <n v="38"/>
    <x v="1"/>
    <s v="Travel_Rarely"/>
    <n v="1009"/>
    <x v="0"/>
    <n v="2"/>
    <n v="2"/>
    <s v="Life Sciences"/>
    <n v="1"/>
    <n v="1355"/>
    <n v="2"/>
    <x v="0"/>
    <n v="31"/>
    <n v="3"/>
    <n v="2"/>
    <x v="0"/>
    <n v="1"/>
    <s v="Divorced"/>
    <n v="6893"/>
    <n v="19461"/>
    <n v="3"/>
    <s v="Y"/>
    <x v="1"/>
    <n v="15"/>
    <n v="3"/>
    <n v="4"/>
    <n v="80"/>
    <n v="1"/>
    <n v="11"/>
    <n v="3"/>
    <n v="3"/>
    <n v="7"/>
    <n v="7"/>
    <n v="1"/>
    <n v="7"/>
    <x v="0"/>
    <s v="Mid"/>
  </r>
  <r>
    <n v="34"/>
    <x v="1"/>
    <s v="Travel_Rarely"/>
    <n v="507"/>
    <x v="0"/>
    <n v="15"/>
    <n v="2"/>
    <s v="Medical"/>
    <n v="1"/>
    <n v="1356"/>
    <n v="3"/>
    <x v="0"/>
    <n v="66"/>
    <n v="3"/>
    <n v="2"/>
    <x v="0"/>
    <n v="1"/>
    <s v="Single"/>
    <n v="6125"/>
    <n v="23553"/>
    <n v="1"/>
    <s v="Y"/>
    <x v="1"/>
    <n v="12"/>
    <n v="3"/>
    <n v="4"/>
    <n v="80"/>
    <n v="0"/>
    <n v="10"/>
    <n v="6"/>
    <n v="4"/>
    <n v="10"/>
    <n v="8"/>
    <n v="9"/>
    <n v="6"/>
    <x v="2"/>
    <s v="Mid"/>
  </r>
  <r>
    <n v="25"/>
    <x v="1"/>
    <s v="Travel_Rarely"/>
    <n v="882"/>
    <x v="1"/>
    <n v="19"/>
    <n v="1"/>
    <s v="Medical"/>
    <n v="1"/>
    <n v="1358"/>
    <n v="4"/>
    <x v="1"/>
    <n v="67"/>
    <n v="3"/>
    <n v="1"/>
    <x v="2"/>
    <n v="4"/>
    <s v="Married"/>
    <n v="3669"/>
    <n v="9075"/>
    <n v="3"/>
    <s v="Y"/>
    <x v="1"/>
    <n v="11"/>
    <n v="3"/>
    <n v="3"/>
    <n v="80"/>
    <n v="3"/>
    <n v="7"/>
    <n v="6"/>
    <n v="2"/>
    <n v="3"/>
    <n v="2"/>
    <n v="1"/>
    <n v="2"/>
    <x v="3"/>
    <s v="Mid"/>
  </r>
  <r>
    <n v="58"/>
    <x v="0"/>
    <s v="Travel_Rarely"/>
    <n v="601"/>
    <x v="1"/>
    <n v="7"/>
    <n v="4"/>
    <s v="Medical"/>
    <n v="1"/>
    <n v="1360"/>
    <n v="3"/>
    <x v="0"/>
    <n v="53"/>
    <n v="2"/>
    <n v="3"/>
    <x v="3"/>
    <n v="1"/>
    <s v="Married"/>
    <n v="10008"/>
    <n v="12023"/>
    <n v="7"/>
    <s v="Y"/>
    <x v="0"/>
    <n v="14"/>
    <n v="3"/>
    <n v="4"/>
    <n v="80"/>
    <n v="0"/>
    <n v="31"/>
    <n v="0"/>
    <n v="2"/>
    <n v="10"/>
    <n v="9"/>
    <n v="5"/>
    <n v="9"/>
    <x v="1"/>
    <s v="High"/>
  </r>
  <r>
    <n v="40"/>
    <x v="1"/>
    <s v="Travel_Rarely"/>
    <n v="329"/>
    <x v="1"/>
    <n v="1"/>
    <n v="4"/>
    <s v="Life Sciences"/>
    <n v="1"/>
    <n v="1361"/>
    <n v="2"/>
    <x v="1"/>
    <n v="88"/>
    <n v="3"/>
    <n v="1"/>
    <x v="2"/>
    <n v="2"/>
    <s v="Married"/>
    <n v="2387"/>
    <n v="6762"/>
    <n v="3"/>
    <s v="Y"/>
    <x v="1"/>
    <n v="22"/>
    <n v="4"/>
    <n v="3"/>
    <n v="80"/>
    <n v="1"/>
    <n v="7"/>
    <n v="3"/>
    <n v="3"/>
    <n v="4"/>
    <n v="2"/>
    <n v="0"/>
    <n v="3"/>
    <x v="0"/>
    <s v="Low"/>
  </r>
  <r>
    <n v="36"/>
    <x v="1"/>
    <s v="Travel_Frequently"/>
    <n v="607"/>
    <x v="0"/>
    <n v="7"/>
    <n v="3"/>
    <s v="Marketing"/>
    <n v="1"/>
    <n v="1362"/>
    <n v="1"/>
    <x v="0"/>
    <n v="83"/>
    <n v="4"/>
    <n v="2"/>
    <x v="0"/>
    <n v="1"/>
    <s v="Married"/>
    <n v="4639"/>
    <n v="2261"/>
    <n v="2"/>
    <s v="Y"/>
    <x v="1"/>
    <n v="16"/>
    <n v="3"/>
    <n v="4"/>
    <n v="80"/>
    <n v="1"/>
    <n v="17"/>
    <n v="2"/>
    <n v="2"/>
    <n v="15"/>
    <n v="7"/>
    <n v="6"/>
    <n v="13"/>
    <x v="0"/>
    <s v="Mid"/>
  </r>
  <r>
    <n v="48"/>
    <x v="1"/>
    <s v="Travel_Rarely"/>
    <n v="855"/>
    <x v="1"/>
    <n v="4"/>
    <n v="3"/>
    <s v="Life Sciences"/>
    <n v="1"/>
    <n v="1363"/>
    <n v="4"/>
    <x v="1"/>
    <n v="54"/>
    <n v="3"/>
    <n v="3"/>
    <x v="3"/>
    <n v="4"/>
    <s v="Single"/>
    <n v="7898"/>
    <n v="18706"/>
    <n v="1"/>
    <s v="Y"/>
    <x v="1"/>
    <n v="11"/>
    <n v="3"/>
    <n v="3"/>
    <n v="80"/>
    <n v="0"/>
    <n v="11"/>
    <n v="2"/>
    <n v="3"/>
    <n v="10"/>
    <n v="9"/>
    <n v="0"/>
    <n v="8"/>
    <x v="1"/>
    <s v="High"/>
  </r>
  <r>
    <n v="27"/>
    <x v="1"/>
    <s v="Travel_Rarely"/>
    <n v="1291"/>
    <x v="0"/>
    <n v="11"/>
    <n v="3"/>
    <s v="Medical"/>
    <n v="1"/>
    <n v="1364"/>
    <n v="3"/>
    <x v="0"/>
    <n v="98"/>
    <n v="4"/>
    <n v="1"/>
    <x v="6"/>
    <n v="4"/>
    <s v="Married"/>
    <n v="2534"/>
    <n v="6527"/>
    <n v="8"/>
    <s v="Y"/>
    <x v="1"/>
    <n v="14"/>
    <n v="3"/>
    <n v="2"/>
    <n v="80"/>
    <n v="1"/>
    <n v="5"/>
    <n v="4"/>
    <n v="3"/>
    <n v="1"/>
    <n v="0"/>
    <n v="0"/>
    <n v="0"/>
    <x v="2"/>
    <s v="Low"/>
  </r>
  <r>
    <n v="51"/>
    <x v="1"/>
    <s v="Travel_Rarely"/>
    <n v="1405"/>
    <x v="1"/>
    <n v="11"/>
    <n v="2"/>
    <s v="Technical Degree"/>
    <n v="1"/>
    <n v="1367"/>
    <n v="4"/>
    <x v="0"/>
    <n v="82"/>
    <n v="2"/>
    <n v="4"/>
    <x v="3"/>
    <n v="2"/>
    <s v="Single"/>
    <n v="13142"/>
    <n v="24439"/>
    <n v="3"/>
    <s v="Y"/>
    <x v="1"/>
    <n v="16"/>
    <n v="3"/>
    <n v="2"/>
    <n v="80"/>
    <n v="0"/>
    <n v="29"/>
    <n v="1"/>
    <n v="2"/>
    <n v="5"/>
    <n v="2"/>
    <n v="0"/>
    <n v="3"/>
    <x v="1"/>
    <s v="Top"/>
  </r>
  <r>
    <n v="18"/>
    <x v="1"/>
    <s v="Non-Travel"/>
    <n v="1124"/>
    <x v="1"/>
    <n v="1"/>
    <n v="3"/>
    <s v="Life Sciences"/>
    <n v="1"/>
    <n v="1368"/>
    <n v="4"/>
    <x v="0"/>
    <n v="97"/>
    <n v="3"/>
    <n v="1"/>
    <x v="2"/>
    <n v="4"/>
    <s v="Single"/>
    <n v="1611"/>
    <n v="19305"/>
    <n v="1"/>
    <s v="Y"/>
    <x v="1"/>
    <n v="15"/>
    <n v="3"/>
    <n v="3"/>
    <n v="80"/>
    <n v="0"/>
    <n v="0"/>
    <n v="5"/>
    <n v="4"/>
    <n v="0"/>
    <n v="0"/>
    <n v="0"/>
    <n v="0"/>
    <x v="3"/>
    <s v="Low"/>
  </r>
  <r>
    <n v="35"/>
    <x v="1"/>
    <s v="Travel_Rarely"/>
    <n v="817"/>
    <x v="1"/>
    <n v="1"/>
    <n v="3"/>
    <s v="Medical"/>
    <n v="1"/>
    <n v="1369"/>
    <n v="4"/>
    <x v="0"/>
    <n v="60"/>
    <n v="2"/>
    <n v="2"/>
    <x v="2"/>
    <n v="4"/>
    <s v="Married"/>
    <n v="5363"/>
    <n v="10846"/>
    <n v="0"/>
    <s v="Y"/>
    <x v="1"/>
    <n v="12"/>
    <n v="3"/>
    <n v="2"/>
    <n v="80"/>
    <n v="1"/>
    <n v="10"/>
    <n v="0"/>
    <n v="3"/>
    <n v="9"/>
    <n v="7"/>
    <n v="0"/>
    <n v="0"/>
    <x v="2"/>
    <s v="Mid"/>
  </r>
  <r>
    <n v="27"/>
    <x v="1"/>
    <s v="Travel_Frequently"/>
    <n v="793"/>
    <x v="0"/>
    <n v="2"/>
    <n v="1"/>
    <s v="Life Sciences"/>
    <n v="1"/>
    <n v="1371"/>
    <n v="4"/>
    <x v="1"/>
    <n v="43"/>
    <n v="1"/>
    <n v="2"/>
    <x v="0"/>
    <n v="4"/>
    <s v="Single"/>
    <n v="5071"/>
    <n v="20392"/>
    <n v="3"/>
    <s v="Y"/>
    <x v="1"/>
    <n v="20"/>
    <n v="4"/>
    <n v="2"/>
    <n v="80"/>
    <n v="0"/>
    <n v="8"/>
    <n v="3"/>
    <n v="3"/>
    <n v="6"/>
    <n v="2"/>
    <n v="0"/>
    <n v="0"/>
    <x v="2"/>
    <s v="Mid"/>
  </r>
  <r>
    <n v="55"/>
    <x v="0"/>
    <s v="Travel_Rarely"/>
    <n v="267"/>
    <x v="0"/>
    <n v="13"/>
    <n v="4"/>
    <s v="Marketing"/>
    <n v="1"/>
    <n v="1372"/>
    <n v="1"/>
    <x v="1"/>
    <n v="85"/>
    <n v="4"/>
    <n v="4"/>
    <x v="0"/>
    <n v="3"/>
    <s v="Single"/>
    <n v="13695"/>
    <n v="9277"/>
    <n v="6"/>
    <s v="Y"/>
    <x v="0"/>
    <n v="17"/>
    <n v="3"/>
    <n v="3"/>
    <n v="80"/>
    <n v="0"/>
    <n v="24"/>
    <n v="2"/>
    <n v="2"/>
    <n v="19"/>
    <n v="7"/>
    <n v="3"/>
    <n v="8"/>
    <x v="1"/>
    <s v="Top"/>
  </r>
  <r>
    <n v="56"/>
    <x v="1"/>
    <s v="Travel_Rarely"/>
    <n v="1369"/>
    <x v="1"/>
    <n v="23"/>
    <n v="3"/>
    <s v="Life Sciences"/>
    <n v="1"/>
    <n v="1373"/>
    <n v="4"/>
    <x v="1"/>
    <n v="68"/>
    <n v="3"/>
    <n v="4"/>
    <x v="3"/>
    <n v="2"/>
    <s v="Married"/>
    <n v="13402"/>
    <n v="18235"/>
    <n v="4"/>
    <s v="Y"/>
    <x v="0"/>
    <n v="12"/>
    <n v="3"/>
    <n v="1"/>
    <n v="80"/>
    <n v="1"/>
    <n v="33"/>
    <n v="0"/>
    <n v="3"/>
    <n v="19"/>
    <n v="16"/>
    <n v="15"/>
    <n v="9"/>
    <x v="1"/>
    <s v="Top"/>
  </r>
  <r>
    <n v="34"/>
    <x v="1"/>
    <s v="Non-Travel"/>
    <n v="999"/>
    <x v="1"/>
    <n v="26"/>
    <n v="1"/>
    <s v="Technical Degree"/>
    <n v="1"/>
    <n v="1374"/>
    <n v="1"/>
    <x v="0"/>
    <n v="92"/>
    <n v="2"/>
    <n v="1"/>
    <x v="1"/>
    <n v="3"/>
    <s v="Divorced"/>
    <n v="2029"/>
    <n v="15891"/>
    <n v="1"/>
    <s v="Y"/>
    <x v="1"/>
    <n v="20"/>
    <n v="4"/>
    <n v="3"/>
    <n v="80"/>
    <n v="3"/>
    <n v="5"/>
    <n v="2"/>
    <n v="3"/>
    <n v="5"/>
    <n v="4"/>
    <n v="0"/>
    <n v="0"/>
    <x v="2"/>
    <s v="Low"/>
  </r>
  <r>
    <n v="40"/>
    <x v="1"/>
    <s v="Travel_Rarely"/>
    <n v="1202"/>
    <x v="1"/>
    <n v="2"/>
    <n v="1"/>
    <s v="Medical"/>
    <n v="1"/>
    <n v="1375"/>
    <n v="2"/>
    <x v="0"/>
    <n v="89"/>
    <n v="4"/>
    <n v="2"/>
    <x v="4"/>
    <n v="3"/>
    <s v="Divorced"/>
    <n v="6377"/>
    <n v="13888"/>
    <n v="5"/>
    <s v="Y"/>
    <x v="1"/>
    <n v="20"/>
    <n v="4"/>
    <n v="2"/>
    <n v="80"/>
    <n v="3"/>
    <n v="15"/>
    <n v="0"/>
    <n v="3"/>
    <n v="12"/>
    <n v="11"/>
    <n v="11"/>
    <n v="8"/>
    <x v="0"/>
    <s v="Mid"/>
  </r>
  <r>
    <n v="34"/>
    <x v="1"/>
    <s v="Travel_Rarely"/>
    <n v="285"/>
    <x v="1"/>
    <n v="29"/>
    <n v="3"/>
    <s v="Medical"/>
    <n v="1"/>
    <n v="1377"/>
    <n v="2"/>
    <x v="1"/>
    <n v="86"/>
    <n v="3"/>
    <n v="2"/>
    <x v="2"/>
    <n v="3"/>
    <s v="Married"/>
    <n v="5429"/>
    <n v="17491"/>
    <n v="4"/>
    <s v="Y"/>
    <x v="1"/>
    <n v="13"/>
    <n v="3"/>
    <n v="1"/>
    <n v="80"/>
    <n v="2"/>
    <n v="10"/>
    <n v="1"/>
    <n v="3"/>
    <n v="8"/>
    <n v="7"/>
    <n v="7"/>
    <n v="7"/>
    <x v="2"/>
    <s v="Mid"/>
  </r>
  <r>
    <n v="31"/>
    <x v="0"/>
    <s v="Travel_Frequently"/>
    <n v="703"/>
    <x v="0"/>
    <n v="2"/>
    <n v="3"/>
    <s v="Life Sciences"/>
    <n v="1"/>
    <n v="1379"/>
    <n v="3"/>
    <x v="0"/>
    <n v="90"/>
    <n v="2"/>
    <n v="1"/>
    <x v="6"/>
    <n v="4"/>
    <s v="Single"/>
    <n v="2785"/>
    <n v="11882"/>
    <n v="7"/>
    <s v="Y"/>
    <x v="1"/>
    <n v="14"/>
    <n v="3"/>
    <n v="3"/>
    <n v="80"/>
    <n v="0"/>
    <n v="3"/>
    <n v="3"/>
    <n v="4"/>
    <n v="1"/>
    <n v="0"/>
    <n v="0"/>
    <n v="0"/>
    <x v="2"/>
    <s v="Low"/>
  </r>
  <r>
    <n v="35"/>
    <x v="0"/>
    <s v="Travel_Frequently"/>
    <n v="662"/>
    <x v="0"/>
    <n v="18"/>
    <n v="4"/>
    <s v="Marketing"/>
    <n v="1"/>
    <n v="1380"/>
    <n v="4"/>
    <x v="0"/>
    <n v="67"/>
    <n v="3"/>
    <n v="2"/>
    <x v="0"/>
    <n v="3"/>
    <s v="Married"/>
    <n v="4614"/>
    <n v="23288"/>
    <n v="0"/>
    <s v="Y"/>
    <x v="0"/>
    <n v="18"/>
    <n v="3"/>
    <n v="3"/>
    <n v="80"/>
    <n v="1"/>
    <n v="5"/>
    <n v="0"/>
    <n v="2"/>
    <n v="4"/>
    <n v="2"/>
    <n v="3"/>
    <n v="2"/>
    <x v="2"/>
    <s v="Mid"/>
  </r>
  <r>
    <n v="38"/>
    <x v="1"/>
    <s v="Travel_Frequently"/>
    <n v="693"/>
    <x v="1"/>
    <n v="7"/>
    <n v="3"/>
    <s v="Life Sciences"/>
    <n v="1"/>
    <n v="1382"/>
    <n v="4"/>
    <x v="1"/>
    <n v="57"/>
    <n v="4"/>
    <n v="1"/>
    <x v="1"/>
    <n v="3"/>
    <s v="Divorced"/>
    <n v="2610"/>
    <n v="15748"/>
    <n v="1"/>
    <s v="Y"/>
    <x v="1"/>
    <n v="11"/>
    <n v="3"/>
    <n v="4"/>
    <n v="80"/>
    <n v="3"/>
    <n v="4"/>
    <n v="2"/>
    <n v="3"/>
    <n v="4"/>
    <n v="2"/>
    <n v="0"/>
    <n v="3"/>
    <x v="0"/>
    <s v="Low"/>
  </r>
  <r>
    <n v="34"/>
    <x v="1"/>
    <s v="Travel_Rarely"/>
    <n v="404"/>
    <x v="1"/>
    <n v="2"/>
    <n v="4"/>
    <s v="Technical Degree"/>
    <n v="1"/>
    <n v="1383"/>
    <n v="3"/>
    <x v="0"/>
    <n v="98"/>
    <n v="3"/>
    <n v="2"/>
    <x v="4"/>
    <n v="4"/>
    <s v="Single"/>
    <n v="6687"/>
    <n v="6163"/>
    <n v="1"/>
    <s v="Y"/>
    <x v="1"/>
    <n v="11"/>
    <n v="3"/>
    <n v="4"/>
    <n v="80"/>
    <n v="0"/>
    <n v="14"/>
    <n v="2"/>
    <n v="4"/>
    <n v="14"/>
    <n v="11"/>
    <n v="4"/>
    <n v="11"/>
    <x v="2"/>
    <s v="Mid"/>
  </r>
  <r>
    <n v="28"/>
    <x v="1"/>
    <s v="Travel_Rarely"/>
    <n v="736"/>
    <x v="0"/>
    <n v="26"/>
    <n v="3"/>
    <s v="Life Sciences"/>
    <n v="1"/>
    <n v="1387"/>
    <n v="3"/>
    <x v="1"/>
    <n v="48"/>
    <n v="2"/>
    <n v="2"/>
    <x v="0"/>
    <n v="1"/>
    <s v="Married"/>
    <n v="4724"/>
    <n v="24232"/>
    <n v="1"/>
    <s v="Y"/>
    <x v="1"/>
    <n v="11"/>
    <n v="3"/>
    <n v="3"/>
    <n v="80"/>
    <n v="1"/>
    <n v="5"/>
    <n v="0"/>
    <n v="3"/>
    <n v="5"/>
    <n v="3"/>
    <n v="0"/>
    <n v="4"/>
    <x v="2"/>
    <s v="Mid"/>
  </r>
  <r>
    <n v="31"/>
    <x v="0"/>
    <s v="Travel_Rarely"/>
    <n v="330"/>
    <x v="1"/>
    <n v="22"/>
    <n v="4"/>
    <s v="Medical"/>
    <n v="1"/>
    <n v="1389"/>
    <n v="4"/>
    <x v="1"/>
    <n v="98"/>
    <n v="3"/>
    <n v="2"/>
    <x v="3"/>
    <n v="3"/>
    <s v="Married"/>
    <n v="6179"/>
    <n v="21057"/>
    <n v="1"/>
    <s v="Y"/>
    <x v="0"/>
    <n v="15"/>
    <n v="3"/>
    <n v="4"/>
    <n v="80"/>
    <n v="2"/>
    <n v="10"/>
    <n v="3"/>
    <n v="2"/>
    <n v="10"/>
    <n v="2"/>
    <n v="6"/>
    <n v="7"/>
    <x v="2"/>
    <s v="Mid"/>
  </r>
  <r>
    <n v="39"/>
    <x v="1"/>
    <s v="Travel_Rarely"/>
    <n v="1498"/>
    <x v="0"/>
    <n v="21"/>
    <n v="4"/>
    <s v="Life Sciences"/>
    <n v="1"/>
    <n v="1390"/>
    <n v="1"/>
    <x v="1"/>
    <n v="44"/>
    <n v="2"/>
    <n v="2"/>
    <x v="0"/>
    <n v="4"/>
    <s v="Married"/>
    <n v="6120"/>
    <n v="3567"/>
    <n v="3"/>
    <s v="Y"/>
    <x v="0"/>
    <n v="12"/>
    <n v="3"/>
    <n v="4"/>
    <n v="80"/>
    <n v="2"/>
    <n v="8"/>
    <n v="2"/>
    <n v="4"/>
    <n v="5"/>
    <n v="4"/>
    <n v="1"/>
    <n v="4"/>
    <x v="0"/>
    <s v="Mid"/>
  </r>
  <r>
    <n v="51"/>
    <x v="1"/>
    <s v="Travel_Frequently"/>
    <n v="541"/>
    <x v="0"/>
    <n v="2"/>
    <n v="3"/>
    <s v="Marketing"/>
    <n v="1"/>
    <n v="1391"/>
    <n v="2"/>
    <x v="1"/>
    <n v="52"/>
    <n v="3"/>
    <n v="3"/>
    <x v="0"/>
    <n v="2"/>
    <s v="Married"/>
    <n v="10596"/>
    <n v="15395"/>
    <n v="2"/>
    <s v="Y"/>
    <x v="1"/>
    <n v="11"/>
    <n v="3"/>
    <n v="2"/>
    <n v="80"/>
    <n v="0"/>
    <n v="14"/>
    <n v="5"/>
    <n v="3"/>
    <n v="4"/>
    <n v="2"/>
    <n v="3"/>
    <n v="2"/>
    <x v="1"/>
    <s v="High"/>
  </r>
  <r>
    <n v="41"/>
    <x v="1"/>
    <s v="Travel_Frequently"/>
    <n v="1200"/>
    <x v="1"/>
    <n v="22"/>
    <n v="3"/>
    <s v="Life Sciences"/>
    <n v="1"/>
    <n v="1392"/>
    <n v="4"/>
    <x v="0"/>
    <n v="75"/>
    <n v="3"/>
    <n v="2"/>
    <x v="1"/>
    <n v="4"/>
    <s v="Divorced"/>
    <n v="5467"/>
    <n v="13953"/>
    <n v="3"/>
    <s v="Y"/>
    <x v="0"/>
    <n v="14"/>
    <n v="3"/>
    <n v="1"/>
    <n v="80"/>
    <n v="2"/>
    <n v="12"/>
    <n v="4"/>
    <n v="2"/>
    <n v="6"/>
    <n v="2"/>
    <n v="3"/>
    <n v="3"/>
    <x v="0"/>
    <s v="Mid"/>
  </r>
  <r>
    <n v="37"/>
    <x v="1"/>
    <s v="Travel_Rarely"/>
    <n v="1439"/>
    <x v="1"/>
    <n v="4"/>
    <n v="1"/>
    <s v="Life Sciences"/>
    <n v="1"/>
    <n v="1394"/>
    <n v="3"/>
    <x v="1"/>
    <n v="54"/>
    <n v="3"/>
    <n v="1"/>
    <x v="1"/>
    <n v="3"/>
    <s v="Married"/>
    <n v="2996"/>
    <n v="5182"/>
    <n v="7"/>
    <s v="Y"/>
    <x v="0"/>
    <n v="15"/>
    <n v="3"/>
    <n v="4"/>
    <n v="80"/>
    <n v="0"/>
    <n v="8"/>
    <n v="2"/>
    <n v="3"/>
    <n v="6"/>
    <n v="4"/>
    <n v="1"/>
    <n v="3"/>
    <x v="0"/>
    <s v="Low"/>
  </r>
  <r>
    <n v="33"/>
    <x v="1"/>
    <s v="Travel_Frequently"/>
    <n v="1111"/>
    <x v="0"/>
    <n v="5"/>
    <n v="1"/>
    <s v="Life Sciences"/>
    <n v="1"/>
    <n v="1395"/>
    <n v="2"/>
    <x v="1"/>
    <n v="61"/>
    <n v="3"/>
    <n v="2"/>
    <x v="0"/>
    <n v="4"/>
    <s v="Married"/>
    <n v="9998"/>
    <n v="19293"/>
    <n v="6"/>
    <s v="Y"/>
    <x v="1"/>
    <n v="13"/>
    <n v="3"/>
    <n v="1"/>
    <n v="80"/>
    <n v="0"/>
    <n v="8"/>
    <n v="2"/>
    <n v="4"/>
    <n v="5"/>
    <n v="4"/>
    <n v="1"/>
    <n v="2"/>
    <x v="2"/>
    <s v="High"/>
  </r>
  <r>
    <n v="32"/>
    <x v="1"/>
    <s v="Travel_Rarely"/>
    <n v="499"/>
    <x v="0"/>
    <n v="2"/>
    <n v="1"/>
    <s v="Marketing"/>
    <n v="1"/>
    <n v="1396"/>
    <n v="3"/>
    <x v="1"/>
    <n v="36"/>
    <n v="3"/>
    <n v="2"/>
    <x v="0"/>
    <n v="2"/>
    <s v="Married"/>
    <n v="4078"/>
    <n v="20497"/>
    <n v="0"/>
    <s v="Y"/>
    <x v="0"/>
    <n v="13"/>
    <n v="3"/>
    <n v="1"/>
    <n v="80"/>
    <n v="3"/>
    <n v="4"/>
    <n v="3"/>
    <n v="2"/>
    <n v="3"/>
    <n v="2"/>
    <n v="1"/>
    <n v="2"/>
    <x v="2"/>
    <s v="Mid"/>
  </r>
  <r>
    <n v="39"/>
    <x v="1"/>
    <s v="Non-Travel"/>
    <n v="1485"/>
    <x v="1"/>
    <n v="25"/>
    <n v="2"/>
    <s v="Life Sciences"/>
    <n v="1"/>
    <n v="1397"/>
    <n v="3"/>
    <x v="1"/>
    <n v="71"/>
    <n v="3"/>
    <n v="3"/>
    <x v="4"/>
    <n v="3"/>
    <s v="Married"/>
    <n v="10920"/>
    <n v="3449"/>
    <n v="3"/>
    <s v="Y"/>
    <x v="1"/>
    <n v="21"/>
    <n v="4"/>
    <n v="2"/>
    <n v="80"/>
    <n v="1"/>
    <n v="13"/>
    <n v="2"/>
    <n v="3"/>
    <n v="6"/>
    <n v="4"/>
    <n v="0"/>
    <n v="5"/>
    <x v="0"/>
    <s v="High"/>
  </r>
  <r>
    <n v="25"/>
    <x v="1"/>
    <s v="Travel_Rarely"/>
    <n v="1372"/>
    <x v="0"/>
    <n v="18"/>
    <n v="1"/>
    <s v="Life Sciences"/>
    <n v="1"/>
    <n v="1399"/>
    <n v="1"/>
    <x v="1"/>
    <n v="93"/>
    <n v="4"/>
    <n v="2"/>
    <x v="0"/>
    <n v="3"/>
    <s v="Married"/>
    <n v="6232"/>
    <n v="12477"/>
    <n v="2"/>
    <s v="Y"/>
    <x v="1"/>
    <n v="11"/>
    <n v="3"/>
    <n v="2"/>
    <n v="80"/>
    <n v="0"/>
    <n v="6"/>
    <n v="3"/>
    <n v="2"/>
    <n v="3"/>
    <n v="2"/>
    <n v="1"/>
    <n v="2"/>
    <x v="3"/>
    <s v="Mid"/>
  </r>
  <r>
    <n v="52"/>
    <x v="1"/>
    <s v="Travel_Frequently"/>
    <n v="322"/>
    <x v="1"/>
    <n v="28"/>
    <n v="2"/>
    <s v="Medical"/>
    <n v="1"/>
    <n v="1401"/>
    <n v="4"/>
    <x v="0"/>
    <n v="59"/>
    <n v="4"/>
    <n v="4"/>
    <x v="3"/>
    <n v="3"/>
    <s v="Married"/>
    <n v="13247"/>
    <n v="9731"/>
    <n v="2"/>
    <s v="Y"/>
    <x v="0"/>
    <n v="11"/>
    <n v="3"/>
    <n v="2"/>
    <n v="80"/>
    <n v="1"/>
    <n v="24"/>
    <n v="3"/>
    <n v="2"/>
    <n v="5"/>
    <n v="3"/>
    <n v="0"/>
    <n v="2"/>
    <x v="1"/>
    <s v="Top"/>
  </r>
  <r>
    <n v="43"/>
    <x v="1"/>
    <s v="Travel_Rarely"/>
    <n v="930"/>
    <x v="1"/>
    <n v="6"/>
    <n v="3"/>
    <s v="Medical"/>
    <n v="1"/>
    <n v="1402"/>
    <n v="1"/>
    <x v="0"/>
    <n v="73"/>
    <n v="2"/>
    <n v="2"/>
    <x v="1"/>
    <n v="3"/>
    <s v="Single"/>
    <n v="4081"/>
    <n v="20003"/>
    <n v="1"/>
    <s v="Y"/>
    <x v="0"/>
    <n v="14"/>
    <n v="3"/>
    <n v="1"/>
    <n v="80"/>
    <n v="0"/>
    <n v="20"/>
    <n v="3"/>
    <n v="1"/>
    <n v="20"/>
    <n v="7"/>
    <n v="1"/>
    <n v="8"/>
    <x v="0"/>
    <s v="Mid"/>
  </r>
  <r>
    <n v="27"/>
    <x v="1"/>
    <s v="Travel_Rarely"/>
    <n v="205"/>
    <x v="0"/>
    <n v="10"/>
    <n v="3"/>
    <s v="Marketing"/>
    <n v="1"/>
    <n v="1403"/>
    <n v="4"/>
    <x v="0"/>
    <n v="98"/>
    <n v="2"/>
    <n v="2"/>
    <x v="0"/>
    <n v="4"/>
    <s v="Married"/>
    <n v="5769"/>
    <n v="7100"/>
    <n v="1"/>
    <s v="Y"/>
    <x v="0"/>
    <n v="11"/>
    <n v="3"/>
    <n v="4"/>
    <n v="80"/>
    <n v="0"/>
    <n v="6"/>
    <n v="3"/>
    <n v="3"/>
    <n v="6"/>
    <n v="2"/>
    <n v="4"/>
    <n v="4"/>
    <x v="2"/>
    <s v="Mid"/>
  </r>
  <r>
    <n v="27"/>
    <x v="0"/>
    <s v="Travel_Rarely"/>
    <n v="135"/>
    <x v="1"/>
    <n v="17"/>
    <n v="4"/>
    <s v="Life Sciences"/>
    <n v="1"/>
    <n v="1405"/>
    <n v="4"/>
    <x v="0"/>
    <n v="51"/>
    <n v="3"/>
    <n v="1"/>
    <x v="1"/>
    <n v="3"/>
    <s v="Single"/>
    <n v="2394"/>
    <n v="25681"/>
    <n v="1"/>
    <s v="Y"/>
    <x v="0"/>
    <n v="13"/>
    <n v="3"/>
    <n v="4"/>
    <n v="80"/>
    <n v="0"/>
    <n v="8"/>
    <n v="2"/>
    <n v="3"/>
    <n v="8"/>
    <n v="2"/>
    <n v="7"/>
    <n v="7"/>
    <x v="2"/>
    <s v="Low"/>
  </r>
  <r>
    <n v="26"/>
    <x v="1"/>
    <s v="Travel_Rarely"/>
    <n v="683"/>
    <x v="1"/>
    <n v="2"/>
    <n v="1"/>
    <s v="Medical"/>
    <n v="1"/>
    <n v="1407"/>
    <n v="1"/>
    <x v="1"/>
    <n v="36"/>
    <n v="2"/>
    <n v="1"/>
    <x v="1"/>
    <n v="4"/>
    <s v="Single"/>
    <n v="3904"/>
    <n v="4050"/>
    <n v="0"/>
    <s v="Y"/>
    <x v="1"/>
    <n v="12"/>
    <n v="3"/>
    <n v="4"/>
    <n v="80"/>
    <n v="0"/>
    <n v="5"/>
    <n v="2"/>
    <n v="3"/>
    <n v="4"/>
    <n v="3"/>
    <n v="1"/>
    <n v="1"/>
    <x v="2"/>
    <s v="Mid"/>
  </r>
  <r>
    <n v="42"/>
    <x v="1"/>
    <s v="Travel_Rarely"/>
    <n v="1147"/>
    <x v="2"/>
    <n v="10"/>
    <n v="3"/>
    <s v="Human Resources"/>
    <n v="1"/>
    <n v="1408"/>
    <n v="3"/>
    <x v="0"/>
    <n v="31"/>
    <n v="3"/>
    <n v="4"/>
    <x v="5"/>
    <n v="1"/>
    <s v="Married"/>
    <n v="16799"/>
    <n v="16616"/>
    <n v="0"/>
    <s v="Y"/>
    <x v="1"/>
    <n v="14"/>
    <n v="3"/>
    <n v="3"/>
    <n v="80"/>
    <n v="1"/>
    <n v="21"/>
    <n v="5"/>
    <n v="3"/>
    <n v="20"/>
    <n v="7"/>
    <n v="0"/>
    <n v="9"/>
    <x v="0"/>
    <s v="Top"/>
  </r>
  <r>
    <n v="52"/>
    <x v="1"/>
    <s v="Travel_Rarely"/>
    <n v="258"/>
    <x v="1"/>
    <n v="8"/>
    <n v="4"/>
    <s v="Other"/>
    <n v="1"/>
    <n v="1409"/>
    <n v="3"/>
    <x v="0"/>
    <n v="54"/>
    <n v="3"/>
    <n v="1"/>
    <x v="2"/>
    <n v="1"/>
    <s v="Married"/>
    <n v="2950"/>
    <n v="17363"/>
    <n v="9"/>
    <s v="Y"/>
    <x v="1"/>
    <n v="13"/>
    <n v="3"/>
    <n v="3"/>
    <n v="80"/>
    <n v="0"/>
    <n v="12"/>
    <n v="2"/>
    <n v="1"/>
    <n v="5"/>
    <n v="4"/>
    <n v="0"/>
    <n v="4"/>
    <x v="1"/>
    <s v="Low"/>
  </r>
  <r>
    <n v="37"/>
    <x v="1"/>
    <s v="Travel_Rarely"/>
    <n v="1462"/>
    <x v="1"/>
    <n v="11"/>
    <n v="3"/>
    <s v="Medical"/>
    <n v="1"/>
    <n v="1411"/>
    <n v="1"/>
    <x v="0"/>
    <n v="94"/>
    <n v="3"/>
    <n v="1"/>
    <x v="2"/>
    <n v="3"/>
    <s v="Single"/>
    <n v="3629"/>
    <n v="19106"/>
    <n v="4"/>
    <s v="Y"/>
    <x v="1"/>
    <n v="18"/>
    <n v="3"/>
    <n v="1"/>
    <n v="80"/>
    <n v="0"/>
    <n v="8"/>
    <n v="6"/>
    <n v="3"/>
    <n v="3"/>
    <n v="2"/>
    <n v="0"/>
    <n v="2"/>
    <x v="0"/>
    <s v="Mid"/>
  </r>
  <r>
    <n v="35"/>
    <x v="1"/>
    <s v="Travel_Frequently"/>
    <n v="200"/>
    <x v="1"/>
    <n v="18"/>
    <n v="2"/>
    <s v="Life Sciences"/>
    <n v="1"/>
    <n v="1412"/>
    <n v="3"/>
    <x v="1"/>
    <n v="60"/>
    <n v="3"/>
    <n v="3"/>
    <x v="3"/>
    <n v="4"/>
    <s v="Single"/>
    <n v="9362"/>
    <n v="19944"/>
    <n v="2"/>
    <s v="Y"/>
    <x v="1"/>
    <n v="11"/>
    <n v="3"/>
    <n v="3"/>
    <n v="80"/>
    <n v="0"/>
    <n v="10"/>
    <n v="2"/>
    <n v="3"/>
    <n v="2"/>
    <n v="2"/>
    <n v="2"/>
    <n v="2"/>
    <x v="2"/>
    <s v="High"/>
  </r>
  <r>
    <n v="25"/>
    <x v="1"/>
    <s v="Travel_Rarely"/>
    <n v="949"/>
    <x v="1"/>
    <n v="1"/>
    <n v="3"/>
    <s v="Technical Degree"/>
    <n v="1"/>
    <n v="1415"/>
    <n v="1"/>
    <x v="1"/>
    <n v="81"/>
    <n v="3"/>
    <n v="1"/>
    <x v="2"/>
    <n v="4"/>
    <s v="Married"/>
    <n v="3229"/>
    <n v="4910"/>
    <n v="4"/>
    <s v="Y"/>
    <x v="1"/>
    <n v="11"/>
    <n v="3"/>
    <n v="2"/>
    <n v="80"/>
    <n v="1"/>
    <n v="7"/>
    <n v="2"/>
    <n v="2"/>
    <n v="3"/>
    <n v="2"/>
    <n v="0"/>
    <n v="2"/>
    <x v="3"/>
    <s v="Mid"/>
  </r>
  <r>
    <n v="26"/>
    <x v="1"/>
    <s v="Travel_Rarely"/>
    <n v="652"/>
    <x v="1"/>
    <n v="7"/>
    <n v="3"/>
    <s v="Other"/>
    <n v="1"/>
    <n v="1417"/>
    <n v="3"/>
    <x v="1"/>
    <n v="100"/>
    <n v="4"/>
    <n v="1"/>
    <x v="2"/>
    <n v="1"/>
    <s v="Single"/>
    <n v="3578"/>
    <n v="23577"/>
    <n v="0"/>
    <s v="Y"/>
    <x v="1"/>
    <n v="12"/>
    <n v="3"/>
    <n v="4"/>
    <n v="80"/>
    <n v="0"/>
    <n v="8"/>
    <n v="2"/>
    <n v="3"/>
    <n v="7"/>
    <n v="7"/>
    <n v="0"/>
    <n v="7"/>
    <x v="2"/>
    <s v="Mid"/>
  </r>
  <r>
    <n v="29"/>
    <x v="1"/>
    <s v="Travel_Rarely"/>
    <n v="332"/>
    <x v="2"/>
    <n v="17"/>
    <n v="3"/>
    <s v="Other"/>
    <n v="1"/>
    <n v="1419"/>
    <n v="2"/>
    <x v="1"/>
    <n v="51"/>
    <n v="2"/>
    <n v="3"/>
    <x v="8"/>
    <n v="1"/>
    <s v="Single"/>
    <n v="7988"/>
    <n v="9769"/>
    <n v="1"/>
    <s v="Y"/>
    <x v="1"/>
    <n v="13"/>
    <n v="3"/>
    <n v="1"/>
    <n v="80"/>
    <n v="0"/>
    <n v="10"/>
    <n v="3"/>
    <n v="2"/>
    <n v="10"/>
    <n v="9"/>
    <n v="0"/>
    <n v="9"/>
    <x v="2"/>
    <s v="High"/>
  </r>
  <r>
    <n v="49"/>
    <x v="0"/>
    <s v="Travel_Frequently"/>
    <n v="1475"/>
    <x v="1"/>
    <n v="28"/>
    <n v="2"/>
    <s v="Life Sciences"/>
    <n v="1"/>
    <n v="1420"/>
    <n v="1"/>
    <x v="1"/>
    <n v="97"/>
    <n v="2"/>
    <n v="2"/>
    <x v="2"/>
    <n v="1"/>
    <s v="Single"/>
    <n v="4284"/>
    <n v="22710"/>
    <n v="3"/>
    <s v="Y"/>
    <x v="1"/>
    <n v="20"/>
    <n v="4"/>
    <n v="1"/>
    <n v="80"/>
    <n v="0"/>
    <n v="20"/>
    <n v="2"/>
    <n v="3"/>
    <n v="4"/>
    <n v="3"/>
    <n v="1"/>
    <n v="3"/>
    <x v="1"/>
    <s v="Mid"/>
  </r>
  <r>
    <n v="29"/>
    <x v="0"/>
    <s v="Travel_Frequently"/>
    <n v="337"/>
    <x v="1"/>
    <n v="14"/>
    <n v="1"/>
    <s v="Other"/>
    <n v="1"/>
    <n v="1421"/>
    <n v="3"/>
    <x v="0"/>
    <n v="84"/>
    <n v="3"/>
    <n v="3"/>
    <x v="4"/>
    <n v="4"/>
    <s v="Single"/>
    <n v="7553"/>
    <n v="22930"/>
    <n v="0"/>
    <s v="Y"/>
    <x v="0"/>
    <n v="12"/>
    <n v="3"/>
    <n v="1"/>
    <n v="80"/>
    <n v="0"/>
    <n v="9"/>
    <n v="1"/>
    <n v="3"/>
    <n v="8"/>
    <n v="7"/>
    <n v="7"/>
    <n v="7"/>
    <x v="2"/>
    <s v="High"/>
  </r>
  <r>
    <n v="54"/>
    <x v="1"/>
    <s v="Travel_Rarely"/>
    <n v="971"/>
    <x v="1"/>
    <n v="1"/>
    <n v="3"/>
    <s v="Medical"/>
    <n v="1"/>
    <n v="1422"/>
    <n v="4"/>
    <x v="0"/>
    <n v="54"/>
    <n v="3"/>
    <n v="4"/>
    <x v="7"/>
    <n v="4"/>
    <s v="Single"/>
    <n v="17328"/>
    <n v="5652"/>
    <n v="6"/>
    <s v="Y"/>
    <x v="1"/>
    <n v="19"/>
    <n v="3"/>
    <n v="4"/>
    <n v="80"/>
    <n v="0"/>
    <n v="29"/>
    <n v="3"/>
    <n v="2"/>
    <n v="20"/>
    <n v="7"/>
    <n v="12"/>
    <n v="7"/>
    <x v="1"/>
    <s v="Top"/>
  </r>
  <r>
    <n v="58"/>
    <x v="1"/>
    <s v="Travel_Rarely"/>
    <n v="1055"/>
    <x v="1"/>
    <n v="1"/>
    <n v="3"/>
    <s v="Medical"/>
    <n v="1"/>
    <n v="1423"/>
    <n v="4"/>
    <x v="0"/>
    <n v="76"/>
    <n v="3"/>
    <n v="5"/>
    <x v="7"/>
    <n v="1"/>
    <s v="Married"/>
    <n v="19701"/>
    <n v="22456"/>
    <n v="3"/>
    <s v="Y"/>
    <x v="0"/>
    <n v="21"/>
    <n v="4"/>
    <n v="3"/>
    <n v="80"/>
    <n v="1"/>
    <n v="32"/>
    <n v="3"/>
    <n v="3"/>
    <n v="9"/>
    <n v="8"/>
    <n v="1"/>
    <n v="5"/>
    <x v="1"/>
    <s v="Top"/>
  </r>
  <r>
    <n v="55"/>
    <x v="1"/>
    <s v="Travel_Rarely"/>
    <n v="1136"/>
    <x v="1"/>
    <n v="1"/>
    <n v="4"/>
    <s v="Medical"/>
    <n v="1"/>
    <n v="1424"/>
    <n v="2"/>
    <x v="1"/>
    <n v="81"/>
    <n v="4"/>
    <n v="4"/>
    <x v="7"/>
    <n v="4"/>
    <s v="Divorced"/>
    <n v="14732"/>
    <n v="12414"/>
    <n v="2"/>
    <s v="Y"/>
    <x v="1"/>
    <n v="13"/>
    <n v="3"/>
    <n v="4"/>
    <n v="80"/>
    <n v="2"/>
    <n v="31"/>
    <n v="4"/>
    <n v="4"/>
    <n v="7"/>
    <n v="7"/>
    <n v="0"/>
    <n v="0"/>
    <x v="1"/>
    <s v="Top"/>
  </r>
  <r>
    <n v="36"/>
    <x v="1"/>
    <s v="Travel_Rarely"/>
    <n v="1174"/>
    <x v="0"/>
    <n v="3"/>
    <n v="4"/>
    <s v="Marketing"/>
    <n v="1"/>
    <n v="1425"/>
    <n v="1"/>
    <x v="0"/>
    <n v="99"/>
    <n v="3"/>
    <n v="2"/>
    <x v="0"/>
    <n v="2"/>
    <s v="Single"/>
    <n v="9278"/>
    <n v="20763"/>
    <n v="3"/>
    <s v="Y"/>
    <x v="0"/>
    <n v="16"/>
    <n v="3"/>
    <n v="4"/>
    <n v="80"/>
    <n v="0"/>
    <n v="15"/>
    <n v="3"/>
    <n v="3"/>
    <n v="5"/>
    <n v="4"/>
    <n v="0"/>
    <n v="1"/>
    <x v="0"/>
    <s v="High"/>
  </r>
  <r>
    <n v="31"/>
    <x v="0"/>
    <s v="Travel_Frequently"/>
    <n v="667"/>
    <x v="0"/>
    <n v="1"/>
    <n v="4"/>
    <s v="Life Sciences"/>
    <n v="1"/>
    <n v="1427"/>
    <n v="2"/>
    <x v="0"/>
    <n v="50"/>
    <n v="1"/>
    <n v="1"/>
    <x v="6"/>
    <n v="3"/>
    <s v="Single"/>
    <n v="1359"/>
    <n v="16154"/>
    <n v="1"/>
    <s v="Y"/>
    <x v="1"/>
    <n v="12"/>
    <n v="3"/>
    <n v="2"/>
    <n v="80"/>
    <n v="0"/>
    <n v="1"/>
    <n v="3"/>
    <n v="3"/>
    <n v="1"/>
    <n v="0"/>
    <n v="0"/>
    <n v="0"/>
    <x v="2"/>
    <s v="Low"/>
  </r>
  <r>
    <n v="30"/>
    <x v="1"/>
    <s v="Travel_Rarely"/>
    <n v="855"/>
    <x v="0"/>
    <n v="7"/>
    <n v="4"/>
    <s v="Marketing"/>
    <n v="1"/>
    <n v="1428"/>
    <n v="4"/>
    <x v="0"/>
    <n v="73"/>
    <n v="3"/>
    <n v="2"/>
    <x v="0"/>
    <n v="1"/>
    <s v="Divorced"/>
    <n v="4779"/>
    <n v="12761"/>
    <n v="7"/>
    <s v="Y"/>
    <x v="1"/>
    <n v="14"/>
    <n v="3"/>
    <n v="2"/>
    <n v="80"/>
    <n v="2"/>
    <n v="8"/>
    <n v="3"/>
    <n v="3"/>
    <n v="3"/>
    <n v="2"/>
    <n v="0"/>
    <n v="2"/>
    <x v="2"/>
    <s v="Mid"/>
  </r>
  <r>
    <n v="31"/>
    <x v="1"/>
    <s v="Travel_Rarely"/>
    <n v="182"/>
    <x v="1"/>
    <n v="8"/>
    <n v="5"/>
    <s v="Life Sciences"/>
    <n v="1"/>
    <n v="1430"/>
    <n v="1"/>
    <x v="0"/>
    <n v="93"/>
    <n v="3"/>
    <n v="4"/>
    <x v="7"/>
    <n v="2"/>
    <s v="Single"/>
    <n v="16422"/>
    <n v="8847"/>
    <n v="3"/>
    <s v="Y"/>
    <x v="1"/>
    <n v="11"/>
    <n v="3"/>
    <n v="3"/>
    <n v="80"/>
    <n v="0"/>
    <n v="9"/>
    <n v="3"/>
    <n v="4"/>
    <n v="3"/>
    <n v="2"/>
    <n v="1"/>
    <n v="0"/>
    <x v="2"/>
    <s v="Top"/>
  </r>
  <r>
    <n v="34"/>
    <x v="1"/>
    <s v="Travel_Frequently"/>
    <n v="560"/>
    <x v="1"/>
    <n v="1"/>
    <n v="4"/>
    <s v="Other"/>
    <n v="1"/>
    <n v="1431"/>
    <n v="4"/>
    <x v="1"/>
    <n v="91"/>
    <n v="3"/>
    <n v="1"/>
    <x v="1"/>
    <n v="1"/>
    <s v="Divorced"/>
    <n v="2996"/>
    <n v="20284"/>
    <n v="5"/>
    <s v="Y"/>
    <x v="1"/>
    <n v="14"/>
    <n v="3"/>
    <n v="3"/>
    <n v="80"/>
    <n v="2"/>
    <n v="10"/>
    <n v="2"/>
    <n v="3"/>
    <n v="4"/>
    <n v="3"/>
    <n v="1"/>
    <n v="3"/>
    <x v="2"/>
    <s v="Low"/>
  </r>
  <r>
    <n v="31"/>
    <x v="0"/>
    <s v="Travel_Rarely"/>
    <n v="202"/>
    <x v="1"/>
    <n v="8"/>
    <n v="3"/>
    <s v="Life Sciences"/>
    <n v="1"/>
    <n v="1433"/>
    <n v="1"/>
    <x v="0"/>
    <n v="34"/>
    <n v="2"/>
    <n v="1"/>
    <x v="1"/>
    <n v="2"/>
    <s v="Single"/>
    <n v="1261"/>
    <n v="22262"/>
    <n v="1"/>
    <s v="Y"/>
    <x v="1"/>
    <n v="12"/>
    <n v="3"/>
    <n v="3"/>
    <n v="80"/>
    <n v="0"/>
    <n v="1"/>
    <n v="3"/>
    <n v="4"/>
    <n v="1"/>
    <n v="0"/>
    <n v="0"/>
    <n v="0"/>
    <x v="2"/>
    <s v="Low"/>
  </r>
  <r>
    <n v="27"/>
    <x v="1"/>
    <s v="Travel_Rarely"/>
    <n v="1377"/>
    <x v="1"/>
    <n v="11"/>
    <n v="1"/>
    <s v="Life Sciences"/>
    <n v="1"/>
    <n v="1434"/>
    <n v="2"/>
    <x v="1"/>
    <n v="91"/>
    <n v="3"/>
    <n v="1"/>
    <x v="2"/>
    <n v="1"/>
    <s v="Married"/>
    <n v="2099"/>
    <n v="7679"/>
    <n v="0"/>
    <s v="Y"/>
    <x v="1"/>
    <n v="14"/>
    <n v="3"/>
    <n v="2"/>
    <n v="80"/>
    <n v="0"/>
    <n v="6"/>
    <n v="3"/>
    <n v="4"/>
    <n v="5"/>
    <n v="0"/>
    <n v="1"/>
    <n v="4"/>
    <x v="2"/>
    <s v="Low"/>
  </r>
  <r>
    <n v="36"/>
    <x v="1"/>
    <s v="Travel_Rarely"/>
    <n v="172"/>
    <x v="1"/>
    <n v="4"/>
    <n v="4"/>
    <s v="Life Sciences"/>
    <n v="1"/>
    <n v="1435"/>
    <n v="1"/>
    <x v="1"/>
    <n v="37"/>
    <n v="2"/>
    <n v="2"/>
    <x v="2"/>
    <n v="4"/>
    <s v="Single"/>
    <n v="5810"/>
    <n v="22604"/>
    <n v="1"/>
    <s v="Y"/>
    <x v="1"/>
    <n v="16"/>
    <n v="3"/>
    <n v="3"/>
    <n v="80"/>
    <n v="0"/>
    <n v="10"/>
    <n v="2"/>
    <n v="2"/>
    <n v="10"/>
    <n v="4"/>
    <n v="1"/>
    <n v="8"/>
    <x v="0"/>
    <s v="Mid"/>
  </r>
  <r>
    <n v="36"/>
    <x v="1"/>
    <s v="Travel_Rarely"/>
    <n v="329"/>
    <x v="0"/>
    <n v="16"/>
    <n v="4"/>
    <s v="Marketing"/>
    <n v="1"/>
    <n v="1436"/>
    <n v="3"/>
    <x v="0"/>
    <n v="98"/>
    <n v="2"/>
    <n v="2"/>
    <x v="0"/>
    <n v="1"/>
    <s v="Married"/>
    <n v="5647"/>
    <n v="13494"/>
    <n v="4"/>
    <s v="Y"/>
    <x v="1"/>
    <n v="13"/>
    <n v="3"/>
    <n v="1"/>
    <n v="80"/>
    <n v="2"/>
    <n v="11"/>
    <n v="3"/>
    <n v="2"/>
    <n v="3"/>
    <n v="2"/>
    <n v="0"/>
    <n v="2"/>
    <x v="0"/>
    <s v="Mid"/>
  </r>
  <r>
    <n v="47"/>
    <x v="1"/>
    <s v="Travel_Rarely"/>
    <n v="465"/>
    <x v="1"/>
    <n v="1"/>
    <n v="3"/>
    <s v="Technical Degree"/>
    <n v="1"/>
    <n v="1438"/>
    <n v="1"/>
    <x v="1"/>
    <n v="74"/>
    <n v="3"/>
    <n v="1"/>
    <x v="1"/>
    <n v="4"/>
    <s v="Married"/>
    <n v="3420"/>
    <n v="10205"/>
    <n v="7"/>
    <s v="Y"/>
    <x v="1"/>
    <n v="12"/>
    <n v="3"/>
    <n v="3"/>
    <n v="80"/>
    <n v="1"/>
    <n v="17"/>
    <n v="2"/>
    <n v="2"/>
    <n v="6"/>
    <n v="5"/>
    <n v="1"/>
    <n v="2"/>
    <x v="1"/>
    <s v="Mid"/>
  </r>
  <r>
    <n v="25"/>
    <x v="0"/>
    <s v="Travel_Rarely"/>
    <n v="383"/>
    <x v="0"/>
    <n v="9"/>
    <n v="2"/>
    <s v="Life Sciences"/>
    <n v="1"/>
    <n v="1439"/>
    <n v="1"/>
    <x v="1"/>
    <n v="68"/>
    <n v="2"/>
    <n v="1"/>
    <x v="6"/>
    <n v="1"/>
    <s v="Married"/>
    <n v="4400"/>
    <n v="15182"/>
    <n v="3"/>
    <s v="Y"/>
    <x v="1"/>
    <n v="12"/>
    <n v="3"/>
    <n v="1"/>
    <n v="80"/>
    <n v="0"/>
    <n v="6"/>
    <n v="2"/>
    <n v="3"/>
    <n v="3"/>
    <n v="2"/>
    <n v="2"/>
    <n v="2"/>
    <x v="3"/>
    <s v="Mid"/>
  </r>
  <r>
    <n v="37"/>
    <x v="1"/>
    <s v="Non-Travel"/>
    <n v="1413"/>
    <x v="1"/>
    <n v="5"/>
    <n v="2"/>
    <s v="Technical Degree"/>
    <n v="1"/>
    <n v="1440"/>
    <n v="3"/>
    <x v="1"/>
    <n v="84"/>
    <n v="4"/>
    <n v="1"/>
    <x v="2"/>
    <n v="3"/>
    <s v="Single"/>
    <n v="3500"/>
    <n v="25470"/>
    <n v="0"/>
    <s v="Y"/>
    <x v="1"/>
    <n v="14"/>
    <n v="3"/>
    <n v="1"/>
    <n v="80"/>
    <n v="0"/>
    <n v="7"/>
    <n v="2"/>
    <n v="1"/>
    <n v="6"/>
    <n v="5"/>
    <n v="1"/>
    <n v="3"/>
    <x v="0"/>
    <s v="Mid"/>
  </r>
  <r>
    <n v="56"/>
    <x v="1"/>
    <s v="Travel_Rarely"/>
    <n v="1255"/>
    <x v="1"/>
    <n v="1"/>
    <n v="2"/>
    <s v="Life Sciences"/>
    <n v="1"/>
    <n v="1441"/>
    <n v="1"/>
    <x v="0"/>
    <n v="90"/>
    <n v="3"/>
    <n v="1"/>
    <x v="1"/>
    <n v="1"/>
    <s v="Married"/>
    <n v="2066"/>
    <n v="10494"/>
    <n v="2"/>
    <s v="Y"/>
    <x v="1"/>
    <n v="22"/>
    <n v="4"/>
    <n v="4"/>
    <n v="80"/>
    <n v="1"/>
    <n v="5"/>
    <n v="3"/>
    <n v="4"/>
    <n v="3"/>
    <n v="2"/>
    <n v="1"/>
    <n v="0"/>
    <x v="1"/>
    <s v="Low"/>
  </r>
  <r>
    <n v="47"/>
    <x v="1"/>
    <s v="Travel_Rarely"/>
    <n v="359"/>
    <x v="1"/>
    <n v="2"/>
    <n v="4"/>
    <s v="Medical"/>
    <n v="1"/>
    <n v="1443"/>
    <n v="1"/>
    <x v="0"/>
    <n v="82"/>
    <n v="3"/>
    <n v="4"/>
    <x v="7"/>
    <n v="3"/>
    <s v="Married"/>
    <n v="17169"/>
    <n v="26703"/>
    <n v="3"/>
    <s v="Y"/>
    <x v="1"/>
    <n v="19"/>
    <n v="3"/>
    <n v="2"/>
    <n v="80"/>
    <n v="2"/>
    <n v="26"/>
    <n v="2"/>
    <n v="4"/>
    <n v="20"/>
    <n v="17"/>
    <n v="5"/>
    <n v="6"/>
    <x v="1"/>
    <s v="Top"/>
  </r>
  <r>
    <n v="24"/>
    <x v="1"/>
    <s v="Travel_Rarely"/>
    <n v="1476"/>
    <x v="0"/>
    <n v="4"/>
    <n v="1"/>
    <s v="Medical"/>
    <n v="1"/>
    <n v="1445"/>
    <n v="4"/>
    <x v="0"/>
    <n v="42"/>
    <n v="3"/>
    <n v="2"/>
    <x v="0"/>
    <n v="3"/>
    <s v="Married"/>
    <n v="4162"/>
    <n v="15211"/>
    <n v="1"/>
    <s v="Y"/>
    <x v="0"/>
    <n v="12"/>
    <n v="3"/>
    <n v="3"/>
    <n v="80"/>
    <n v="2"/>
    <n v="5"/>
    <n v="3"/>
    <n v="3"/>
    <n v="5"/>
    <n v="4"/>
    <n v="0"/>
    <n v="3"/>
    <x v="3"/>
    <s v="Mid"/>
  </r>
  <r>
    <n v="32"/>
    <x v="1"/>
    <s v="Travel_Rarely"/>
    <n v="601"/>
    <x v="0"/>
    <n v="7"/>
    <n v="5"/>
    <s v="Marketing"/>
    <n v="1"/>
    <n v="1446"/>
    <n v="4"/>
    <x v="1"/>
    <n v="97"/>
    <n v="3"/>
    <n v="2"/>
    <x v="0"/>
    <n v="4"/>
    <s v="Married"/>
    <n v="9204"/>
    <n v="23343"/>
    <n v="4"/>
    <s v="Y"/>
    <x v="1"/>
    <n v="12"/>
    <n v="3"/>
    <n v="3"/>
    <n v="80"/>
    <n v="1"/>
    <n v="7"/>
    <n v="3"/>
    <n v="2"/>
    <n v="4"/>
    <n v="3"/>
    <n v="0"/>
    <n v="3"/>
    <x v="2"/>
    <s v="High"/>
  </r>
  <r>
    <n v="34"/>
    <x v="1"/>
    <s v="Travel_Rarely"/>
    <n v="401"/>
    <x v="1"/>
    <n v="1"/>
    <n v="3"/>
    <s v="Life Sciences"/>
    <n v="1"/>
    <n v="1447"/>
    <n v="4"/>
    <x v="0"/>
    <n v="86"/>
    <n v="2"/>
    <n v="1"/>
    <x v="2"/>
    <n v="2"/>
    <s v="Married"/>
    <n v="3294"/>
    <n v="3708"/>
    <n v="5"/>
    <s v="Y"/>
    <x v="1"/>
    <n v="17"/>
    <n v="3"/>
    <n v="1"/>
    <n v="80"/>
    <n v="1"/>
    <n v="7"/>
    <n v="2"/>
    <n v="2"/>
    <n v="5"/>
    <n v="4"/>
    <n v="0"/>
    <n v="2"/>
    <x v="2"/>
    <s v="Mid"/>
  </r>
  <r>
    <n v="41"/>
    <x v="1"/>
    <s v="Travel_Rarely"/>
    <n v="1283"/>
    <x v="1"/>
    <n v="5"/>
    <n v="5"/>
    <s v="Medical"/>
    <n v="1"/>
    <n v="1448"/>
    <n v="2"/>
    <x v="1"/>
    <n v="90"/>
    <n v="4"/>
    <n v="1"/>
    <x v="1"/>
    <n v="3"/>
    <s v="Married"/>
    <n v="2127"/>
    <n v="5561"/>
    <n v="2"/>
    <s v="Y"/>
    <x v="0"/>
    <n v="12"/>
    <n v="3"/>
    <n v="1"/>
    <n v="80"/>
    <n v="0"/>
    <n v="7"/>
    <n v="5"/>
    <n v="2"/>
    <n v="4"/>
    <n v="2"/>
    <n v="0"/>
    <n v="3"/>
    <x v="0"/>
    <s v="Low"/>
  </r>
  <r>
    <n v="40"/>
    <x v="1"/>
    <s v="Non-Travel"/>
    <n v="663"/>
    <x v="1"/>
    <n v="9"/>
    <n v="4"/>
    <s v="Other"/>
    <n v="1"/>
    <n v="1449"/>
    <n v="3"/>
    <x v="1"/>
    <n v="81"/>
    <n v="3"/>
    <n v="2"/>
    <x v="2"/>
    <n v="3"/>
    <s v="Divorced"/>
    <n v="3975"/>
    <n v="23099"/>
    <n v="3"/>
    <s v="Y"/>
    <x v="1"/>
    <n v="11"/>
    <n v="3"/>
    <n v="3"/>
    <n v="80"/>
    <n v="2"/>
    <n v="11"/>
    <n v="2"/>
    <n v="4"/>
    <n v="8"/>
    <n v="7"/>
    <n v="0"/>
    <n v="7"/>
    <x v="0"/>
    <s v="Mid"/>
  </r>
  <r>
    <n v="31"/>
    <x v="1"/>
    <s v="Travel_Rarely"/>
    <n v="326"/>
    <x v="0"/>
    <n v="8"/>
    <n v="2"/>
    <s v="Life Sciences"/>
    <n v="1"/>
    <n v="1453"/>
    <n v="1"/>
    <x v="1"/>
    <n v="31"/>
    <n v="3"/>
    <n v="3"/>
    <x v="0"/>
    <n v="4"/>
    <s v="Divorced"/>
    <n v="10793"/>
    <n v="8386"/>
    <n v="1"/>
    <s v="Y"/>
    <x v="1"/>
    <n v="18"/>
    <n v="3"/>
    <n v="1"/>
    <n v="80"/>
    <n v="1"/>
    <n v="13"/>
    <n v="5"/>
    <n v="3"/>
    <n v="13"/>
    <n v="7"/>
    <n v="9"/>
    <n v="9"/>
    <x v="2"/>
    <s v="High"/>
  </r>
  <r>
    <n v="46"/>
    <x v="0"/>
    <s v="Travel_Rarely"/>
    <n v="377"/>
    <x v="0"/>
    <n v="9"/>
    <n v="3"/>
    <s v="Marketing"/>
    <n v="1"/>
    <n v="1457"/>
    <n v="1"/>
    <x v="1"/>
    <n v="52"/>
    <n v="3"/>
    <n v="3"/>
    <x v="0"/>
    <n v="4"/>
    <s v="Divorced"/>
    <n v="10096"/>
    <n v="15986"/>
    <n v="4"/>
    <s v="Y"/>
    <x v="1"/>
    <n v="11"/>
    <n v="3"/>
    <n v="1"/>
    <n v="80"/>
    <n v="1"/>
    <n v="28"/>
    <n v="1"/>
    <n v="4"/>
    <n v="7"/>
    <n v="7"/>
    <n v="4"/>
    <n v="3"/>
    <x v="1"/>
    <s v="High"/>
  </r>
  <r>
    <n v="39"/>
    <x v="0"/>
    <s v="Non-Travel"/>
    <n v="592"/>
    <x v="1"/>
    <n v="2"/>
    <n v="3"/>
    <s v="Life Sciences"/>
    <n v="1"/>
    <n v="1458"/>
    <n v="1"/>
    <x v="0"/>
    <n v="54"/>
    <n v="2"/>
    <n v="1"/>
    <x v="2"/>
    <n v="1"/>
    <s v="Single"/>
    <n v="3646"/>
    <n v="17181"/>
    <n v="2"/>
    <s v="Y"/>
    <x v="0"/>
    <n v="23"/>
    <n v="4"/>
    <n v="2"/>
    <n v="80"/>
    <n v="0"/>
    <n v="11"/>
    <n v="2"/>
    <n v="4"/>
    <n v="1"/>
    <n v="0"/>
    <n v="0"/>
    <n v="0"/>
    <x v="0"/>
    <s v="Mid"/>
  </r>
  <r>
    <n v="31"/>
    <x v="0"/>
    <s v="Travel_Frequently"/>
    <n v="1445"/>
    <x v="1"/>
    <n v="1"/>
    <n v="5"/>
    <s v="Life Sciences"/>
    <n v="1"/>
    <n v="1459"/>
    <n v="3"/>
    <x v="0"/>
    <n v="100"/>
    <n v="4"/>
    <n v="3"/>
    <x v="3"/>
    <n v="2"/>
    <s v="Single"/>
    <n v="7446"/>
    <n v="8931"/>
    <n v="1"/>
    <s v="Y"/>
    <x v="1"/>
    <n v="11"/>
    <n v="3"/>
    <n v="1"/>
    <n v="80"/>
    <n v="0"/>
    <n v="10"/>
    <n v="2"/>
    <n v="3"/>
    <n v="10"/>
    <n v="8"/>
    <n v="4"/>
    <n v="7"/>
    <x v="2"/>
    <s v="High"/>
  </r>
  <r>
    <n v="45"/>
    <x v="1"/>
    <s v="Travel_Rarely"/>
    <n v="1038"/>
    <x v="1"/>
    <n v="20"/>
    <n v="3"/>
    <s v="Medical"/>
    <n v="1"/>
    <n v="1460"/>
    <n v="2"/>
    <x v="1"/>
    <n v="95"/>
    <n v="1"/>
    <n v="3"/>
    <x v="4"/>
    <n v="1"/>
    <s v="Divorced"/>
    <n v="10851"/>
    <n v="19863"/>
    <n v="2"/>
    <s v="Y"/>
    <x v="0"/>
    <n v="18"/>
    <n v="3"/>
    <n v="2"/>
    <n v="80"/>
    <n v="1"/>
    <n v="24"/>
    <n v="2"/>
    <n v="3"/>
    <n v="7"/>
    <n v="7"/>
    <n v="0"/>
    <n v="7"/>
    <x v="0"/>
    <s v="High"/>
  </r>
  <r>
    <n v="31"/>
    <x v="1"/>
    <s v="Travel_Rarely"/>
    <n v="1398"/>
    <x v="2"/>
    <n v="8"/>
    <n v="2"/>
    <s v="Medical"/>
    <n v="1"/>
    <n v="1461"/>
    <n v="4"/>
    <x v="0"/>
    <n v="96"/>
    <n v="4"/>
    <n v="1"/>
    <x v="8"/>
    <n v="2"/>
    <s v="Single"/>
    <n v="2109"/>
    <n v="24609"/>
    <n v="9"/>
    <s v="Y"/>
    <x v="1"/>
    <n v="18"/>
    <n v="3"/>
    <n v="4"/>
    <n v="80"/>
    <n v="0"/>
    <n v="8"/>
    <n v="3"/>
    <n v="3"/>
    <n v="3"/>
    <n v="2"/>
    <n v="0"/>
    <n v="2"/>
    <x v="2"/>
    <s v="Low"/>
  </r>
  <r>
    <n v="31"/>
    <x v="0"/>
    <s v="Travel_Frequently"/>
    <n v="523"/>
    <x v="1"/>
    <n v="2"/>
    <n v="3"/>
    <s v="Life Sciences"/>
    <n v="1"/>
    <n v="1464"/>
    <n v="2"/>
    <x v="1"/>
    <n v="94"/>
    <n v="3"/>
    <n v="1"/>
    <x v="2"/>
    <n v="4"/>
    <s v="Married"/>
    <n v="3722"/>
    <n v="21081"/>
    <n v="6"/>
    <s v="Y"/>
    <x v="0"/>
    <n v="13"/>
    <n v="3"/>
    <n v="3"/>
    <n v="80"/>
    <n v="1"/>
    <n v="7"/>
    <n v="2"/>
    <n v="1"/>
    <n v="2"/>
    <n v="2"/>
    <n v="2"/>
    <n v="2"/>
    <x v="2"/>
    <s v="Mid"/>
  </r>
  <r>
    <n v="45"/>
    <x v="1"/>
    <s v="Travel_Rarely"/>
    <n v="1448"/>
    <x v="1"/>
    <n v="29"/>
    <n v="3"/>
    <s v="Technical Degree"/>
    <n v="1"/>
    <n v="1465"/>
    <n v="2"/>
    <x v="1"/>
    <n v="55"/>
    <n v="3"/>
    <n v="3"/>
    <x v="3"/>
    <n v="4"/>
    <s v="Married"/>
    <n v="9380"/>
    <n v="14720"/>
    <n v="4"/>
    <s v="Y"/>
    <x v="0"/>
    <n v="18"/>
    <n v="3"/>
    <n v="4"/>
    <n v="80"/>
    <n v="2"/>
    <n v="10"/>
    <n v="4"/>
    <n v="4"/>
    <n v="3"/>
    <n v="1"/>
    <n v="1"/>
    <n v="2"/>
    <x v="0"/>
    <s v="High"/>
  </r>
  <r>
    <n v="48"/>
    <x v="1"/>
    <s v="Travel_Rarely"/>
    <n v="1221"/>
    <x v="0"/>
    <n v="7"/>
    <n v="3"/>
    <s v="Marketing"/>
    <n v="1"/>
    <n v="1466"/>
    <n v="3"/>
    <x v="1"/>
    <n v="96"/>
    <n v="3"/>
    <n v="2"/>
    <x v="0"/>
    <n v="1"/>
    <s v="Divorced"/>
    <n v="5486"/>
    <n v="24795"/>
    <n v="4"/>
    <s v="Y"/>
    <x v="1"/>
    <n v="11"/>
    <n v="3"/>
    <n v="1"/>
    <n v="80"/>
    <n v="3"/>
    <n v="15"/>
    <n v="3"/>
    <n v="3"/>
    <n v="2"/>
    <n v="2"/>
    <n v="2"/>
    <n v="2"/>
    <x v="1"/>
    <s v="Mid"/>
  </r>
  <r>
    <n v="34"/>
    <x v="0"/>
    <s v="Travel_Rarely"/>
    <n v="1107"/>
    <x v="2"/>
    <n v="9"/>
    <n v="4"/>
    <s v="Technical Degree"/>
    <n v="1"/>
    <n v="1467"/>
    <n v="1"/>
    <x v="0"/>
    <n v="52"/>
    <n v="3"/>
    <n v="1"/>
    <x v="8"/>
    <n v="3"/>
    <s v="Married"/>
    <n v="2742"/>
    <n v="3072"/>
    <n v="1"/>
    <s v="Y"/>
    <x v="1"/>
    <n v="15"/>
    <n v="3"/>
    <n v="4"/>
    <n v="80"/>
    <n v="0"/>
    <n v="2"/>
    <n v="0"/>
    <n v="3"/>
    <n v="2"/>
    <n v="2"/>
    <n v="2"/>
    <n v="2"/>
    <x v="2"/>
    <s v="Low"/>
  </r>
  <r>
    <n v="40"/>
    <x v="1"/>
    <s v="Non-Travel"/>
    <n v="218"/>
    <x v="1"/>
    <n v="8"/>
    <n v="1"/>
    <s v="Medical"/>
    <n v="1"/>
    <n v="1468"/>
    <n v="4"/>
    <x v="1"/>
    <n v="55"/>
    <n v="2"/>
    <n v="3"/>
    <x v="7"/>
    <n v="2"/>
    <s v="Divorced"/>
    <n v="13757"/>
    <n v="25178"/>
    <n v="2"/>
    <s v="Y"/>
    <x v="1"/>
    <n v="11"/>
    <n v="3"/>
    <n v="3"/>
    <n v="80"/>
    <n v="1"/>
    <n v="16"/>
    <n v="5"/>
    <n v="3"/>
    <n v="9"/>
    <n v="8"/>
    <n v="4"/>
    <n v="8"/>
    <x v="0"/>
    <s v="Top"/>
  </r>
  <r>
    <n v="28"/>
    <x v="1"/>
    <s v="Travel_Rarely"/>
    <n v="866"/>
    <x v="0"/>
    <n v="5"/>
    <n v="3"/>
    <s v="Medical"/>
    <n v="1"/>
    <n v="1469"/>
    <n v="4"/>
    <x v="1"/>
    <n v="84"/>
    <n v="3"/>
    <n v="2"/>
    <x v="0"/>
    <n v="1"/>
    <s v="Single"/>
    <n v="8463"/>
    <n v="23490"/>
    <n v="0"/>
    <s v="Y"/>
    <x v="1"/>
    <n v="18"/>
    <n v="3"/>
    <n v="4"/>
    <n v="80"/>
    <n v="0"/>
    <n v="6"/>
    <n v="4"/>
    <n v="3"/>
    <n v="5"/>
    <n v="4"/>
    <n v="1"/>
    <n v="3"/>
    <x v="2"/>
    <s v="High"/>
  </r>
  <r>
    <n v="44"/>
    <x v="1"/>
    <s v="Non-Travel"/>
    <n v="981"/>
    <x v="1"/>
    <n v="5"/>
    <n v="3"/>
    <s v="Life Sciences"/>
    <n v="1"/>
    <n v="1471"/>
    <n v="3"/>
    <x v="1"/>
    <n v="90"/>
    <n v="2"/>
    <n v="1"/>
    <x v="2"/>
    <n v="3"/>
    <s v="Single"/>
    <n v="3162"/>
    <n v="7973"/>
    <n v="3"/>
    <s v="Y"/>
    <x v="1"/>
    <n v="14"/>
    <n v="3"/>
    <n v="4"/>
    <n v="80"/>
    <n v="0"/>
    <n v="7"/>
    <n v="5"/>
    <n v="3"/>
    <n v="5"/>
    <n v="2"/>
    <n v="0"/>
    <n v="3"/>
    <x v="0"/>
    <s v="Mid"/>
  </r>
  <r>
    <n v="53"/>
    <x v="1"/>
    <s v="Travel_Rarely"/>
    <n v="447"/>
    <x v="1"/>
    <n v="2"/>
    <n v="3"/>
    <s v="Medical"/>
    <n v="1"/>
    <n v="1472"/>
    <n v="4"/>
    <x v="1"/>
    <n v="39"/>
    <n v="4"/>
    <n v="4"/>
    <x v="7"/>
    <n v="2"/>
    <s v="Single"/>
    <n v="16598"/>
    <n v="19764"/>
    <n v="4"/>
    <s v="Y"/>
    <x v="1"/>
    <n v="12"/>
    <n v="3"/>
    <n v="2"/>
    <n v="80"/>
    <n v="0"/>
    <n v="35"/>
    <n v="2"/>
    <n v="2"/>
    <n v="9"/>
    <n v="8"/>
    <n v="8"/>
    <n v="8"/>
    <x v="1"/>
    <s v="Top"/>
  </r>
  <r>
    <n v="49"/>
    <x v="1"/>
    <s v="Travel_Rarely"/>
    <n v="1495"/>
    <x v="1"/>
    <n v="5"/>
    <n v="4"/>
    <s v="Technical Degree"/>
    <n v="1"/>
    <n v="1473"/>
    <n v="1"/>
    <x v="1"/>
    <n v="96"/>
    <n v="3"/>
    <n v="2"/>
    <x v="4"/>
    <n v="3"/>
    <s v="Married"/>
    <n v="6651"/>
    <n v="21534"/>
    <n v="2"/>
    <s v="Y"/>
    <x v="1"/>
    <n v="14"/>
    <n v="3"/>
    <n v="2"/>
    <n v="80"/>
    <n v="1"/>
    <n v="20"/>
    <n v="0"/>
    <n v="2"/>
    <n v="3"/>
    <n v="2"/>
    <n v="1"/>
    <n v="2"/>
    <x v="1"/>
    <s v="Mid"/>
  </r>
  <r>
    <n v="40"/>
    <x v="1"/>
    <s v="Travel_Rarely"/>
    <n v="896"/>
    <x v="1"/>
    <n v="2"/>
    <n v="3"/>
    <s v="Medical"/>
    <n v="1"/>
    <n v="1474"/>
    <n v="3"/>
    <x v="1"/>
    <n v="68"/>
    <n v="3"/>
    <n v="1"/>
    <x v="1"/>
    <n v="3"/>
    <s v="Divorced"/>
    <n v="2345"/>
    <n v="8045"/>
    <n v="2"/>
    <s v="Y"/>
    <x v="1"/>
    <n v="14"/>
    <n v="3"/>
    <n v="3"/>
    <n v="80"/>
    <n v="1"/>
    <n v="8"/>
    <n v="3"/>
    <n v="4"/>
    <n v="3"/>
    <n v="1"/>
    <n v="1"/>
    <n v="2"/>
    <x v="0"/>
    <s v="Low"/>
  </r>
  <r>
    <n v="44"/>
    <x v="1"/>
    <s v="Travel_Rarely"/>
    <n v="1467"/>
    <x v="1"/>
    <n v="20"/>
    <n v="3"/>
    <s v="Life Sciences"/>
    <n v="1"/>
    <n v="1475"/>
    <n v="4"/>
    <x v="1"/>
    <n v="49"/>
    <n v="3"/>
    <n v="1"/>
    <x v="1"/>
    <n v="2"/>
    <s v="Single"/>
    <n v="3420"/>
    <n v="21158"/>
    <n v="1"/>
    <s v="Y"/>
    <x v="1"/>
    <n v="13"/>
    <n v="3"/>
    <n v="3"/>
    <n v="80"/>
    <n v="0"/>
    <n v="6"/>
    <n v="3"/>
    <n v="2"/>
    <n v="5"/>
    <n v="2"/>
    <n v="1"/>
    <n v="3"/>
    <x v="0"/>
    <s v="Mid"/>
  </r>
  <r>
    <n v="33"/>
    <x v="1"/>
    <s v="Travel_Frequently"/>
    <n v="430"/>
    <x v="0"/>
    <n v="7"/>
    <n v="3"/>
    <s v="Medical"/>
    <n v="1"/>
    <n v="1477"/>
    <n v="4"/>
    <x v="1"/>
    <n v="54"/>
    <n v="3"/>
    <n v="2"/>
    <x v="0"/>
    <n v="1"/>
    <s v="Married"/>
    <n v="4373"/>
    <n v="17456"/>
    <n v="0"/>
    <s v="Y"/>
    <x v="1"/>
    <n v="14"/>
    <n v="3"/>
    <n v="1"/>
    <n v="80"/>
    <n v="2"/>
    <n v="5"/>
    <n v="2"/>
    <n v="3"/>
    <n v="4"/>
    <n v="3"/>
    <n v="0"/>
    <n v="3"/>
    <x v="2"/>
    <s v="Mid"/>
  </r>
  <r>
    <n v="34"/>
    <x v="1"/>
    <s v="Travel_Rarely"/>
    <n v="1326"/>
    <x v="0"/>
    <n v="3"/>
    <n v="3"/>
    <s v="Other"/>
    <n v="1"/>
    <n v="1478"/>
    <n v="4"/>
    <x v="1"/>
    <n v="81"/>
    <n v="1"/>
    <n v="2"/>
    <x v="0"/>
    <n v="1"/>
    <s v="Single"/>
    <n v="4759"/>
    <n v="15891"/>
    <n v="3"/>
    <s v="Y"/>
    <x v="1"/>
    <n v="18"/>
    <n v="3"/>
    <n v="4"/>
    <n v="80"/>
    <n v="0"/>
    <n v="15"/>
    <n v="2"/>
    <n v="3"/>
    <n v="13"/>
    <n v="9"/>
    <n v="3"/>
    <n v="12"/>
    <x v="2"/>
    <s v="Mid"/>
  </r>
  <r>
    <n v="30"/>
    <x v="1"/>
    <s v="Travel_Rarely"/>
    <n v="1358"/>
    <x v="0"/>
    <n v="16"/>
    <n v="1"/>
    <s v="Life Sciences"/>
    <n v="1"/>
    <n v="1479"/>
    <n v="4"/>
    <x v="1"/>
    <n v="96"/>
    <n v="3"/>
    <n v="2"/>
    <x v="0"/>
    <n v="3"/>
    <s v="Married"/>
    <n v="5301"/>
    <n v="2939"/>
    <n v="8"/>
    <s v="Y"/>
    <x v="1"/>
    <n v="15"/>
    <n v="3"/>
    <n v="3"/>
    <n v="80"/>
    <n v="2"/>
    <n v="4"/>
    <n v="2"/>
    <n v="2"/>
    <n v="2"/>
    <n v="1"/>
    <n v="2"/>
    <n v="2"/>
    <x v="2"/>
    <s v="Mid"/>
  </r>
  <r>
    <n v="42"/>
    <x v="1"/>
    <s v="Travel_Frequently"/>
    <n v="748"/>
    <x v="1"/>
    <n v="9"/>
    <n v="2"/>
    <s v="Medical"/>
    <n v="1"/>
    <n v="1480"/>
    <n v="1"/>
    <x v="0"/>
    <n v="74"/>
    <n v="3"/>
    <n v="1"/>
    <x v="2"/>
    <n v="4"/>
    <s v="Single"/>
    <n v="3673"/>
    <n v="16458"/>
    <n v="1"/>
    <s v="Y"/>
    <x v="1"/>
    <n v="13"/>
    <n v="3"/>
    <n v="3"/>
    <n v="80"/>
    <n v="0"/>
    <n v="12"/>
    <n v="3"/>
    <n v="3"/>
    <n v="12"/>
    <n v="9"/>
    <n v="5"/>
    <n v="8"/>
    <x v="0"/>
    <s v="Mid"/>
  </r>
  <r>
    <n v="44"/>
    <x v="1"/>
    <s v="Travel_Frequently"/>
    <n v="383"/>
    <x v="0"/>
    <n v="1"/>
    <n v="5"/>
    <s v="Marketing"/>
    <n v="1"/>
    <n v="1481"/>
    <n v="1"/>
    <x v="0"/>
    <n v="79"/>
    <n v="3"/>
    <n v="2"/>
    <x v="0"/>
    <n v="3"/>
    <s v="Married"/>
    <n v="4768"/>
    <n v="9282"/>
    <n v="7"/>
    <s v="Y"/>
    <x v="1"/>
    <n v="12"/>
    <n v="3"/>
    <n v="3"/>
    <n v="80"/>
    <n v="1"/>
    <n v="11"/>
    <n v="4"/>
    <n v="2"/>
    <n v="1"/>
    <n v="0"/>
    <n v="0"/>
    <n v="0"/>
    <x v="0"/>
    <s v="Mid"/>
  </r>
  <r>
    <n v="30"/>
    <x v="1"/>
    <s v="Non-Travel"/>
    <n v="990"/>
    <x v="1"/>
    <n v="7"/>
    <n v="3"/>
    <s v="Technical Degree"/>
    <n v="1"/>
    <n v="1482"/>
    <n v="3"/>
    <x v="1"/>
    <n v="64"/>
    <n v="3"/>
    <n v="1"/>
    <x v="1"/>
    <n v="3"/>
    <s v="Divorced"/>
    <n v="1274"/>
    <n v="7152"/>
    <n v="1"/>
    <s v="Y"/>
    <x v="1"/>
    <n v="13"/>
    <n v="3"/>
    <n v="2"/>
    <n v="80"/>
    <n v="2"/>
    <n v="1"/>
    <n v="2"/>
    <n v="2"/>
    <n v="1"/>
    <n v="0"/>
    <n v="0"/>
    <n v="0"/>
    <x v="2"/>
    <s v="Low"/>
  </r>
  <r>
    <n v="57"/>
    <x v="1"/>
    <s v="Travel_Rarely"/>
    <n v="405"/>
    <x v="1"/>
    <n v="1"/>
    <n v="2"/>
    <s v="Life Sciences"/>
    <n v="1"/>
    <n v="1483"/>
    <n v="2"/>
    <x v="1"/>
    <n v="93"/>
    <n v="4"/>
    <n v="2"/>
    <x v="1"/>
    <n v="3"/>
    <s v="Married"/>
    <n v="4900"/>
    <n v="2721"/>
    <n v="0"/>
    <s v="Y"/>
    <x v="1"/>
    <n v="24"/>
    <n v="4"/>
    <n v="1"/>
    <n v="80"/>
    <n v="1"/>
    <n v="13"/>
    <n v="2"/>
    <n v="2"/>
    <n v="12"/>
    <n v="9"/>
    <n v="2"/>
    <n v="8"/>
    <x v="1"/>
    <s v="Mid"/>
  </r>
  <r>
    <n v="49"/>
    <x v="1"/>
    <s v="Travel_Rarely"/>
    <n v="1490"/>
    <x v="1"/>
    <n v="7"/>
    <n v="4"/>
    <s v="Life Sciences"/>
    <n v="1"/>
    <n v="1484"/>
    <n v="3"/>
    <x v="1"/>
    <n v="35"/>
    <n v="3"/>
    <n v="3"/>
    <x v="4"/>
    <n v="2"/>
    <s v="Divorced"/>
    <n v="10466"/>
    <n v="20948"/>
    <n v="3"/>
    <s v="Y"/>
    <x v="1"/>
    <n v="14"/>
    <n v="3"/>
    <n v="2"/>
    <n v="80"/>
    <n v="2"/>
    <n v="29"/>
    <n v="3"/>
    <n v="3"/>
    <n v="8"/>
    <n v="7"/>
    <n v="0"/>
    <n v="7"/>
    <x v="1"/>
    <s v="High"/>
  </r>
  <r>
    <n v="34"/>
    <x v="1"/>
    <s v="Travel_Frequently"/>
    <n v="829"/>
    <x v="1"/>
    <n v="15"/>
    <n v="3"/>
    <s v="Medical"/>
    <n v="1"/>
    <n v="1485"/>
    <n v="2"/>
    <x v="1"/>
    <n v="71"/>
    <n v="3"/>
    <n v="4"/>
    <x v="7"/>
    <n v="1"/>
    <s v="Divorced"/>
    <n v="17007"/>
    <n v="11929"/>
    <n v="7"/>
    <s v="Y"/>
    <x v="1"/>
    <n v="14"/>
    <n v="3"/>
    <n v="4"/>
    <n v="80"/>
    <n v="2"/>
    <n v="16"/>
    <n v="3"/>
    <n v="2"/>
    <n v="14"/>
    <n v="8"/>
    <n v="6"/>
    <n v="9"/>
    <x v="2"/>
    <s v="Top"/>
  </r>
  <r>
    <n v="28"/>
    <x v="0"/>
    <s v="Travel_Frequently"/>
    <n v="1496"/>
    <x v="0"/>
    <n v="1"/>
    <n v="3"/>
    <s v="Technical Degree"/>
    <n v="1"/>
    <n v="1486"/>
    <n v="1"/>
    <x v="1"/>
    <n v="92"/>
    <n v="3"/>
    <n v="1"/>
    <x v="6"/>
    <n v="3"/>
    <s v="Married"/>
    <n v="2909"/>
    <n v="15747"/>
    <n v="3"/>
    <s v="Y"/>
    <x v="1"/>
    <n v="15"/>
    <n v="3"/>
    <n v="4"/>
    <n v="80"/>
    <n v="1"/>
    <n v="5"/>
    <n v="3"/>
    <n v="4"/>
    <n v="3"/>
    <n v="2"/>
    <n v="1"/>
    <n v="2"/>
    <x v="2"/>
    <s v="Low"/>
  </r>
  <r>
    <n v="29"/>
    <x v="0"/>
    <s v="Travel_Frequently"/>
    <n v="115"/>
    <x v="0"/>
    <n v="13"/>
    <n v="3"/>
    <s v="Technical Degree"/>
    <n v="1"/>
    <n v="1487"/>
    <n v="1"/>
    <x v="0"/>
    <n v="51"/>
    <n v="3"/>
    <n v="2"/>
    <x v="0"/>
    <n v="2"/>
    <s v="Single"/>
    <n v="5765"/>
    <n v="17485"/>
    <n v="5"/>
    <s v="Y"/>
    <x v="1"/>
    <n v="11"/>
    <n v="3"/>
    <n v="1"/>
    <n v="80"/>
    <n v="0"/>
    <n v="7"/>
    <n v="4"/>
    <n v="1"/>
    <n v="5"/>
    <n v="3"/>
    <n v="0"/>
    <n v="0"/>
    <x v="2"/>
    <s v="Mid"/>
  </r>
  <r>
    <n v="34"/>
    <x v="0"/>
    <s v="Travel_Rarely"/>
    <n v="790"/>
    <x v="0"/>
    <n v="24"/>
    <n v="4"/>
    <s v="Medical"/>
    <n v="1"/>
    <n v="1489"/>
    <n v="1"/>
    <x v="0"/>
    <n v="40"/>
    <n v="2"/>
    <n v="2"/>
    <x v="0"/>
    <n v="2"/>
    <s v="Single"/>
    <n v="4599"/>
    <n v="7815"/>
    <n v="0"/>
    <s v="Y"/>
    <x v="0"/>
    <n v="23"/>
    <n v="4"/>
    <n v="3"/>
    <n v="80"/>
    <n v="0"/>
    <n v="16"/>
    <n v="2"/>
    <n v="4"/>
    <n v="15"/>
    <n v="9"/>
    <n v="10"/>
    <n v="10"/>
    <x v="2"/>
    <s v="Mid"/>
  </r>
  <r>
    <n v="35"/>
    <x v="1"/>
    <s v="Travel_Rarely"/>
    <n v="660"/>
    <x v="0"/>
    <n v="7"/>
    <n v="1"/>
    <s v="Life Sciences"/>
    <n v="1"/>
    <n v="1492"/>
    <n v="4"/>
    <x v="1"/>
    <n v="76"/>
    <n v="3"/>
    <n v="1"/>
    <x v="6"/>
    <n v="3"/>
    <s v="Married"/>
    <n v="2404"/>
    <n v="16192"/>
    <n v="1"/>
    <s v="Y"/>
    <x v="1"/>
    <n v="13"/>
    <n v="3"/>
    <n v="1"/>
    <n v="80"/>
    <n v="1"/>
    <n v="1"/>
    <n v="3"/>
    <n v="3"/>
    <n v="1"/>
    <n v="0"/>
    <n v="0"/>
    <n v="0"/>
    <x v="2"/>
    <s v="Low"/>
  </r>
  <r>
    <n v="24"/>
    <x v="0"/>
    <s v="Travel_Frequently"/>
    <n v="381"/>
    <x v="1"/>
    <n v="9"/>
    <n v="3"/>
    <s v="Medical"/>
    <n v="1"/>
    <n v="1494"/>
    <n v="2"/>
    <x v="1"/>
    <n v="89"/>
    <n v="3"/>
    <n v="1"/>
    <x v="2"/>
    <n v="1"/>
    <s v="Single"/>
    <n v="3172"/>
    <n v="16998"/>
    <n v="2"/>
    <s v="Y"/>
    <x v="0"/>
    <n v="11"/>
    <n v="3"/>
    <n v="3"/>
    <n v="80"/>
    <n v="0"/>
    <n v="4"/>
    <n v="2"/>
    <n v="2"/>
    <n v="0"/>
    <n v="0"/>
    <n v="0"/>
    <n v="0"/>
    <x v="3"/>
    <s v="Mid"/>
  </r>
  <r>
    <n v="24"/>
    <x v="1"/>
    <s v="Non-Travel"/>
    <n v="830"/>
    <x v="0"/>
    <n v="13"/>
    <n v="2"/>
    <s v="Life Sciences"/>
    <n v="1"/>
    <n v="1495"/>
    <n v="4"/>
    <x v="0"/>
    <n v="78"/>
    <n v="3"/>
    <n v="1"/>
    <x v="6"/>
    <n v="2"/>
    <s v="Married"/>
    <n v="2033"/>
    <n v="7103"/>
    <n v="1"/>
    <s v="Y"/>
    <x v="1"/>
    <n v="13"/>
    <n v="3"/>
    <n v="3"/>
    <n v="80"/>
    <n v="1"/>
    <n v="1"/>
    <n v="2"/>
    <n v="3"/>
    <n v="1"/>
    <n v="0"/>
    <n v="0"/>
    <n v="0"/>
    <x v="3"/>
    <s v="Low"/>
  </r>
  <r>
    <n v="44"/>
    <x v="1"/>
    <s v="Travel_Frequently"/>
    <n v="1193"/>
    <x v="1"/>
    <n v="2"/>
    <n v="1"/>
    <s v="Medical"/>
    <n v="1"/>
    <n v="1496"/>
    <n v="2"/>
    <x v="1"/>
    <n v="86"/>
    <n v="3"/>
    <n v="3"/>
    <x v="3"/>
    <n v="3"/>
    <s v="Single"/>
    <n v="10209"/>
    <n v="19719"/>
    <n v="5"/>
    <s v="Y"/>
    <x v="0"/>
    <n v="18"/>
    <n v="3"/>
    <n v="2"/>
    <n v="80"/>
    <n v="0"/>
    <n v="16"/>
    <n v="2"/>
    <n v="2"/>
    <n v="2"/>
    <n v="2"/>
    <n v="2"/>
    <n v="2"/>
    <x v="0"/>
    <s v="High"/>
  </r>
  <r>
    <n v="29"/>
    <x v="1"/>
    <s v="Travel_Rarely"/>
    <n v="1246"/>
    <x v="0"/>
    <n v="19"/>
    <n v="3"/>
    <s v="Life Sciences"/>
    <n v="1"/>
    <n v="1497"/>
    <n v="3"/>
    <x v="1"/>
    <n v="77"/>
    <n v="2"/>
    <n v="2"/>
    <x v="0"/>
    <n v="3"/>
    <s v="Divorced"/>
    <n v="8620"/>
    <n v="23757"/>
    <n v="1"/>
    <s v="Y"/>
    <x v="1"/>
    <n v="14"/>
    <n v="3"/>
    <n v="3"/>
    <n v="80"/>
    <n v="2"/>
    <n v="10"/>
    <n v="3"/>
    <n v="3"/>
    <n v="10"/>
    <n v="7"/>
    <n v="0"/>
    <n v="4"/>
    <x v="2"/>
    <s v="High"/>
  </r>
  <r>
    <n v="30"/>
    <x v="1"/>
    <s v="Travel_Rarely"/>
    <n v="330"/>
    <x v="2"/>
    <n v="1"/>
    <n v="3"/>
    <s v="Life Sciences"/>
    <n v="1"/>
    <n v="1499"/>
    <n v="3"/>
    <x v="1"/>
    <n v="46"/>
    <n v="3"/>
    <n v="1"/>
    <x v="8"/>
    <n v="3"/>
    <s v="Divorced"/>
    <n v="2064"/>
    <n v="15428"/>
    <n v="0"/>
    <s v="Y"/>
    <x v="1"/>
    <n v="21"/>
    <n v="4"/>
    <n v="1"/>
    <n v="80"/>
    <n v="1"/>
    <n v="6"/>
    <n v="3"/>
    <n v="4"/>
    <n v="5"/>
    <n v="3"/>
    <n v="1"/>
    <n v="3"/>
    <x v="2"/>
    <s v="Low"/>
  </r>
  <r>
    <n v="55"/>
    <x v="1"/>
    <s v="Travel_Rarely"/>
    <n v="1229"/>
    <x v="1"/>
    <n v="4"/>
    <n v="4"/>
    <s v="Life Sciences"/>
    <n v="1"/>
    <n v="1501"/>
    <n v="4"/>
    <x v="1"/>
    <n v="30"/>
    <n v="3"/>
    <n v="2"/>
    <x v="4"/>
    <n v="3"/>
    <s v="Married"/>
    <n v="4035"/>
    <n v="16143"/>
    <n v="0"/>
    <s v="Y"/>
    <x v="0"/>
    <n v="16"/>
    <n v="3"/>
    <n v="2"/>
    <n v="80"/>
    <n v="0"/>
    <n v="4"/>
    <n v="2"/>
    <n v="3"/>
    <n v="3"/>
    <n v="2"/>
    <n v="1"/>
    <n v="2"/>
    <x v="1"/>
    <s v="Mid"/>
  </r>
  <r>
    <n v="33"/>
    <x v="1"/>
    <s v="Travel_Rarely"/>
    <n v="1099"/>
    <x v="1"/>
    <n v="4"/>
    <n v="4"/>
    <s v="Medical"/>
    <n v="1"/>
    <n v="1502"/>
    <n v="1"/>
    <x v="0"/>
    <n v="82"/>
    <n v="2"/>
    <n v="1"/>
    <x v="2"/>
    <n v="2"/>
    <s v="Married"/>
    <n v="3838"/>
    <n v="8192"/>
    <n v="8"/>
    <s v="Y"/>
    <x v="1"/>
    <n v="11"/>
    <n v="3"/>
    <n v="4"/>
    <n v="80"/>
    <n v="0"/>
    <n v="8"/>
    <n v="5"/>
    <n v="3"/>
    <n v="5"/>
    <n v="4"/>
    <n v="0"/>
    <n v="2"/>
    <x v="2"/>
    <s v="Mid"/>
  </r>
  <r>
    <n v="47"/>
    <x v="1"/>
    <s v="Travel_Rarely"/>
    <n v="571"/>
    <x v="0"/>
    <n v="14"/>
    <n v="3"/>
    <s v="Medical"/>
    <n v="1"/>
    <n v="1503"/>
    <n v="3"/>
    <x v="0"/>
    <n v="78"/>
    <n v="3"/>
    <n v="2"/>
    <x v="0"/>
    <n v="3"/>
    <s v="Married"/>
    <n v="4591"/>
    <n v="24200"/>
    <n v="3"/>
    <s v="Y"/>
    <x v="0"/>
    <n v="17"/>
    <n v="3"/>
    <n v="3"/>
    <n v="80"/>
    <n v="1"/>
    <n v="11"/>
    <n v="4"/>
    <n v="2"/>
    <n v="5"/>
    <n v="4"/>
    <n v="1"/>
    <n v="2"/>
    <x v="1"/>
    <s v="Mid"/>
  </r>
  <r>
    <n v="28"/>
    <x v="0"/>
    <s v="Travel_Frequently"/>
    <n v="289"/>
    <x v="1"/>
    <n v="2"/>
    <n v="2"/>
    <s v="Medical"/>
    <n v="1"/>
    <n v="1504"/>
    <n v="3"/>
    <x v="1"/>
    <n v="38"/>
    <n v="2"/>
    <n v="1"/>
    <x v="2"/>
    <n v="1"/>
    <s v="Single"/>
    <n v="2561"/>
    <n v="5355"/>
    <n v="7"/>
    <s v="Y"/>
    <x v="1"/>
    <n v="11"/>
    <n v="3"/>
    <n v="3"/>
    <n v="80"/>
    <n v="0"/>
    <n v="8"/>
    <n v="2"/>
    <n v="2"/>
    <n v="0"/>
    <n v="0"/>
    <n v="0"/>
    <n v="0"/>
    <x v="2"/>
    <s v="Low"/>
  </r>
  <r>
    <n v="28"/>
    <x v="1"/>
    <s v="Travel_Rarely"/>
    <n v="1423"/>
    <x v="1"/>
    <n v="1"/>
    <n v="3"/>
    <s v="Life Sciences"/>
    <n v="1"/>
    <n v="1506"/>
    <n v="1"/>
    <x v="1"/>
    <n v="72"/>
    <n v="2"/>
    <n v="1"/>
    <x v="1"/>
    <n v="3"/>
    <s v="Divorced"/>
    <n v="1563"/>
    <n v="12530"/>
    <n v="1"/>
    <s v="Y"/>
    <x v="1"/>
    <n v="14"/>
    <n v="3"/>
    <n v="4"/>
    <n v="80"/>
    <n v="1"/>
    <n v="1"/>
    <n v="2"/>
    <n v="1"/>
    <n v="1"/>
    <n v="0"/>
    <n v="0"/>
    <n v="0"/>
    <x v="2"/>
    <s v="Low"/>
  </r>
  <r>
    <n v="28"/>
    <x v="1"/>
    <s v="Travel_Frequently"/>
    <n v="467"/>
    <x v="0"/>
    <n v="7"/>
    <n v="3"/>
    <s v="Life Sciences"/>
    <n v="1"/>
    <n v="1507"/>
    <n v="3"/>
    <x v="1"/>
    <n v="55"/>
    <n v="3"/>
    <n v="2"/>
    <x v="0"/>
    <n v="1"/>
    <s v="Single"/>
    <n v="4898"/>
    <n v="11827"/>
    <n v="0"/>
    <s v="Y"/>
    <x v="1"/>
    <n v="14"/>
    <n v="3"/>
    <n v="4"/>
    <n v="80"/>
    <n v="0"/>
    <n v="5"/>
    <n v="5"/>
    <n v="3"/>
    <n v="4"/>
    <n v="2"/>
    <n v="1"/>
    <n v="3"/>
    <x v="2"/>
    <s v="Mid"/>
  </r>
  <r>
    <n v="49"/>
    <x v="1"/>
    <s v="Travel_Rarely"/>
    <n v="271"/>
    <x v="1"/>
    <n v="3"/>
    <n v="2"/>
    <s v="Medical"/>
    <n v="1"/>
    <n v="1509"/>
    <n v="3"/>
    <x v="0"/>
    <n v="43"/>
    <n v="2"/>
    <n v="2"/>
    <x v="2"/>
    <n v="1"/>
    <s v="Married"/>
    <n v="4789"/>
    <n v="23070"/>
    <n v="4"/>
    <s v="Y"/>
    <x v="1"/>
    <n v="25"/>
    <n v="4"/>
    <n v="1"/>
    <n v="80"/>
    <n v="1"/>
    <n v="10"/>
    <n v="3"/>
    <n v="3"/>
    <n v="3"/>
    <n v="2"/>
    <n v="1"/>
    <n v="2"/>
    <x v="1"/>
    <s v="Mid"/>
  </r>
  <r>
    <n v="29"/>
    <x v="1"/>
    <s v="Travel_Frequently"/>
    <n v="410"/>
    <x v="1"/>
    <n v="2"/>
    <n v="1"/>
    <s v="Life Sciences"/>
    <n v="1"/>
    <n v="1513"/>
    <n v="4"/>
    <x v="0"/>
    <n v="97"/>
    <n v="3"/>
    <n v="1"/>
    <x v="2"/>
    <n v="2"/>
    <s v="Married"/>
    <n v="3180"/>
    <n v="4668"/>
    <n v="0"/>
    <s v="Y"/>
    <x v="1"/>
    <n v="13"/>
    <n v="3"/>
    <n v="3"/>
    <n v="80"/>
    <n v="3"/>
    <n v="4"/>
    <n v="3"/>
    <n v="3"/>
    <n v="3"/>
    <n v="2"/>
    <n v="0"/>
    <n v="2"/>
    <x v="2"/>
    <s v="Mid"/>
  </r>
  <r>
    <n v="28"/>
    <x v="1"/>
    <s v="Travel_Rarely"/>
    <n v="1083"/>
    <x v="1"/>
    <n v="29"/>
    <n v="1"/>
    <s v="Life Sciences"/>
    <n v="1"/>
    <n v="1514"/>
    <n v="3"/>
    <x v="1"/>
    <n v="96"/>
    <n v="1"/>
    <n v="2"/>
    <x v="3"/>
    <n v="2"/>
    <s v="Married"/>
    <n v="6549"/>
    <n v="3173"/>
    <n v="1"/>
    <s v="Y"/>
    <x v="1"/>
    <n v="14"/>
    <n v="3"/>
    <n v="2"/>
    <n v="80"/>
    <n v="2"/>
    <n v="8"/>
    <n v="2"/>
    <n v="2"/>
    <n v="8"/>
    <n v="6"/>
    <n v="1"/>
    <n v="7"/>
    <x v="2"/>
    <s v="Mid"/>
  </r>
  <r>
    <n v="33"/>
    <x v="1"/>
    <s v="Travel_Rarely"/>
    <n v="516"/>
    <x v="1"/>
    <n v="8"/>
    <n v="5"/>
    <s v="Life Sciences"/>
    <n v="1"/>
    <n v="1515"/>
    <n v="4"/>
    <x v="1"/>
    <n v="69"/>
    <n v="3"/>
    <n v="2"/>
    <x v="4"/>
    <n v="3"/>
    <s v="Single"/>
    <n v="6388"/>
    <n v="22049"/>
    <n v="2"/>
    <s v="Y"/>
    <x v="0"/>
    <n v="17"/>
    <n v="3"/>
    <n v="1"/>
    <n v="80"/>
    <n v="0"/>
    <n v="14"/>
    <n v="6"/>
    <n v="3"/>
    <n v="0"/>
    <n v="0"/>
    <n v="0"/>
    <n v="0"/>
    <x v="2"/>
    <s v="Mid"/>
  </r>
  <r>
    <n v="32"/>
    <x v="1"/>
    <s v="Travel_Rarely"/>
    <n v="495"/>
    <x v="1"/>
    <n v="10"/>
    <n v="3"/>
    <s v="Medical"/>
    <n v="1"/>
    <n v="1516"/>
    <n v="3"/>
    <x v="1"/>
    <n v="64"/>
    <n v="3"/>
    <n v="3"/>
    <x v="5"/>
    <n v="4"/>
    <s v="Single"/>
    <n v="11244"/>
    <n v="21072"/>
    <n v="2"/>
    <s v="Y"/>
    <x v="1"/>
    <n v="25"/>
    <n v="4"/>
    <n v="2"/>
    <n v="80"/>
    <n v="0"/>
    <n v="10"/>
    <n v="5"/>
    <n v="4"/>
    <n v="5"/>
    <n v="2"/>
    <n v="0"/>
    <n v="0"/>
    <x v="2"/>
    <s v="High"/>
  </r>
  <r>
    <n v="54"/>
    <x v="1"/>
    <s v="Travel_Frequently"/>
    <n v="1050"/>
    <x v="1"/>
    <n v="11"/>
    <n v="4"/>
    <s v="Medical"/>
    <n v="1"/>
    <n v="1520"/>
    <n v="2"/>
    <x v="0"/>
    <n v="87"/>
    <n v="3"/>
    <n v="4"/>
    <x v="5"/>
    <n v="4"/>
    <s v="Divorced"/>
    <n v="16032"/>
    <n v="24456"/>
    <n v="3"/>
    <s v="Y"/>
    <x v="1"/>
    <n v="20"/>
    <n v="4"/>
    <n v="1"/>
    <n v="80"/>
    <n v="1"/>
    <n v="26"/>
    <n v="2"/>
    <n v="3"/>
    <n v="14"/>
    <n v="9"/>
    <n v="1"/>
    <n v="12"/>
    <x v="1"/>
    <s v="Top"/>
  </r>
  <r>
    <n v="29"/>
    <x v="0"/>
    <s v="Travel_Rarely"/>
    <n v="224"/>
    <x v="1"/>
    <n v="1"/>
    <n v="4"/>
    <s v="Technical Degree"/>
    <n v="1"/>
    <n v="1522"/>
    <n v="1"/>
    <x v="1"/>
    <n v="100"/>
    <n v="2"/>
    <n v="1"/>
    <x v="1"/>
    <n v="1"/>
    <s v="Single"/>
    <n v="2362"/>
    <n v="7568"/>
    <n v="6"/>
    <s v="Y"/>
    <x v="1"/>
    <n v="13"/>
    <n v="3"/>
    <n v="3"/>
    <n v="80"/>
    <n v="0"/>
    <n v="11"/>
    <n v="2"/>
    <n v="1"/>
    <n v="9"/>
    <n v="7"/>
    <n v="0"/>
    <n v="7"/>
    <x v="2"/>
    <s v="Low"/>
  </r>
  <r>
    <n v="44"/>
    <x v="1"/>
    <s v="Travel_Rarely"/>
    <n v="136"/>
    <x v="1"/>
    <n v="28"/>
    <n v="3"/>
    <s v="Life Sciences"/>
    <n v="1"/>
    <n v="1523"/>
    <n v="4"/>
    <x v="1"/>
    <n v="32"/>
    <n v="3"/>
    <n v="4"/>
    <x v="7"/>
    <n v="1"/>
    <s v="Married"/>
    <n v="16328"/>
    <n v="22074"/>
    <n v="3"/>
    <s v="Y"/>
    <x v="1"/>
    <n v="13"/>
    <n v="3"/>
    <n v="3"/>
    <n v="80"/>
    <n v="1"/>
    <n v="24"/>
    <n v="1"/>
    <n v="4"/>
    <n v="20"/>
    <n v="6"/>
    <n v="14"/>
    <n v="17"/>
    <x v="0"/>
    <s v="Top"/>
  </r>
  <r>
    <n v="39"/>
    <x v="1"/>
    <s v="Travel_Rarely"/>
    <n v="1089"/>
    <x v="1"/>
    <n v="6"/>
    <n v="3"/>
    <s v="Life Sciences"/>
    <n v="1"/>
    <n v="1525"/>
    <n v="2"/>
    <x v="0"/>
    <n v="32"/>
    <n v="3"/>
    <n v="3"/>
    <x v="3"/>
    <n v="2"/>
    <s v="Single"/>
    <n v="8376"/>
    <n v="9150"/>
    <n v="4"/>
    <s v="Y"/>
    <x v="1"/>
    <n v="18"/>
    <n v="3"/>
    <n v="4"/>
    <n v="80"/>
    <n v="0"/>
    <n v="9"/>
    <n v="3"/>
    <n v="3"/>
    <n v="2"/>
    <n v="0"/>
    <n v="2"/>
    <n v="2"/>
    <x v="0"/>
    <s v="High"/>
  </r>
  <r>
    <n v="46"/>
    <x v="1"/>
    <s v="Travel_Rarely"/>
    <n v="228"/>
    <x v="0"/>
    <n v="3"/>
    <n v="3"/>
    <s v="Life Sciences"/>
    <n v="1"/>
    <n v="1527"/>
    <n v="3"/>
    <x v="0"/>
    <n v="51"/>
    <n v="3"/>
    <n v="4"/>
    <x v="5"/>
    <n v="2"/>
    <s v="Married"/>
    <n v="16606"/>
    <n v="11380"/>
    <n v="8"/>
    <s v="Y"/>
    <x v="1"/>
    <n v="12"/>
    <n v="3"/>
    <n v="4"/>
    <n v="80"/>
    <n v="1"/>
    <n v="23"/>
    <n v="2"/>
    <n v="4"/>
    <n v="13"/>
    <n v="12"/>
    <n v="5"/>
    <n v="1"/>
    <x v="1"/>
    <s v="Top"/>
  </r>
  <r>
    <n v="35"/>
    <x v="1"/>
    <s v="Travel_Rarely"/>
    <n v="1029"/>
    <x v="1"/>
    <n v="16"/>
    <n v="3"/>
    <s v="Life Sciences"/>
    <n v="1"/>
    <n v="1529"/>
    <n v="4"/>
    <x v="0"/>
    <n v="91"/>
    <n v="2"/>
    <n v="3"/>
    <x v="4"/>
    <n v="2"/>
    <s v="Single"/>
    <n v="8606"/>
    <n v="21195"/>
    <n v="1"/>
    <s v="Y"/>
    <x v="1"/>
    <n v="19"/>
    <n v="3"/>
    <n v="4"/>
    <n v="80"/>
    <n v="0"/>
    <n v="11"/>
    <n v="3"/>
    <n v="1"/>
    <n v="11"/>
    <n v="8"/>
    <n v="3"/>
    <n v="3"/>
    <x v="2"/>
    <s v="High"/>
  </r>
  <r>
    <n v="23"/>
    <x v="1"/>
    <s v="Travel_Rarely"/>
    <n v="507"/>
    <x v="1"/>
    <n v="20"/>
    <n v="1"/>
    <s v="Life Sciences"/>
    <n v="1"/>
    <n v="1533"/>
    <n v="1"/>
    <x v="1"/>
    <n v="97"/>
    <n v="3"/>
    <n v="2"/>
    <x v="2"/>
    <n v="3"/>
    <s v="Single"/>
    <n v="2272"/>
    <n v="24812"/>
    <n v="0"/>
    <s v="Y"/>
    <x v="1"/>
    <n v="14"/>
    <n v="3"/>
    <n v="2"/>
    <n v="80"/>
    <n v="0"/>
    <n v="5"/>
    <n v="2"/>
    <n v="3"/>
    <n v="4"/>
    <n v="3"/>
    <n v="1"/>
    <n v="2"/>
    <x v="3"/>
    <s v="Low"/>
  </r>
  <r>
    <n v="40"/>
    <x v="0"/>
    <s v="Travel_Rarely"/>
    <n v="676"/>
    <x v="1"/>
    <n v="9"/>
    <n v="4"/>
    <s v="Life Sciences"/>
    <n v="1"/>
    <n v="1534"/>
    <n v="4"/>
    <x v="1"/>
    <n v="86"/>
    <n v="3"/>
    <n v="1"/>
    <x v="2"/>
    <n v="1"/>
    <s v="Single"/>
    <n v="2018"/>
    <n v="21831"/>
    <n v="3"/>
    <s v="Y"/>
    <x v="1"/>
    <n v="14"/>
    <n v="3"/>
    <n v="2"/>
    <n v="80"/>
    <n v="0"/>
    <n v="15"/>
    <n v="3"/>
    <n v="1"/>
    <n v="5"/>
    <n v="4"/>
    <n v="1"/>
    <n v="0"/>
    <x v="0"/>
    <s v="Low"/>
  </r>
  <r>
    <n v="34"/>
    <x v="1"/>
    <s v="Travel_Rarely"/>
    <n v="971"/>
    <x v="0"/>
    <n v="1"/>
    <n v="3"/>
    <s v="Technical Degree"/>
    <n v="1"/>
    <n v="1535"/>
    <n v="4"/>
    <x v="1"/>
    <n v="64"/>
    <n v="2"/>
    <n v="3"/>
    <x v="0"/>
    <n v="3"/>
    <s v="Married"/>
    <n v="7083"/>
    <n v="12288"/>
    <n v="1"/>
    <s v="Y"/>
    <x v="0"/>
    <n v="14"/>
    <n v="3"/>
    <n v="4"/>
    <n v="80"/>
    <n v="0"/>
    <n v="10"/>
    <n v="3"/>
    <n v="3"/>
    <n v="10"/>
    <n v="9"/>
    <n v="8"/>
    <n v="6"/>
    <x v="2"/>
    <s v="High"/>
  </r>
  <r>
    <n v="31"/>
    <x v="0"/>
    <s v="Travel_Frequently"/>
    <n v="561"/>
    <x v="1"/>
    <n v="3"/>
    <n v="3"/>
    <s v="Life Sciences"/>
    <n v="1"/>
    <n v="1537"/>
    <n v="4"/>
    <x v="0"/>
    <n v="33"/>
    <n v="3"/>
    <n v="1"/>
    <x v="1"/>
    <n v="3"/>
    <s v="Single"/>
    <n v="4084"/>
    <n v="4156"/>
    <n v="1"/>
    <s v="Y"/>
    <x v="1"/>
    <n v="12"/>
    <n v="3"/>
    <n v="1"/>
    <n v="80"/>
    <n v="0"/>
    <n v="7"/>
    <n v="2"/>
    <n v="1"/>
    <n v="7"/>
    <n v="2"/>
    <n v="7"/>
    <n v="7"/>
    <x v="2"/>
    <s v="Mid"/>
  </r>
  <r>
    <n v="50"/>
    <x v="1"/>
    <s v="Travel_Frequently"/>
    <n v="333"/>
    <x v="1"/>
    <n v="22"/>
    <n v="5"/>
    <s v="Medical"/>
    <n v="1"/>
    <n v="1539"/>
    <n v="3"/>
    <x v="1"/>
    <n v="88"/>
    <n v="1"/>
    <n v="4"/>
    <x v="7"/>
    <n v="4"/>
    <s v="Single"/>
    <n v="14411"/>
    <n v="24450"/>
    <n v="1"/>
    <s v="Y"/>
    <x v="0"/>
    <n v="13"/>
    <n v="3"/>
    <n v="4"/>
    <n v="80"/>
    <n v="0"/>
    <n v="32"/>
    <n v="2"/>
    <n v="3"/>
    <n v="32"/>
    <n v="6"/>
    <n v="13"/>
    <n v="9"/>
    <x v="1"/>
    <s v="Top"/>
  </r>
  <r>
    <n v="34"/>
    <x v="1"/>
    <s v="Travel_Rarely"/>
    <n v="1440"/>
    <x v="0"/>
    <n v="7"/>
    <n v="2"/>
    <s v="Technical Degree"/>
    <n v="1"/>
    <n v="1541"/>
    <n v="2"/>
    <x v="1"/>
    <n v="55"/>
    <n v="3"/>
    <n v="1"/>
    <x v="6"/>
    <n v="3"/>
    <s v="Married"/>
    <n v="2308"/>
    <n v="4944"/>
    <n v="0"/>
    <s v="Y"/>
    <x v="0"/>
    <n v="25"/>
    <n v="4"/>
    <n v="2"/>
    <n v="80"/>
    <n v="1"/>
    <n v="12"/>
    <n v="4"/>
    <n v="3"/>
    <n v="11"/>
    <n v="10"/>
    <n v="5"/>
    <n v="7"/>
    <x v="2"/>
    <s v="Low"/>
  </r>
  <r>
    <n v="42"/>
    <x v="1"/>
    <s v="Travel_Rarely"/>
    <n v="1210"/>
    <x v="1"/>
    <n v="2"/>
    <n v="3"/>
    <s v="Medical"/>
    <n v="1"/>
    <n v="1542"/>
    <n v="3"/>
    <x v="1"/>
    <n v="68"/>
    <n v="2"/>
    <n v="1"/>
    <x v="2"/>
    <n v="2"/>
    <s v="Married"/>
    <n v="4841"/>
    <n v="24052"/>
    <n v="4"/>
    <s v="Y"/>
    <x v="1"/>
    <n v="14"/>
    <n v="3"/>
    <n v="2"/>
    <n v="80"/>
    <n v="1"/>
    <n v="4"/>
    <n v="3"/>
    <n v="3"/>
    <n v="1"/>
    <n v="0"/>
    <n v="0"/>
    <n v="0"/>
    <x v="0"/>
    <s v="Mid"/>
  </r>
  <r>
    <n v="37"/>
    <x v="1"/>
    <s v="Travel_Rarely"/>
    <n v="674"/>
    <x v="1"/>
    <n v="13"/>
    <n v="3"/>
    <s v="Medical"/>
    <n v="1"/>
    <n v="1543"/>
    <n v="1"/>
    <x v="1"/>
    <n v="47"/>
    <n v="3"/>
    <n v="2"/>
    <x v="1"/>
    <n v="4"/>
    <s v="Married"/>
    <n v="4285"/>
    <n v="3031"/>
    <n v="1"/>
    <s v="Y"/>
    <x v="1"/>
    <n v="17"/>
    <n v="3"/>
    <n v="1"/>
    <n v="80"/>
    <n v="0"/>
    <n v="10"/>
    <n v="2"/>
    <n v="3"/>
    <n v="10"/>
    <n v="8"/>
    <n v="3"/>
    <n v="7"/>
    <x v="0"/>
    <s v="Mid"/>
  </r>
  <r>
    <n v="29"/>
    <x v="1"/>
    <s v="Travel_Rarely"/>
    <n v="441"/>
    <x v="1"/>
    <n v="8"/>
    <n v="1"/>
    <s v="Other"/>
    <n v="1"/>
    <n v="1544"/>
    <n v="3"/>
    <x v="0"/>
    <n v="39"/>
    <n v="1"/>
    <n v="2"/>
    <x v="4"/>
    <n v="1"/>
    <s v="Married"/>
    <n v="9715"/>
    <n v="7288"/>
    <n v="3"/>
    <s v="Y"/>
    <x v="1"/>
    <n v="13"/>
    <n v="3"/>
    <n v="3"/>
    <n v="80"/>
    <n v="1"/>
    <n v="9"/>
    <n v="3"/>
    <n v="3"/>
    <n v="7"/>
    <n v="7"/>
    <n v="0"/>
    <n v="7"/>
    <x v="2"/>
    <s v="High"/>
  </r>
  <r>
    <n v="33"/>
    <x v="1"/>
    <s v="Travel_Rarely"/>
    <n v="575"/>
    <x v="1"/>
    <n v="25"/>
    <n v="3"/>
    <s v="Life Sciences"/>
    <n v="1"/>
    <n v="1545"/>
    <n v="4"/>
    <x v="1"/>
    <n v="44"/>
    <n v="2"/>
    <n v="2"/>
    <x v="3"/>
    <n v="2"/>
    <s v="Single"/>
    <n v="4320"/>
    <n v="24152"/>
    <n v="1"/>
    <s v="Y"/>
    <x v="1"/>
    <n v="13"/>
    <n v="3"/>
    <n v="4"/>
    <n v="80"/>
    <n v="0"/>
    <n v="5"/>
    <n v="2"/>
    <n v="3"/>
    <n v="5"/>
    <n v="3"/>
    <n v="0"/>
    <n v="2"/>
    <x v="2"/>
    <s v="Mid"/>
  </r>
  <r>
    <n v="45"/>
    <x v="1"/>
    <s v="Travel_Rarely"/>
    <n v="950"/>
    <x v="1"/>
    <n v="28"/>
    <n v="3"/>
    <s v="Technical Degree"/>
    <n v="1"/>
    <n v="1546"/>
    <n v="4"/>
    <x v="1"/>
    <n v="97"/>
    <n v="3"/>
    <n v="1"/>
    <x v="1"/>
    <n v="4"/>
    <s v="Married"/>
    <n v="2132"/>
    <n v="4585"/>
    <n v="4"/>
    <s v="Y"/>
    <x v="1"/>
    <n v="20"/>
    <n v="4"/>
    <n v="4"/>
    <n v="80"/>
    <n v="1"/>
    <n v="8"/>
    <n v="3"/>
    <n v="3"/>
    <n v="5"/>
    <n v="4"/>
    <n v="0"/>
    <n v="3"/>
    <x v="0"/>
    <s v="Low"/>
  </r>
  <r>
    <n v="42"/>
    <x v="1"/>
    <s v="Travel_Frequently"/>
    <n v="288"/>
    <x v="1"/>
    <n v="2"/>
    <n v="3"/>
    <s v="Life Sciences"/>
    <n v="1"/>
    <n v="1547"/>
    <n v="4"/>
    <x v="1"/>
    <n v="40"/>
    <n v="3"/>
    <n v="3"/>
    <x v="4"/>
    <n v="4"/>
    <s v="Married"/>
    <n v="10124"/>
    <n v="18611"/>
    <n v="2"/>
    <s v="Y"/>
    <x v="0"/>
    <n v="14"/>
    <n v="3"/>
    <n v="3"/>
    <n v="80"/>
    <n v="1"/>
    <n v="24"/>
    <n v="3"/>
    <n v="1"/>
    <n v="20"/>
    <n v="8"/>
    <n v="13"/>
    <n v="9"/>
    <x v="0"/>
    <s v="High"/>
  </r>
  <r>
    <n v="40"/>
    <x v="1"/>
    <s v="Travel_Rarely"/>
    <n v="1342"/>
    <x v="0"/>
    <n v="9"/>
    <n v="2"/>
    <s v="Medical"/>
    <n v="1"/>
    <n v="1548"/>
    <n v="1"/>
    <x v="1"/>
    <n v="47"/>
    <n v="3"/>
    <n v="2"/>
    <x v="0"/>
    <n v="1"/>
    <s v="Married"/>
    <n v="5473"/>
    <n v="19345"/>
    <n v="0"/>
    <s v="Y"/>
    <x v="1"/>
    <n v="12"/>
    <n v="3"/>
    <n v="4"/>
    <n v="80"/>
    <n v="0"/>
    <n v="9"/>
    <n v="5"/>
    <n v="4"/>
    <n v="8"/>
    <n v="4"/>
    <n v="7"/>
    <n v="1"/>
    <x v="0"/>
    <s v="Mid"/>
  </r>
  <r>
    <n v="33"/>
    <x v="1"/>
    <s v="Travel_Rarely"/>
    <n v="589"/>
    <x v="1"/>
    <n v="28"/>
    <n v="4"/>
    <s v="Life Sciences"/>
    <n v="1"/>
    <n v="1549"/>
    <n v="2"/>
    <x v="1"/>
    <n v="79"/>
    <n v="3"/>
    <n v="2"/>
    <x v="2"/>
    <n v="3"/>
    <s v="Married"/>
    <n v="5207"/>
    <n v="22949"/>
    <n v="1"/>
    <s v="Y"/>
    <x v="0"/>
    <n v="12"/>
    <n v="3"/>
    <n v="2"/>
    <n v="80"/>
    <n v="1"/>
    <n v="15"/>
    <n v="3"/>
    <n v="3"/>
    <n v="15"/>
    <n v="14"/>
    <n v="5"/>
    <n v="7"/>
    <x v="2"/>
    <s v="Mid"/>
  </r>
  <r>
    <n v="40"/>
    <x v="1"/>
    <s v="Travel_Rarely"/>
    <n v="898"/>
    <x v="2"/>
    <n v="6"/>
    <n v="2"/>
    <s v="Medical"/>
    <n v="1"/>
    <n v="1550"/>
    <n v="3"/>
    <x v="1"/>
    <n v="38"/>
    <n v="3"/>
    <n v="4"/>
    <x v="5"/>
    <n v="4"/>
    <s v="Single"/>
    <n v="16437"/>
    <n v="17381"/>
    <n v="1"/>
    <s v="Y"/>
    <x v="0"/>
    <n v="21"/>
    <n v="4"/>
    <n v="4"/>
    <n v="80"/>
    <n v="0"/>
    <n v="21"/>
    <n v="2"/>
    <n v="3"/>
    <n v="21"/>
    <n v="7"/>
    <n v="7"/>
    <n v="7"/>
    <x v="0"/>
    <s v="Top"/>
  </r>
  <r>
    <n v="24"/>
    <x v="1"/>
    <s v="Travel_Rarely"/>
    <n v="350"/>
    <x v="1"/>
    <n v="21"/>
    <n v="2"/>
    <s v="Technical Degree"/>
    <n v="1"/>
    <n v="1551"/>
    <n v="3"/>
    <x v="1"/>
    <n v="57"/>
    <n v="2"/>
    <n v="1"/>
    <x v="2"/>
    <n v="1"/>
    <s v="Divorced"/>
    <n v="2296"/>
    <n v="10036"/>
    <n v="0"/>
    <s v="Y"/>
    <x v="1"/>
    <n v="14"/>
    <n v="3"/>
    <n v="2"/>
    <n v="80"/>
    <n v="3"/>
    <n v="2"/>
    <n v="3"/>
    <n v="3"/>
    <n v="1"/>
    <n v="1"/>
    <n v="0"/>
    <n v="0"/>
    <x v="3"/>
    <s v="Low"/>
  </r>
  <r>
    <n v="40"/>
    <x v="1"/>
    <s v="Non-Travel"/>
    <n v="1142"/>
    <x v="1"/>
    <n v="8"/>
    <n v="2"/>
    <s v="Life Sciences"/>
    <n v="1"/>
    <n v="1552"/>
    <n v="4"/>
    <x v="1"/>
    <n v="72"/>
    <n v="3"/>
    <n v="2"/>
    <x v="4"/>
    <n v="4"/>
    <s v="Divorced"/>
    <n v="4069"/>
    <n v="8841"/>
    <n v="3"/>
    <s v="Y"/>
    <x v="0"/>
    <n v="18"/>
    <n v="3"/>
    <n v="3"/>
    <n v="80"/>
    <n v="0"/>
    <n v="8"/>
    <n v="2"/>
    <n v="3"/>
    <n v="2"/>
    <n v="2"/>
    <n v="2"/>
    <n v="2"/>
    <x v="0"/>
    <s v="Mid"/>
  </r>
  <r>
    <n v="45"/>
    <x v="1"/>
    <s v="Travel_Rarely"/>
    <n v="538"/>
    <x v="1"/>
    <n v="1"/>
    <n v="4"/>
    <s v="Technical Degree"/>
    <n v="1"/>
    <n v="1553"/>
    <n v="1"/>
    <x v="1"/>
    <n v="66"/>
    <n v="3"/>
    <n v="3"/>
    <x v="4"/>
    <n v="2"/>
    <s v="Divorced"/>
    <n v="7441"/>
    <n v="20933"/>
    <n v="1"/>
    <s v="Y"/>
    <x v="1"/>
    <n v="12"/>
    <n v="3"/>
    <n v="1"/>
    <n v="80"/>
    <n v="3"/>
    <n v="10"/>
    <n v="4"/>
    <n v="3"/>
    <n v="10"/>
    <n v="8"/>
    <n v="7"/>
    <n v="7"/>
    <x v="0"/>
    <s v="High"/>
  </r>
  <r>
    <n v="35"/>
    <x v="1"/>
    <s v="Travel_Rarely"/>
    <n v="1402"/>
    <x v="0"/>
    <n v="28"/>
    <n v="4"/>
    <s v="Life Sciences"/>
    <n v="1"/>
    <n v="1554"/>
    <n v="2"/>
    <x v="0"/>
    <n v="98"/>
    <n v="2"/>
    <n v="1"/>
    <x v="6"/>
    <n v="3"/>
    <s v="Married"/>
    <n v="2430"/>
    <n v="26204"/>
    <n v="0"/>
    <s v="Y"/>
    <x v="1"/>
    <n v="23"/>
    <n v="4"/>
    <n v="1"/>
    <n v="80"/>
    <n v="2"/>
    <n v="6"/>
    <n v="5"/>
    <n v="3"/>
    <n v="5"/>
    <n v="3"/>
    <n v="4"/>
    <n v="2"/>
    <x v="2"/>
    <s v="Low"/>
  </r>
  <r>
    <n v="32"/>
    <x v="1"/>
    <s v="Travel_Rarely"/>
    <n v="824"/>
    <x v="1"/>
    <n v="5"/>
    <n v="2"/>
    <s v="Life Sciences"/>
    <n v="1"/>
    <n v="1555"/>
    <n v="4"/>
    <x v="0"/>
    <n v="67"/>
    <n v="2"/>
    <n v="2"/>
    <x v="1"/>
    <n v="2"/>
    <s v="Married"/>
    <n v="5878"/>
    <n v="15624"/>
    <n v="3"/>
    <s v="Y"/>
    <x v="1"/>
    <n v="12"/>
    <n v="3"/>
    <n v="1"/>
    <n v="80"/>
    <n v="1"/>
    <n v="12"/>
    <n v="2"/>
    <n v="3"/>
    <n v="7"/>
    <n v="1"/>
    <n v="2"/>
    <n v="5"/>
    <x v="2"/>
    <s v="Mid"/>
  </r>
  <r>
    <n v="36"/>
    <x v="1"/>
    <s v="Travel_Rarely"/>
    <n v="1157"/>
    <x v="0"/>
    <n v="2"/>
    <n v="4"/>
    <s v="Life Sciences"/>
    <n v="1"/>
    <n v="1556"/>
    <n v="3"/>
    <x v="1"/>
    <n v="70"/>
    <n v="3"/>
    <n v="1"/>
    <x v="6"/>
    <n v="4"/>
    <s v="Single"/>
    <n v="2644"/>
    <n v="17001"/>
    <n v="3"/>
    <s v="Y"/>
    <x v="0"/>
    <n v="21"/>
    <n v="4"/>
    <n v="4"/>
    <n v="80"/>
    <n v="0"/>
    <n v="7"/>
    <n v="3"/>
    <n v="2"/>
    <n v="3"/>
    <n v="2"/>
    <n v="1"/>
    <n v="2"/>
    <x v="0"/>
    <s v="Low"/>
  </r>
  <r>
    <n v="48"/>
    <x v="1"/>
    <s v="Travel_Rarely"/>
    <n v="492"/>
    <x v="0"/>
    <n v="16"/>
    <n v="4"/>
    <s v="Life Sciences"/>
    <n v="1"/>
    <n v="1557"/>
    <n v="3"/>
    <x v="0"/>
    <n v="96"/>
    <n v="3"/>
    <n v="2"/>
    <x v="0"/>
    <n v="3"/>
    <s v="Divorced"/>
    <n v="6439"/>
    <n v="13693"/>
    <n v="8"/>
    <s v="Y"/>
    <x v="1"/>
    <n v="14"/>
    <n v="3"/>
    <n v="3"/>
    <n v="80"/>
    <n v="1"/>
    <n v="18"/>
    <n v="2"/>
    <n v="3"/>
    <n v="8"/>
    <n v="7"/>
    <n v="7"/>
    <n v="7"/>
    <x v="1"/>
    <s v="Mid"/>
  </r>
  <r>
    <n v="29"/>
    <x v="1"/>
    <s v="Travel_Rarely"/>
    <n v="598"/>
    <x v="1"/>
    <n v="9"/>
    <n v="3"/>
    <s v="Life Sciences"/>
    <n v="1"/>
    <n v="1558"/>
    <n v="3"/>
    <x v="1"/>
    <n v="91"/>
    <n v="4"/>
    <n v="1"/>
    <x v="1"/>
    <n v="3"/>
    <s v="Married"/>
    <n v="2451"/>
    <n v="22376"/>
    <n v="6"/>
    <s v="Y"/>
    <x v="1"/>
    <n v="18"/>
    <n v="3"/>
    <n v="1"/>
    <n v="80"/>
    <n v="2"/>
    <n v="5"/>
    <n v="2"/>
    <n v="2"/>
    <n v="1"/>
    <n v="0"/>
    <n v="0"/>
    <n v="0"/>
    <x v="2"/>
    <s v="Low"/>
  </r>
  <r>
    <n v="33"/>
    <x v="1"/>
    <s v="Travel_Rarely"/>
    <n v="1242"/>
    <x v="0"/>
    <n v="8"/>
    <n v="4"/>
    <s v="Life Sciences"/>
    <n v="1"/>
    <n v="1560"/>
    <n v="1"/>
    <x v="1"/>
    <n v="46"/>
    <n v="3"/>
    <n v="2"/>
    <x v="0"/>
    <n v="1"/>
    <s v="Married"/>
    <n v="6392"/>
    <n v="10589"/>
    <n v="2"/>
    <s v="Y"/>
    <x v="1"/>
    <n v="13"/>
    <n v="3"/>
    <n v="4"/>
    <n v="80"/>
    <n v="1"/>
    <n v="8"/>
    <n v="6"/>
    <n v="1"/>
    <n v="2"/>
    <n v="2"/>
    <n v="2"/>
    <n v="2"/>
    <x v="2"/>
    <s v="Mid"/>
  </r>
  <r>
    <n v="30"/>
    <x v="0"/>
    <s v="Travel_Rarely"/>
    <n v="740"/>
    <x v="0"/>
    <n v="1"/>
    <n v="3"/>
    <s v="Life Sciences"/>
    <n v="1"/>
    <n v="1562"/>
    <n v="2"/>
    <x v="1"/>
    <n v="64"/>
    <n v="2"/>
    <n v="2"/>
    <x v="0"/>
    <n v="1"/>
    <s v="Married"/>
    <n v="9714"/>
    <n v="5323"/>
    <n v="1"/>
    <s v="Y"/>
    <x v="1"/>
    <n v="11"/>
    <n v="3"/>
    <n v="4"/>
    <n v="80"/>
    <n v="1"/>
    <n v="10"/>
    <n v="4"/>
    <n v="3"/>
    <n v="10"/>
    <n v="8"/>
    <n v="6"/>
    <n v="7"/>
    <x v="2"/>
    <s v="High"/>
  </r>
  <r>
    <n v="38"/>
    <x v="1"/>
    <s v="Travel_Frequently"/>
    <n v="888"/>
    <x v="2"/>
    <n v="10"/>
    <n v="4"/>
    <s v="Human Resources"/>
    <n v="1"/>
    <n v="1563"/>
    <n v="3"/>
    <x v="1"/>
    <n v="71"/>
    <n v="3"/>
    <n v="2"/>
    <x v="8"/>
    <n v="3"/>
    <s v="Married"/>
    <n v="6077"/>
    <n v="14814"/>
    <n v="3"/>
    <s v="Y"/>
    <x v="1"/>
    <n v="11"/>
    <n v="3"/>
    <n v="3"/>
    <n v="80"/>
    <n v="0"/>
    <n v="10"/>
    <n v="2"/>
    <n v="3"/>
    <n v="6"/>
    <n v="3"/>
    <n v="1"/>
    <n v="2"/>
    <x v="0"/>
    <s v="Mid"/>
  </r>
  <r>
    <n v="35"/>
    <x v="1"/>
    <s v="Travel_Rarely"/>
    <n v="992"/>
    <x v="1"/>
    <n v="1"/>
    <n v="3"/>
    <s v="Medical"/>
    <n v="1"/>
    <n v="1564"/>
    <n v="4"/>
    <x v="1"/>
    <n v="68"/>
    <n v="2"/>
    <n v="1"/>
    <x v="2"/>
    <n v="1"/>
    <s v="Single"/>
    <n v="2450"/>
    <n v="21731"/>
    <n v="1"/>
    <s v="Y"/>
    <x v="1"/>
    <n v="19"/>
    <n v="3"/>
    <n v="2"/>
    <n v="80"/>
    <n v="0"/>
    <n v="3"/>
    <n v="3"/>
    <n v="3"/>
    <n v="3"/>
    <n v="0"/>
    <n v="1"/>
    <n v="2"/>
    <x v="2"/>
    <s v="Low"/>
  </r>
  <r>
    <n v="30"/>
    <x v="1"/>
    <s v="Travel_Rarely"/>
    <n v="1288"/>
    <x v="0"/>
    <n v="29"/>
    <n v="4"/>
    <s v="Technical Degree"/>
    <n v="1"/>
    <n v="1568"/>
    <n v="3"/>
    <x v="1"/>
    <n v="33"/>
    <n v="3"/>
    <n v="3"/>
    <x v="0"/>
    <n v="2"/>
    <s v="Married"/>
    <n v="9250"/>
    <n v="17799"/>
    <n v="3"/>
    <s v="Y"/>
    <x v="1"/>
    <n v="12"/>
    <n v="3"/>
    <n v="2"/>
    <n v="80"/>
    <n v="1"/>
    <n v="9"/>
    <n v="3"/>
    <n v="3"/>
    <n v="4"/>
    <n v="2"/>
    <n v="1"/>
    <n v="3"/>
    <x v="2"/>
    <s v="High"/>
  </r>
  <r>
    <n v="35"/>
    <x v="0"/>
    <s v="Travel_Rarely"/>
    <n v="104"/>
    <x v="1"/>
    <n v="2"/>
    <n v="3"/>
    <s v="Life Sciences"/>
    <n v="1"/>
    <n v="1569"/>
    <n v="1"/>
    <x v="0"/>
    <n v="69"/>
    <n v="3"/>
    <n v="1"/>
    <x v="2"/>
    <n v="1"/>
    <s v="Divorced"/>
    <n v="2074"/>
    <n v="26619"/>
    <n v="1"/>
    <s v="Y"/>
    <x v="0"/>
    <n v="12"/>
    <n v="3"/>
    <n v="4"/>
    <n v="80"/>
    <n v="1"/>
    <n v="1"/>
    <n v="2"/>
    <n v="3"/>
    <n v="1"/>
    <n v="0"/>
    <n v="0"/>
    <n v="0"/>
    <x v="2"/>
    <s v="Low"/>
  </r>
  <r>
    <n v="53"/>
    <x v="0"/>
    <s v="Travel_Rarely"/>
    <n v="607"/>
    <x v="1"/>
    <n v="2"/>
    <n v="5"/>
    <s v="Technical Degree"/>
    <n v="1"/>
    <n v="1572"/>
    <n v="3"/>
    <x v="0"/>
    <n v="78"/>
    <n v="2"/>
    <n v="3"/>
    <x v="3"/>
    <n v="4"/>
    <s v="Married"/>
    <n v="10169"/>
    <n v="14618"/>
    <n v="0"/>
    <s v="Y"/>
    <x v="1"/>
    <n v="16"/>
    <n v="3"/>
    <n v="2"/>
    <n v="80"/>
    <n v="1"/>
    <n v="34"/>
    <n v="4"/>
    <n v="3"/>
    <n v="33"/>
    <n v="7"/>
    <n v="1"/>
    <n v="9"/>
    <x v="1"/>
    <s v="High"/>
  </r>
  <r>
    <n v="38"/>
    <x v="0"/>
    <s v="Travel_Rarely"/>
    <n v="903"/>
    <x v="1"/>
    <n v="2"/>
    <n v="3"/>
    <s v="Medical"/>
    <n v="1"/>
    <n v="1573"/>
    <n v="3"/>
    <x v="1"/>
    <n v="81"/>
    <n v="3"/>
    <n v="2"/>
    <x v="3"/>
    <n v="2"/>
    <s v="Married"/>
    <n v="4855"/>
    <n v="7653"/>
    <n v="4"/>
    <s v="Y"/>
    <x v="1"/>
    <n v="11"/>
    <n v="3"/>
    <n v="1"/>
    <n v="80"/>
    <n v="2"/>
    <n v="7"/>
    <n v="2"/>
    <n v="3"/>
    <n v="5"/>
    <n v="2"/>
    <n v="1"/>
    <n v="4"/>
    <x v="0"/>
    <s v="Mid"/>
  </r>
  <r>
    <n v="32"/>
    <x v="1"/>
    <s v="Non-Travel"/>
    <n v="1200"/>
    <x v="1"/>
    <n v="1"/>
    <n v="4"/>
    <s v="Technical Degree"/>
    <n v="1"/>
    <n v="1574"/>
    <n v="4"/>
    <x v="1"/>
    <n v="62"/>
    <n v="3"/>
    <n v="2"/>
    <x v="1"/>
    <n v="1"/>
    <s v="Married"/>
    <n v="4087"/>
    <n v="25174"/>
    <n v="4"/>
    <s v="Y"/>
    <x v="1"/>
    <n v="14"/>
    <n v="3"/>
    <n v="2"/>
    <n v="80"/>
    <n v="1"/>
    <n v="9"/>
    <n v="3"/>
    <n v="2"/>
    <n v="6"/>
    <n v="5"/>
    <n v="1"/>
    <n v="2"/>
    <x v="2"/>
    <s v="Mid"/>
  </r>
  <r>
    <n v="48"/>
    <x v="1"/>
    <s v="Travel_Rarely"/>
    <n v="1108"/>
    <x v="1"/>
    <n v="15"/>
    <n v="4"/>
    <s v="Other"/>
    <n v="1"/>
    <n v="1576"/>
    <n v="3"/>
    <x v="0"/>
    <n v="65"/>
    <n v="3"/>
    <n v="1"/>
    <x v="1"/>
    <n v="1"/>
    <s v="Married"/>
    <n v="2367"/>
    <n v="16530"/>
    <n v="8"/>
    <s v="Y"/>
    <x v="1"/>
    <n v="12"/>
    <n v="3"/>
    <n v="4"/>
    <n v="80"/>
    <n v="1"/>
    <n v="10"/>
    <n v="3"/>
    <n v="2"/>
    <n v="8"/>
    <n v="2"/>
    <n v="7"/>
    <n v="6"/>
    <x v="1"/>
    <s v="Low"/>
  </r>
  <r>
    <n v="34"/>
    <x v="1"/>
    <s v="Travel_Rarely"/>
    <n v="479"/>
    <x v="1"/>
    <n v="7"/>
    <n v="4"/>
    <s v="Medical"/>
    <n v="1"/>
    <n v="1577"/>
    <n v="1"/>
    <x v="1"/>
    <n v="35"/>
    <n v="3"/>
    <n v="1"/>
    <x v="1"/>
    <n v="4"/>
    <s v="Single"/>
    <n v="2972"/>
    <n v="22061"/>
    <n v="1"/>
    <s v="Y"/>
    <x v="1"/>
    <n v="13"/>
    <n v="3"/>
    <n v="3"/>
    <n v="80"/>
    <n v="0"/>
    <n v="1"/>
    <n v="4"/>
    <n v="1"/>
    <n v="1"/>
    <n v="0"/>
    <n v="0"/>
    <n v="0"/>
    <x v="2"/>
    <s v="Low"/>
  </r>
  <r>
    <n v="55"/>
    <x v="1"/>
    <s v="Travel_Rarely"/>
    <n v="685"/>
    <x v="0"/>
    <n v="26"/>
    <n v="5"/>
    <s v="Marketing"/>
    <n v="1"/>
    <n v="1578"/>
    <n v="3"/>
    <x v="1"/>
    <n v="60"/>
    <n v="2"/>
    <n v="5"/>
    <x v="5"/>
    <n v="4"/>
    <s v="Married"/>
    <n v="19586"/>
    <n v="23037"/>
    <n v="1"/>
    <s v="Y"/>
    <x v="1"/>
    <n v="21"/>
    <n v="4"/>
    <n v="3"/>
    <n v="80"/>
    <n v="1"/>
    <n v="36"/>
    <n v="3"/>
    <n v="3"/>
    <n v="36"/>
    <n v="6"/>
    <n v="2"/>
    <n v="13"/>
    <x v="1"/>
    <s v="Top"/>
  </r>
  <r>
    <n v="34"/>
    <x v="1"/>
    <s v="Travel_Rarely"/>
    <n v="1351"/>
    <x v="1"/>
    <n v="1"/>
    <n v="4"/>
    <s v="Life Sciences"/>
    <n v="1"/>
    <n v="1580"/>
    <n v="2"/>
    <x v="1"/>
    <n v="45"/>
    <n v="3"/>
    <n v="2"/>
    <x v="1"/>
    <n v="4"/>
    <s v="Married"/>
    <n v="5484"/>
    <n v="13008"/>
    <n v="9"/>
    <s v="Y"/>
    <x v="1"/>
    <n v="17"/>
    <n v="3"/>
    <n v="2"/>
    <n v="80"/>
    <n v="1"/>
    <n v="9"/>
    <n v="3"/>
    <n v="2"/>
    <n v="2"/>
    <n v="2"/>
    <n v="2"/>
    <n v="1"/>
    <x v="2"/>
    <s v="Mid"/>
  </r>
  <r>
    <n v="26"/>
    <x v="1"/>
    <s v="Travel_Rarely"/>
    <n v="474"/>
    <x v="1"/>
    <n v="3"/>
    <n v="3"/>
    <s v="Life Sciences"/>
    <n v="1"/>
    <n v="1581"/>
    <n v="1"/>
    <x v="0"/>
    <n v="89"/>
    <n v="3"/>
    <n v="1"/>
    <x v="1"/>
    <n v="4"/>
    <s v="Married"/>
    <n v="2061"/>
    <n v="11133"/>
    <n v="1"/>
    <s v="Y"/>
    <x v="1"/>
    <n v="21"/>
    <n v="4"/>
    <n v="1"/>
    <n v="80"/>
    <n v="0"/>
    <n v="1"/>
    <n v="5"/>
    <n v="3"/>
    <n v="1"/>
    <n v="0"/>
    <n v="0"/>
    <n v="0"/>
    <x v="2"/>
    <s v="Low"/>
  </r>
  <r>
    <n v="38"/>
    <x v="1"/>
    <s v="Travel_Rarely"/>
    <n v="1245"/>
    <x v="0"/>
    <n v="14"/>
    <n v="3"/>
    <s v="Life Sciences"/>
    <n v="1"/>
    <n v="1582"/>
    <n v="3"/>
    <x v="1"/>
    <n v="80"/>
    <n v="3"/>
    <n v="2"/>
    <x v="0"/>
    <n v="2"/>
    <s v="Married"/>
    <n v="9924"/>
    <n v="12355"/>
    <n v="0"/>
    <s v="Y"/>
    <x v="1"/>
    <n v="11"/>
    <n v="3"/>
    <n v="4"/>
    <n v="80"/>
    <n v="1"/>
    <n v="10"/>
    <n v="3"/>
    <n v="3"/>
    <n v="9"/>
    <n v="8"/>
    <n v="7"/>
    <n v="7"/>
    <x v="0"/>
    <s v="High"/>
  </r>
  <r>
    <n v="38"/>
    <x v="1"/>
    <s v="Travel_Rarely"/>
    <n v="437"/>
    <x v="0"/>
    <n v="16"/>
    <n v="3"/>
    <s v="Life Sciences"/>
    <n v="1"/>
    <n v="1583"/>
    <n v="2"/>
    <x v="0"/>
    <n v="90"/>
    <n v="3"/>
    <n v="2"/>
    <x v="0"/>
    <n v="2"/>
    <s v="Single"/>
    <n v="4198"/>
    <n v="16379"/>
    <n v="2"/>
    <s v="Y"/>
    <x v="1"/>
    <n v="12"/>
    <n v="3"/>
    <n v="2"/>
    <n v="80"/>
    <n v="0"/>
    <n v="8"/>
    <n v="5"/>
    <n v="4"/>
    <n v="3"/>
    <n v="2"/>
    <n v="1"/>
    <n v="2"/>
    <x v="0"/>
    <s v="Mid"/>
  </r>
  <r>
    <n v="36"/>
    <x v="1"/>
    <s v="Travel_Rarely"/>
    <n v="884"/>
    <x v="0"/>
    <n v="1"/>
    <n v="4"/>
    <s v="Life Sciences"/>
    <n v="1"/>
    <n v="1585"/>
    <n v="2"/>
    <x v="0"/>
    <n v="73"/>
    <n v="3"/>
    <n v="2"/>
    <x v="0"/>
    <n v="3"/>
    <s v="Single"/>
    <n v="6815"/>
    <n v="21447"/>
    <n v="6"/>
    <s v="Y"/>
    <x v="1"/>
    <n v="13"/>
    <n v="3"/>
    <n v="1"/>
    <n v="80"/>
    <n v="0"/>
    <n v="15"/>
    <n v="5"/>
    <n v="3"/>
    <n v="1"/>
    <n v="0"/>
    <n v="0"/>
    <n v="0"/>
    <x v="0"/>
    <s v="Mid"/>
  </r>
  <r>
    <n v="29"/>
    <x v="1"/>
    <s v="Travel_Rarely"/>
    <n v="1370"/>
    <x v="1"/>
    <n v="3"/>
    <n v="1"/>
    <s v="Medical"/>
    <n v="1"/>
    <n v="1586"/>
    <n v="2"/>
    <x v="1"/>
    <n v="87"/>
    <n v="3"/>
    <n v="1"/>
    <x v="2"/>
    <n v="1"/>
    <s v="Single"/>
    <n v="4723"/>
    <n v="16213"/>
    <n v="1"/>
    <s v="Y"/>
    <x v="0"/>
    <n v="18"/>
    <n v="3"/>
    <n v="4"/>
    <n v="80"/>
    <n v="0"/>
    <n v="10"/>
    <n v="3"/>
    <n v="3"/>
    <n v="10"/>
    <n v="9"/>
    <n v="1"/>
    <n v="5"/>
    <x v="2"/>
    <s v="Mid"/>
  </r>
  <r>
    <n v="35"/>
    <x v="1"/>
    <s v="Travel_Rarely"/>
    <n v="670"/>
    <x v="1"/>
    <n v="10"/>
    <n v="4"/>
    <s v="Medical"/>
    <n v="1"/>
    <n v="1587"/>
    <n v="1"/>
    <x v="0"/>
    <n v="51"/>
    <n v="3"/>
    <n v="2"/>
    <x v="4"/>
    <n v="3"/>
    <s v="Single"/>
    <n v="6142"/>
    <n v="4223"/>
    <n v="3"/>
    <s v="Y"/>
    <x v="0"/>
    <n v="16"/>
    <n v="3"/>
    <n v="3"/>
    <n v="80"/>
    <n v="0"/>
    <n v="10"/>
    <n v="4"/>
    <n v="3"/>
    <n v="5"/>
    <n v="2"/>
    <n v="0"/>
    <n v="4"/>
    <x v="2"/>
    <s v="Mid"/>
  </r>
  <r>
    <n v="39"/>
    <x v="1"/>
    <s v="Travel_Rarely"/>
    <n v="1462"/>
    <x v="0"/>
    <n v="6"/>
    <n v="3"/>
    <s v="Medical"/>
    <n v="1"/>
    <n v="1588"/>
    <n v="4"/>
    <x v="1"/>
    <n v="38"/>
    <n v="4"/>
    <n v="3"/>
    <x v="0"/>
    <n v="3"/>
    <s v="Married"/>
    <n v="8237"/>
    <n v="4658"/>
    <n v="2"/>
    <s v="Y"/>
    <x v="1"/>
    <n v="11"/>
    <n v="3"/>
    <n v="1"/>
    <n v="80"/>
    <n v="1"/>
    <n v="11"/>
    <n v="3"/>
    <n v="3"/>
    <n v="7"/>
    <n v="6"/>
    <n v="7"/>
    <n v="6"/>
    <x v="0"/>
    <s v="High"/>
  </r>
  <r>
    <n v="29"/>
    <x v="1"/>
    <s v="Travel_Frequently"/>
    <n v="995"/>
    <x v="1"/>
    <n v="2"/>
    <n v="1"/>
    <s v="Life Sciences"/>
    <n v="1"/>
    <n v="1590"/>
    <n v="1"/>
    <x v="1"/>
    <n v="87"/>
    <n v="3"/>
    <n v="2"/>
    <x v="4"/>
    <n v="4"/>
    <s v="Divorced"/>
    <n v="8853"/>
    <n v="24483"/>
    <n v="1"/>
    <s v="Y"/>
    <x v="1"/>
    <n v="19"/>
    <n v="3"/>
    <n v="4"/>
    <n v="80"/>
    <n v="1"/>
    <n v="6"/>
    <n v="0"/>
    <n v="4"/>
    <n v="6"/>
    <n v="4"/>
    <n v="1"/>
    <n v="3"/>
    <x v="2"/>
    <s v="High"/>
  </r>
  <r>
    <n v="50"/>
    <x v="1"/>
    <s v="Travel_Rarely"/>
    <n v="264"/>
    <x v="0"/>
    <n v="9"/>
    <n v="3"/>
    <s v="Marketing"/>
    <n v="1"/>
    <n v="1591"/>
    <n v="3"/>
    <x v="1"/>
    <n v="59"/>
    <n v="3"/>
    <n v="5"/>
    <x v="5"/>
    <n v="3"/>
    <s v="Married"/>
    <n v="19331"/>
    <n v="19519"/>
    <n v="4"/>
    <s v="Y"/>
    <x v="0"/>
    <n v="16"/>
    <n v="3"/>
    <n v="3"/>
    <n v="80"/>
    <n v="1"/>
    <n v="27"/>
    <n v="2"/>
    <n v="3"/>
    <n v="1"/>
    <n v="0"/>
    <n v="0"/>
    <n v="0"/>
    <x v="1"/>
    <s v="Top"/>
  </r>
  <r>
    <n v="23"/>
    <x v="1"/>
    <s v="Travel_Rarely"/>
    <n v="977"/>
    <x v="1"/>
    <n v="10"/>
    <n v="3"/>
    <s v="Technical Degree"/>
    <n v="1"/>
    <n v="1592"/>
    <n v="4"/>
    <x v="1"/>
    <n v="45"/>
    <n v="4"/>
    <n v="1"/>
    <x v="1"/>
    <n v="3"/>
    <s v="Married"/>
    <n v="2073"/>
    <n v="12826"/>
    <n v="2"/>
    <s v="Y"/>
    <x v="1"/>
    <n v="16"/>
    <n v="3"/>
    <n v="4"/>
    <n v="80"/>
    <n v="1"/>
    <n v="4"/>
    <n v="2"/>
    <n v="3"/>
    <n v="2"/>
    <n v="2"/>
    <n v="2"/>
    <n v="2"/>
    <x v="3"/>
    <s v="Low"/>
  </r>
  <r>
    <n v="36"/>
    <x v="1"/>
    <s v="Travel_Frequently"/>
    <n v="1302"/>
    <x v="1"/>
    <n v="6"/>
    <n v="4"/>
    <s v="Life Sciences"/>
    <n v="1"/>
    <n v="1594"/>
    <n v="1"/>
    <x v="1"/>
    <n v="80"/>
    <n v="4"/>
    <n v="2"/>
    <x v="2"/>
    <n v="1"/>
    <s v="Married"/>
    <n v="5562"/>
    <n v="19711"/>
    <n v="3"/>
    <s v="Y"/>
    <x v="0"/>
    <n v="13"/>
    <n v="3"/>
    <n v="4"/>
    <n v="80"/>
    <n v="1"/>
    <n v="9"/>
    <n v="3"/>
    <n v="3"/>
    <n v="3"/>
    <n v="2"/>
    <n v="0"/>
    <n v="2"/>
    <x v="0"/>
    <s v="Mid"/>
  </r>
  <r>
    <n v="42"/>
    <x v="1"/>
    <s v="Travel_Rarely"/>
    <n v="1059"/>
    <x v="1"/>
    <n v="9"/>
    <n v="2"/>
    <s v="Other"/>
    <n v="1"/>
    <n v="1595"/>
    <n v="4"/>
    <x v="1"/>
    <n v="93"/>
    <n v="2"/>
    <n v="5"/>
    <x v="5"/>
    <n v="4"/>
    <s v="Single"/>
    <n v="19613"/>
    <n v="26362"/>
    <n v="8"/>
    <s v="Y"/>
    <x v="1"/>
    <n v="22"/>
    <n v="4"/>
    <n v="4"/>
    <n v="80"/>
    <n v="0"/>
    <n v="24"/>
    <n v="2"/>
    <n v="3"/>
    <n v="1"/>
    <n v="0"/>
    <n v="0"/>
    <n v="1"/>
    <x v="0"/>
    <s v="Top"/>
  </r>
  <r>
    <n v="35"/>
    <x v="1"/>
    <s v="Travel_Rarely"/>
    <n v="750"/>
    <x v="1"/>
    <n v="28"/>
    <n v="3"/>
    <s v="Life Sciences"/>
    <n v="1"/>
    <n v="1596"/>
    <n v="2"/>
    <x v="1"/>
    <n v="46"/>
    <n v="4"/>
    <n v="2"/>
    <x v="2"/>
    <n v="3"/>
    <s v="Married"/>
    <n v="3407"/>
    <n v="25348"/>
    <n v="1"/>
    <s v="Y"/>
    <x v="1"/>
    <n v="17"/>
    <n v="3"/>
    <n v="4"/>
    <n v="80"/>
    <n v="2"/>
    <n v="10"/>
    <n v="3"/>
    <n v="2"/>
    <n v="10"/>
    <n v="9"/>
    <n v="6"/>
    <n v="8"/>
    <x v="2"/>
    <s v="Mid"/>
  </r>
  <r>
    <n v="34"/>
    <x v="1"/>
    <s v="Travel_Frequently"/>
    <n v="653"/>
    <x v="1"/>
    <n v="10"/>
    <n v="4"/>
    <s v="Technical Degree"/>
    <n v="1"/>
    <n v="1597"/>
    <n v="4"/>
    <x v="1"/>
    <n v="92"/>
    <n v="2"/>
    <n v="2"/>
    <x v="4"/>
    <n v="3"/>
    <s v="Married"/>
    <n v="5063"/>
    <n v="15332"/>
    <n v="1"/>
    <s v="Y"/>
    <x v="1"/>
    <n v="14"/>
    <n v="3"/>
    <n v="2"/>
    <n v="80"/>
    <n v="1"/>
    <n v="8"/>
    <n v="3"/>
    <n v="2"/>
    <n v="8"/>
    <n v="2"/>
    <n v="7"/>
    <n v="7"/>
    <x v="2"/>
    <s v="Mid"/>
  </r>
  <r>
    <n v="40"/>
    <x v="1"/>
    <s v="Travel_Rarely"/>
    <n v="118"/>
    <x v="0"/>
    <n v="14"/>
    <n v="2"/>
    <s v="Life Sciences"/>
    <n v="1"/>
    <n v="1598"/>
    <n v="4"/>
    <x v="0"/>
    <n v="84"/>
    <n v="3"/>
    <n v="2"/>
    <x v="0"/>
    <n v="1"/>
    <s v="Married"/>
    <n v="4639"/>
    <n v="11262"/>
    <n v="1"/>
    <s v="Y"/>
    <x v="1"/>
    <n v="15"/>
    <n v="3"/>
    <n v="3"/>
    <n v="80"/>
    <n v="1"/>
    <n v="5"/>
    <n v="2"/>
    <n v="3"/>
    <n v="5"/>
    <n v="4"/>
    <n v="1"/>
    <n v="2"/>
    <x v="0"/>
    <s v="Mid"/>
  </r>
  <r>
    <n v="43"/>
    <x v="1"/>
    <s v="Travel_Rarely"/>
    <n v="990"/>
    <x v="1"/>
    <n v="27"/>
    <n v="3"/>
    <s v="Technical Degree"/>
    <n v="1"/>
    <n v="1599"/>
    <n v="4"/>
    <x v="1"/>
    <n v="87"/>
    <n v="4"/>
    <n v="1"/>
    <x v="2"/>
    <n v="2"/>
    <s v="Divorced"/>
    <n v="4876"/>
    <n v="5855"/>
    <n v="5"/>
    <s v="Y"/>
    <x v="1"/>
    <n v="12"/>
    <n v="3"/>
    <n v="3"/>
    <n v="80"/>
    <n v="1"/>
    <n v="8"/>
    <n v="0"/>
    <n v="3"/>
    <n v="6"/>
    <n v="4"/>
    <n v="0"/>
    <n v="2"/>
    <x v="0"/>
    <s v="Mid"/>
  </r>
  <r>
    <n v="35"/>
    <x v="1"/>
    <s v="Travel_Rarely"/>
    <n v="1349"/>
    <x v="1"/>
    <n v="7"/>
    <n v="2"/>
    <s v="Life Sciences"/>
    <n v="1"/>
    <n v="1601"/>
    <n v="3"/>
    <x v="1"/>
    <n v="63"/>
    <n v="2"/>
    <n v="1"/>
    <x v="2"/>
    <n v="4"/>
    <s v="Married"/>
    <n v="2690"/>
    <n v="7713"/>
    <n v="1"/>
    <s v="Y"/>
    <x v="1"/>
    <n v="18"/>
    <n v="3"/>
    <n v="4"/>
    <n v="80"/>
    <n v="1"/>
    <n v="1"/>
    <n v="5"/>
    <n v="2"/>
    <n v="1"/>
    <n v="0"/>
    <n v="0"/>
    <n v="1"/>
    <x v="2"/>
    <s v="Low"/>
  </r>
  <r>
    <n v="46"/>
    <x v="1"/>
    <s v="Travel_Rarely"/>
    <n v="563"/>
    <x v="0"/>
    <n v="1"/>
    <n v="4"/>
    <s v="Life Sciences"/>
    <n v="1"/>
    <n v="1602"/>
    <n v="4"/>
    <x v="1"/>
    <n v="56"/>
    <n v="4"/>
    <n v="4"/>
    <x v="5"/>
    <n v="1"/>
    <s v="Single"/>
    <n v="17567"/>
    <n v="3156"/>
    <n v="1"/>
    <s v="Y"/>
    <x v="1"/>
    <n v="15"/>
    <n v="3"/>
    <n v="2"/>
    <n v="80"/>
    <n v="0"/>
    <n v="27"/>
    <n v="5"/>
    <n v="1"/>
    <n v="26"/>
    <n v="0"/>
    <n v="0"/>
    <n v="12"/>
    <x v="1"/>
    <s v="Top"/>
  </r>
  <r>
    <n v="28"/>
    <x v="0"/>
    <s v="Travel_Rarely"/>
    <n v="329"/>
    <x v="1"/>
    <n v="24"/>
    <n v="3"/>
    <s v="Medical"/>
    <n v="1"/>
    <n v="1604"/>
    <n v="3"/>
    <x v="1"/>
    <n v="51"/>
    <n v="3"/>
    <n v="1"/>
    <x v="2"/>
    <n v="2"/>
    <s v="Married"/>
    <n v="2408"/>
    <n v="7324"/>
    <n v="1"/>
    <s v="Y"/>
    <x v="0"/>
    <n v="17"/>
    <n v="3"/>
    <n v="3"/>
    <n v="80"/>
    <n v="3"/>
    <n v="1"/>
    <n v="3"/>
    <n v="3"/>
    <n v="1"/>
    <n v="1"/>
    <n v="0"/>
    <n v="0"/>
    <x v="2"/>
    <s v="Low"/>
  </r>
  <r>
    <n v="22"/>
    <x v="1"/>
    <s v="Non-Travel"/>
    <n v="457"/>
    <x v="1"/>
    <n v="26"/>
    <n v="2"/>
    <s v="Other"/>
    <n v="1"/>
    <n v="1605"/>
    <n v="2"/>
    <x v="0"/>
    <n v="85"/>
    <n v="2"/>
    <n v="1"/>
    <x v="1"/>
    <n v="3"/>
    <s v="Married"/>
    <n v="2814"/>
    <n v="10293"/>
    <n v="1"/>
    <s v="Y"/>
    <x v="0"/>
    <n v="14"/>
    <n v="3"/>
    <n v="2"/>
    <n v="80"/>
    <n v="0"/>
    <n v="4"/>
    <n v="2"/>
    <n v="2"/>
    <n v="4"/>
    <n v="2"/>
    <n v="1"/>
    <n v="3"/>
    <x v="3"/>
    <s v="Low"/>
  </r>
  <r>
    <n v="50"/>
    <x v="1"/>
    <s v="Travel_Frequently"/>
    <n v="1234"/>
    <x v="1"/>
    <n v="20"/>
    <n v="5"/>
    <s v="Medical"/>
    <n v="1"/>
    <n v="1606"/>
    <n v="2"/>
    <x v="1"/>
    <n v="41"/>
    <n v="3"/>
    <n v="4"/>
    <x v="4"/>
    <n v="3"/>
    <s v="Married"/>
    <n v="11245"/>
    <n v="20689"/>
    <n v="2"/>
    <s v="Y"/>
    <x v="0"/>
    <n v="15"/>
    <n v="3"/>
    <n v="3"/>
    <n v="80"/>
    <n v="1"/>
    <n v="32"/>
    <n v="3"/>
    <n v="3"/>
    <n v="30"/>
    <n v="8"/>
    <n v="12"/>
    <n v="13"/>
    <x v="1"/>
    <s v="High"/>
  </r>
  <r>
    <n v="32"/>
    <x v="1"/>
    <s v="Travel_Rarely"/>
    <n v="634"/>
    <x v="1"/>
    <n v="5"/>
    <n v="4"/>
    <s v="Other"/>
    <n v="1"/>
    <n v="1607"/>
    <n v="2"/>
    <x v="0"/>
    <n v="35"/>
    <n v="4"/>
    <n v="1"/>
    <x v="1"/>
    <n v="4"/>
    <s v="Married"/>
    <n v="3312"/>
    <n v="18783"/>
    <n v="3"/>
    <s v="Y"/>
    <x v="1"/>
    <n v="17"/>
    <n v="3"/>
    <n v="4"/>
    <n v="80"/>
    <n v="2"/>
    <n v="6"/>
    <n v="3"/>
    <n v="3"/>
    <n v="3"/>
    <n v="2"/>
    <n v="0"/>
    <n v="2"/>
    <x v="2"/>
    <s v="Mid"/>
  </r>
  <r>
    <n v="44"/>
    <x v="1"/>
    <s v="Travel_Rarely"/>
    <n v="1313"/>
    <x v="1"/>
    <n v="7"/>
    <n v="3"/>
    <s v="Medical"/>
    <n v="1"/>
    <n v="1608"/>
    <n v="2"/>
    <x v="0"/>
    <n v="31"/>
    <n v="3"/>
    <n v="5"/>
    <x v="7"/>
    <n v="4"/>
    <s v="Divorced"/>
    <n v="19049"/>
    <n v="3549"/>
    <n v="0"/>
    <s v="Y"/>
    <x v="0"/>
    <n v="14"/>
    <n v="3"/>
    <n v="4"/>
    <n v="80"/>
    <n v="1"/>
    <n v="23"/>
    <n v="4"/>
    <n v="2"/>
    <n v="22"/>
    <n v="7"/>
    <n v="1"/>
    <n v="10"/>
    <x v="0"/>
    <s v="Top"/>
  </r>
  <r>
    <n v="30"/>
    <x v="1"/>
    <s v="Travel_Rarely"/>
    <n v="241"/>
    <x v="1"/>
    <n v="7"/>
    <n v="3"/>
    <s v="Medical"/>
    <n v="1"/>
    <n v="1609"/>
    <n v="2"/>
    <x v="1"/>
    <n v="48"/>
    <n v="2"/>
    <n v="1"/>
    <x v="1"/>
    <n v="2"/>
    <s v="Married"/>
    <n v="2141"/>
    <n v="5348"/>
    <n v="1"/>
    <s v="Y"/>
    <x v="1"/>
    <n v="12"/>
    <n v="3"/>
    <n v="2"/>
    <n v="80"/>
    <n v="1"/>
    <n v="6"/>
    <n v="3"/>
    <n v="2"/>
    <n v="6"/>
    <n v="4"/>
    <n v="1"/>
    <n v="1"/>
    <x v="2"/>
    <s v="Low"/>
  </r>
  <r>
    <n v="45"/>
    <x v="1"/>
    <s v="Travel_Rarely"/>
    <n v="1015"/>
    <x v="1"/>
    <n v="5"/>
    <n v="5"/>
    <s v="Medical"/>
    <n v="1"/>
    <n v="1611"/>
    <n v="3"/>
    <x v="0"/>
    <n v="50"/>
    <n v="1"/>
    <n v="2"/>
    <x v="2"/>
    <n v="1"/>
    <s v="Single"/>
    <n v="5769"/>
    <n v="23447"/>
    <n v="1"/>
    <s v="Y"/>
    <x v="0"/>
    <n v="14"/>
    <n v="3"/>
    <n v="1"/>
    <n v="80"/>
    <n v="0"/>
    <n v="10"/>
    <n v="3"/>
    <n v="3"/>
    <n v="10"/>
    <n v="7"/>
    <n v="1"/>
    <n v="4"/>
    <x v="0"/>
    <s v="Mid"/>
  </r>
  <r>
    <n v="45"/>
    <x v="1"/>
    <s v="Non-Travel"/>
    <n v="336"/>
    <x v="0"/>
    <n v="26"/>
    <n v="3"/>
    <s v="Marketing"/>
    <n v="1"/>
    <n v="1612"/>
    <n v="1"/>
    <x v="1"/>
    <n v="52"/>
    <n v="2"/>
    <n v="2"/>
    <x v="0"/>
    <n v="1"/>
    <s v="Married"/>
    <n v="4385"/>
    <n v="24162"/>
    <n v="1"/>
    <s v="Y"/>
    <x v="1"/>
    <n v="15"/>
    <n v="3"/>
    <n v="1"/>
    <n v="80"/>
    <n v="1"/>
    <n v="10"/>
    <n v="2"/>
    <n v="3"/>
    <n v="10"/>
    <n v="7"/>
    <n v="4"/>
    <n v="5"/>
    <x v="0"/>
    <s v="Mid"/>
  </r>
  <r>
    <n v="31"/>
    <x v="1"/>
    <s v="Travel_Frequently"/>
    <n v="715"/>
    <x v="0"/>
    <n v="2"/>
    <n v="4"/>
    <s v="Other"/>
    <n v="1"/>
    <n v="1613"/>
    <n v="4"/>
    <x v="1"/>
    <n v="54"/>
    <n v="3"/>
    <n v="2"/>
    <x v="0"/>
    <n v="1"/>
    <s v="Single"/>
    <n v="5332"/>
    <n v="21602"/>
    <n v="7"/>
    <s v="Y"/>
    <x v="1"/>
    <n v="13"/>
    <n v="3"/>
    <n v="4"/>
    <n v="80"/>
    <n v="0"/>
    <n v="10"/>
    <n v="3"/>
    <n v="3"/>
    <n v="5"/>
    <n v="2"/>
    <n v="0"/>
    <n v="3"/>
    <x v="2"/>
    <s v="Mid"/>
  </r>
  <r>
    <n v="36"/>
    <x v="1"/>
    <s v="Travel_Rarely"/>
    <n v="559"/>
    <x v="1"/>
    <n v="12"/>
    <n v="4"/>
    <s v="Life Sciences"/>
    <n v="1"/>
    <n v="1614"/>
    <n v="3"/>
    <x v="0"/>
    <n v="76"/>
    <n v="3"/>
    <n v="2"/>
    <x v="3"/>
    <n v="3"/>
    <s v="Married"/>
    <n v="4663"/>
    <n v="12421"/>
    <n v="9"/>
    <s v="Y"/>
    <x v="0"/>
    <n v="12"/>
    <n v="3"/>
    <n v="2"/>
    <n v="80"/>
    <n v="2"/>
    <n v="7"/>
    <n v="2"/>
    <n v="3"/>
    <n v="3"/>
    <n v="2"/>
    <n v="1"/>
    <n v="1"/>
    <x v="0"/>
    <s v="Mid"/>
  </r>
  <r>
    <n v="34"/>
    <x v="1"/>
    <s v="Travel_Frequently"/>
    <n v="426"/>
    <x v="1"/>
    <n v="10"/>
    <n v="4"/>
    <s v="Life Sciences"/>
    <n v="1"/>
    <n v="1615"/>
    <n v="3"/>
    <x v="1"/>
    <n v="42"/>
    <n v="4"/>
    <n v="2"/>
    <x v="3"/>
    <n v="4"/>
    <s v="Divorced"/>
    <n v="4724"/>
    <n v="17000"/>
    <n v="1"/>
    <s v="Y"/>
    <x v="1"/>
    <n v="13"/>
    <n v="3"/>
    <n v="1"/>
    <n v="80"/>
    <n v="1"/>
    <n v="9"/>
    <n v="3"/>
    <n v="3"/>
    <n v="9"/>
    <n v="7"/>
    <n v="7"/>
    <n v="2"/>
    <x v="2"/>
    <s v="Mid"/>
  </r>
  <r>
    <n v="49"/>
    <x v="1"/>
    <s v="Travel_Rarely"/>
    <n v="722"/>
    <x v="1"/>
    <n v="25"/>
    <n v="4"/>
    <s v="Life Sciences"/>
    <n v="1"/>
    <n v="1617"/>
    <n v="3"/>
    <x v="0"/>
    <n v="84"/>
    <n v="3"/>
    <n v="1"/>
    <x v="2"/>
    <n v="1"/>
    <s v="Married"/>
    <n v="3211"/>
    <n v="22102"/>
    <n v="1"/>
    <s v="Y"/>
    <x v="1"/>
    <n v="14"/>
    <n v="3"/>
    <n v="4"/>
    <n v="80"/>
    <n v="1"/>
    <n v="10"/>
    <n v="3"/>
    <n v="2"/>
    <n v="9"/>
    <n v="6"/>
    <n v="1"/>
    <n v="4"/>
    <x v="1"/>
    <s v="Mid"/>
  </r>
  <r>
    <n v="39"/>
    <x v="1"/>
    <s v="Travel_Rarely"/>
    <n v="1387"/>
    <x v="1"/>
    <n v="10"/>
    <n v="5"/>
    <s v="Medical"/>
    <n v="1"/>
    <n v="1618"/>
    <n v="2"/>
    <x v="1"/>
    <n v="76"/>
    <n v="3"/>
    <n v="2"/>
    <x v="3"/>
    <n v="1"/>
    <s v="Married"/>
    <n v="5377"/>
    <n v="3835"/>
    <n v="2"/>
    <s v="Y"/>
    <x v="1"/>
    <n v="13"/>
    <n v="3"/>
    <n v="4"/>
    <n v="80"/>
    <n v="3"/>
    <n v="10"/>
    <n v="3"/>
    <n v="3"/>
    <n v="7"/>
    <n v="7"/>
    <n v="7"/>
    <n v="7"/>
    <x v="0"/>
    <s v="Mid"/>
  </r>
  <r>
    <n v="27"/>
    <x v="1"/>
    <s v="Travel_Rarely"/>
    <n v="1302"/>
    <x v="1"/>
    <n v="19"/>
    <n v="3"/>
    <s v="Other"/>
    <n v="1"/>
    <n v="1619"/>
    <n v="4"/>
    <x v="1"/>
    <n v="67"/>
    <n v="2"/>
    <n v="1"/>
    <x v="2"/>
    <n v="1"/>
    <s v="Divorced"/>
    <n v="4066"/>
    <n v="16290"/>
    <n v="1"/>
    <s v="Y"/>
    <x v="1"/>
    <n v="11"/>
    <n v="3"/>
    <n v="1"/>
    <n v="80"/>
    <n v="2"/>
    <n v="7"/>
    <n v="3"/>
    <n v="3"/>
    <n v="7"/>
    <n v="7"/>
    <n v="0"/>
    <n v="7"/>
    <x v="2"/>
    <s v="Mid"/>
  </r>
  <r>
    <n v="35"/>
    <x v="1"/>
    <s v="Travel_Rarely"/>
    <n v="819"/>
    <x v="1"/>
    <n v="18"/>
    <n v="5"/>
    <s v="Life Sciences"/>
    <n v="1"/>
    <n v="1621"/>
    <n v="2"/>
    <x v="1"/>
    <n v="48"/>
    <n v="4"/>
    <n v="2"/>
    <x v="1"/>
    <n v="1"/>
    <s v="Married"/>
    <n v="5208"/>
    <n v="26312"/>
    <n v="1"/>
    <s v="Y"/>
    <x v="1"/>
    <n v="11"/>
    <n v="3"/>
    <n v="4"/>
    <n v="80"/>
    <n v="0"/>
    <n v="16"/>
    <n v="2"/>
    <n v="3"/>
    <n v="16"/>
    <n v="15"/>
    <n v="1"/>
    <n v="10"/>
    <x v="2"/>
    <s v="Mid"/>
  </r>
  <r>
    <n v="28"/>
    <x v="1"/>
    <s v="Travel_Rarely"/>
    <n v="580"/>
    <x v="1"/>
    <n v="27"/>
    <n v="3"/>
    <s v="Medical"/>
    <n v="1"/>
    <n v="1622"/>
    <n v="2"/>
    <x v="0"/>
    <n v="39"/>
    <n v="1"/>
    <n v="2"/>
    <x v="3"/>
    <n v="1"/>
    <s v="Divorced"/>
    <n v="4877"/>
    <n v="20460"/>
    <n v="0"/>
    <s v="Y"/>
    <x v="1"/>
    <n v="21"/>
    <n v="4"/>
    <n v="2"/>
    <n v="80"/>
    <n v="1"/>
    <n v="6"/>
    <n v="5"/>
    <n v="2"/>
    <n v="5"/>
    <n v="3"/>
    <n v="0"/>
    <n v="0"/>
    <x v="2"/>
    <s v="Mid"/>
  </r>
  <r>
    <n v="21"/>
    <x v="1"/>
    <s v="Travel_Rarely"/>
    <n v="546"/>
    <x v="1"/>
    <n v="5"/>
    <n v="1"/>
    <s v="Medical"/>
    <n v="1"/>
    <n v="1623"/>
    <n v="3"/>
    <x v="1"/>
    <n v="97"/>
    <n v="3"/>
    <n v="1"/>
    <x v="1"/>
    <n v="4"/>
    <s v="Single"/>
    <n v="3117"/>
    <n v="26009"/>
    <n v="1"/>
    <s v="Y"/>
    <x v="1"/>
    <n v="18"/>
    <n v="3"/>
    <n v="3"/>
    <n v="80"/>
    <n v="0"/>
    <n v="3"/>
    <n v="2"/>
    <n v="3"/>
    <n v="2"/>
    <n v="2"/>
    <n v="2"/>
    <n v="2"/>
    <x v="3"/>
    <s v="Mid"/>
  </r>
  <r>
    <n v="18"/>
    <x v="0"/>
    <s v="Travel_Frequently"/>
    <n v="544"/>
    <x v="0"/>
    <n v="3"/>
    <n v="2"/>
    <s v="Medical"/>
    <n v="1"/>
    <n v="1624"/>
    <n v="2"/>
    <x v="0"/>
    <n v="70"/>
    <n v="3"/>
    <n v="1"/>
    <x v="6"/>
    <n v="4"/>
    <s v="Single"/>
    <n v="1569"/>
    <n v="18420"/>
    <n v="1"/>
    <s v="Y"/>
    <x v="0"/>
    <n v="12"/>
    <n v="3"/>
    <n v="3"/>
    <n v="80"/>
    <n v="0"/>
    <n v="0"/>
    <n v="2"/>
    <n v="4"/>
    <n v="0"/>
    <n v="0"/>
    <n v="0"/>
    <n v="0"/>
    <x v="3"/>
    <s v="Low"/>
  </r>
  <r>
    <n v="47"/>
    <x v="1"/>
    <s v="Travel_Rarely"/>
    <n v="1176"/>
    <x v="2"/>
    <n v="26"/>
    <n v="4"/>
    <s v="Life Sciences"/>
    <n v="1"/>
    <n v="1625"/>
    <n v="4"/>
    <x v="0"/>
    <n v="98"/>
    <n v="3"/>
    <n v="5"/>
    <x v="5"/>
    <n v="3"/>
    <s v="Married"/>
    <n v="19658"/>
    <n v="5220"/>
    <n v="3"/>
    <s v="Y"/>
    <x v="1"/>
    <n v="11"/>
    <n v="3"/>
    <n v="3"/>
    <n v="80"/>
    <n v="1"/>
    <n v="27"/>
    <n v="2"/>
    <n v="3"/>
    <n v="5"/>
    <n v="2"/>
    <n v="1"/>
    <n v="0"/>
    <x v="1"/>
    <s v="Top"/>
  </r>
  <r>
    <n v="39"/>
    <x v="1"/>
    <s v="Travel_Rarely"/>
    <n v="170"/>
    <x v="1"/>
    <n v="3"/>
    <n v="2"/>
    <s v="Medical"/>
    <n v="1"/>
    <n v="1627"/>
    <n v="3"/>
    <x v="1"/>
    <n v="76"/>
    <n v="2"/>
    <n v="2"/>
    <x v="2"/>
    <n v="3"/>
    <s v="Divorced"/>
    <n v="3069"/>
    <n v="10302"/>
    <n v="0"/>
    <s v="Y"/>
    <x v="1"/>
    <n v="15"/>
    <n v="3"/>
    <n v="4"/>
    <n v="80"/>
    <n v="1"/>
    <n v="11"/>
    <n v="3"/>
    <n v="3"/>
    <n v="10"/>
    <n v="8"/>
    <n v="0"/>
    <n v="7"/>
    <x v="0"/>
    <s v="Mid"/>
  </r>
  <r>
    <n v="40"/>
    <x v="1"/>
    <s v="Travel_Rarely"/>
    <n v="884"/>
    <x v="1"/>
    <n v="15"/>
    <n v="3"/>
    <s v="Life Sciences"/>
    <n v="1"/>
    <n v="1628"/>
    <n v="1"/>
    <x v="0"/>
    <n v="80"/>
    <n v="2"/>
    <n v="3"/>
    <x v="3"/>
    <n v="3"/>
    <s v="Married"/>
    <n v="10435"/>
    <n v="25800"/>
    <n v="1"/>
    <s v="Y"/>
    <x v="1"/>
    <n v="13"/>
    <n v="3"/>
    <n v="4"/>
    <n v="80"/>
    <n v="2"/>
    <n v="18"/>
    <n v="2"/>
    <n v="3"/>
    <n v="18"/>
    <n v="15"/>
    <n v="14"/>
    <n v="12"/>
    <x v="0"/>
    <s v="High"/>
  </r>
  <r>
    <n v="35"/>
    <x v="1"/>
    <s v="Non-Travel"/>
    <n v="208"/>
    <x v="1"/>
    <n v="8"/>
    <n v="4"/>
    <s v="Life Sciences"/>
    <n v="1"/>
    <n v="1630"/>
    <n v="3"/>
    <x v="0"/>
    <n v="52"/>
    <n v="3"/>
    <n v="2"/>
    <x v="4"/>
    <n v="3"/>
    <s v="Married"/>
    <n v="4148"/>
    <n v="12250"/>
    <n v="1"/>
    <s v="Y"/>
    <x v="1"/>
    <n v="12"/>
    <n v="3"/>
    <n v="4"/>
    <n v="80"/>
    <n v="1"/>
    <n v="15"/>
    <n v="5"/>
    <n v="3"/>
    <n v="14"/>
    <n v="11"/>
    <n v="2"/>
    <n v="9"/>
    <x v="2"/>
    <s v="Mid"/>
  </r>
  <r>
    <n v="37"/>
    <x v="1"/>
    <s v="Travel_Rarely"/>
    <n v="671"/>
    <x v="1"/>
    <n v="19"/>
    <n v="3"/>
    <s v="Life Sciences"/>
    <n v="1"/>
    <n v="1631"/>
    <n v="3"/>
    <x v="1"/>
    <n v="85"/>
    <n v="3"/>
    <n v="2"/>
    <x v="3"/>
    <n v="3"/>
    <s v="Married"/>
    <n v="5768"/>
    <n v="26493"/>
    <n v="3"/>
    <s v="Y"/>
    <x v="1"/>
    <n v="17"/>
    <n v="3"/>
    <n v="1"/>
    <n v="80"/>
    <n v="3"/>
    <n v="9"/>
    <n v="2"/>
    <n v="2"/>
    <n v="4"/>
    <n v="3"/>
    <n v="0"/>
    <n v="2"/>
    <x v="0"/>
    <s v="Mid"/>
  </r>
  <r>
    <n v="39"/>
    <x v="1"/>
    <s v="Travel_Frequently"/>
    <n v="711"/>
    <x v="1"/>
    <n v="4"/>
    <n v="3"/>
    <s v="Medical"/>
    <n v="1"/>
    <n v="1633"/>
    <n v="1"/>
    <x v="0"/>
    <n v="81"/>
    <n v="3"/>
    <n v="2"/>
    <x v="3"/>
    <n v="3"/>
    <s v="Single"/>
    <n v="5042"/>
    <n v="3140"/>
    <n v="0"/>
    <s v="Y"/>
    <x v="1"/>
    <n v="13"/>
    <n v="3"/>
    <n v="4"/>
    <n v="80"/>
    <n v="0"/>
    <n v="10"/>
    <n v="2"/>
    <n v="1"/>
    <n v="9"/>
    <n v="2"/>
    <n v="3"/>
    <n v="8"/>
    <x v="0"/>
    <s v="Mid"/>
  </r>
  <r>
    <n v="45"/>
    <x v="1"/>
    <s v="Travel_Rarely"/>
    <n v="1329"/>
    <x v="1"/>
    <n v="2"/>
    <n v="2"/>
    <s v="Other"/>
    <n v="1"/>
    <n v="1635"/>
    <n v="4"/>
    <x v="0"/>
    <n v="59"/>
    <n v="2"/>
    <n v="2"/>
    <x v="3"/>
    <n v="4"/>
    <s v="Divorced"/>
    <n v="5770"/>
    <n v="5388"/>
    <n v="1"/>
    <s v="Y"/>
    <x v="1"/>
    <n v="19"/>
    <n v="3"/>
    <n v="1"/>
    <n v="80"/>
    <n v="2"/>
    <n v="10"/>
    <n v="3"/>
    <n v="3"/>
    <n v="10"/>
    <n v="7"/>
    <n v="3"/>
    <n v="9"/>
    <x v="0"/>
    <s v="Mid"/>
  </r>
  <r>
    <n v="38"/>
    <x v="1"/>
    <s v="Travel_Rarely"/>
    <n v="397"/>
    <x v="1"/>
    <n v="2"/>
    <n v="2"/>
    <s v="Medical"/>
    <n v="1"/>
    <n v="1638"/>
    <n v="4"/>
    <x v="0"/>
    <n v="54"/>
    <n v="2"/>
    <n v="3"/>
    <x v="3"/>
    <n v="3"/>
    <s v="Married"/>
    <n v="7756"/>
    <n v="14199"/>
    <n v="3"/>
    <s v="Y"/>
    <x v="0"/>
    <n v="19"/>
    <n v="3"/>
    <n v="4"/>
    <n v="80"/>
    <n v="1"/>
    <n v="10"/>
    <n v="6"/>
    <n v="4"/>
    <n v="5"/>
    <n v="4"/>
    <n v="0"/>
    <n v="2"/>
    <x v="0"/>
    <s v="High"/>
  </r>
  <r>
    <n v="35"/>
    <x v="0"/>
    <s v="Travel_Rarely"/>
    <n v="737"/>
    <x v="0"/>
    <n v="10"/>
    <n v="3"/>
    <s v="Medical"/>
    <n v="1"/>
    <n v="1639"/>
    <n v="4"/>
    <x v="1"/>
    <n v="55"/>
    <n v="2"/>
    <n v="3"/>
    <x v="0"/>
    <n v="1"/>
    <s v="Married"/>
    <n v="10306"/>
    <n v="21530"/>
    <n v="9"/>
    <s v="Y"/>
    <x v="1"/>
    <n v="17"/>
    <n v="3"/>
    <n v="3"/>
    <n v="80"/>
    <n v="0"/>
    <n v="15"/>
    <n v="3"/>
    <n v="3"/>
    <n v="13"/>
    <n v="12"/>
    <n v="6"/>
    <n v="0"/>
    <x v="2"/>
    <s v="High"/>
  </r>
  <r>
    <n v="37"/>
    <x v="1"/>
    <s v="Travel_Rarely"/>
    <n v="1470"/>
    <x v="1"/>
    <n v="10"/>
    <n v="3"/>
    <s v="Medical"/>
    <n v="1"/>
    <n v="1640"/>
    <n v="2"/>
    <x v="0"/>
    <n v="71"/>
    <n v="3"/>
    <n v="1"/>
    <x v="1"/>
    <n v="2"/>
    <s v="Married"/>
    <n v="3936"/>
    <n v="9953"/>
    <n v="1"/>
    <s v="Y"/>
    <x v="1"/>
    <n v="11"/>
    <n v="3"/>
    <n v="1"/>
    <n v="80"/>
    <n v="1"/>
    <n v="8"/>
    <n v="2"/>
    <n v="1"/>
    <n v="8"/>
    <n v="4"/>
    <n v="7"/>
    <n v="7"/>
    <x v="0"/>
    <s v="Mid"/>
  </r>
  <r>
    <n v="40"/>
    <x v="1"/>
    <s v="Travel_Rarely"/>
    <n v="448"/>
    <x v="1"/>
    <n v="16"/>
    <n v="3"/>
    <s v="Life Sciences"/>
    <n v="1"/>
    <n v="1641"/>
    <n v="3"/>
    <x v="0"/>
    <n v="84"/>
    <n v="3"/>
    <n v="3"/>
    <x v="3"/>
    <n v="4"/>
    <s v="Single"/>
    <n v="7945"/>
    <n v="19948"/>
    <n v="6"/>
    <s v="Y"/>
    <x v="0"/>
    <n v="15"/>
    <n v="3"/>
    <n v="4"/>
    <n v="80"/>
    <n v="0"/>
    <n v="18"/>
    <n v="2"/>
    <n v="2"/>
    <n v="4"/>
    <n v="2"/>
    <n v="3"/>
    <n v="3"/>
    <x v="0"/>
    <s v="High"/>
  </r>
  <r>
    <n v="44"/>
    <x v="1"/>
    <s v="Travel_Frequently"/>
    <n v="602"/>
    <x v="2"/>
    <n v="1"/>
    <n v="5"/>
    <s v="Human Resources"/>
    <n v="1"/>
    <n v="1642"/>
    <n v="1"/>
    <x v="1"/>
    <n v="37"/>
    <n v="3"/>
    <n v="2"/>
    <x v="8"/>
    <n v="4"/>
    <s v="Married"/>
    <n v="5743"/>
    <n v="10503"/>
    <n v="4"/>
    <s v="Y"/>
    <x v="0"/>
    <n v="11"/>
    <n v="3"/>
    <n v="3"/>
    <n v="80"/>
    <n v="0"/>
    <n v="14"/>
    <n v="3"/>
    <n v="3"/>
    <n v="10"/>
    <n v="7"/>
    <n v="0"/>
    <n v="2"/>
    <x v="0"/>
    <s v="Mid"/>
  </r>
  <r>
    <n v="48"/>
    <x v="1"/>
    <s v="Travel_Frequently"/>
    <n v="365"/>
    <x v="1"/>
    <n v="4"/>
    <n v="5"/>
    <s v="Medical"/>
    <n v="1"/>
    <n v="1644"/>
    <n v="3"/>
    <x v="1"/>
    <n v="89"/>
    <n v="2"/>
    <n v="4"/>
    <x v="5"/>
    <n v="4"/>
    <s v="Married"/>
    <n v="15202"/>
    <n v="5602"/>
    <n v="2"/>
    <s v="Y"/>
    <x v="1"/>
    <n v="25"/>
    <n v="4"/>
    <n v="2"/>
    <n v="80"/>
    <n v="1"/>
    <n v="23"/>
    <n v="3"/>
    <n v="3"/>
    <n v="2"/>
    <n v="2"/>
    <n v="2"/>
    <n v="2"/>
    <x v="1"/>
    <s v="Top"/>
  </r>
  <r>
    <n v="35"/>
    <x v="0"/>
    <s v="Travel_Rarely"/>
    <n v="763"/>
    <x v="0"/>
    <n v="15"/>
    <n v="2"/>
    <s v="Medical"/>
    <n v="1"/>
    <n v="1645"/>
    <n v="1"/>
    <x v="1"/>
    <n v="59"/>
    <n v="1"/>
    <n v="2"/>
    <x v="0"/>
    <n v="4"/>
    <s v="Divorced"/>
    <n v="5440"/>
    <n v="22098"/>
    <n v="6"/>
    <s v="Y"/>
    <x v="0"/>
    <n v="14"/>
    <n v="3"/>
    <n v="4"/>
    <n v="80"/>
    <n v="2"/>
    <n v="7"/>
    <n v="2"/>
    <n v="2"/>
    <n v="2"/>
    <n v="2"/>
    <n v="2"/>
    <n v="2"/>
    <x v="2"/>
    <s v="Mid"/>
  </r>
  <r>
    <n v="24"/>
    <x v="1"/>
    <s v="Travel_Frequently"/>
    <n v="567"/>
    <x v="1"/>
    <n v="2"/>
    <n v="1"/>
    <s v="Technical Degree"/>
    <n v="1"/>
    <n v="1646"/>
    <n v="1"/>
    <x v="0"/>
    <n v="32"/>
    <n v="3"/>
    <n v="1"/>
    <x v="1"/>
    <n v="4"/>
    <s v="Single"/>
    <n v="3760"/>
    <n v="17218"/>
    <n v="1"/>
    <s v="Y"/>
    <x v="0"/>
    <n v="13"/>
    <n v="3"/>
    <n v="3"/>
    <n v="80"/>
    <n v="0"/>
    <n v="6"/>
    <n v="2"/>
    <n v="3"/>
    <n v="6"/>
    <n v="3"/>
    <n v="1"/>
    <n v="3"/>
    <x v="3"/>
    <s v="Mid"/>
  </r>
  <r>
    <n v="27"/>
    <x v="1"/>
    <s v="Travel_Rarely"/>
    <n v="486"/>
    <x v="1"/>
    <n v="8"/>
    <n v="3"/>
    <s v="Medical"/>
    <n v="1"/>
    <n v="1647"/>
    <n v="2"/>
    <x v="0"/>
    <n v="86"/>
    <n v="4"/>
    <n v="1"/>
    <x v="1"/>
    <n v="3"/>
    <s v="Married"/>
    <n v="3517"/>
    <n v="22490"/>
    <n v="7"/>
    <s v="Y"/>
    <x v="1"/>
    <n v="17"/>
    <n v="3"/>
    <n v="1"/>
    <n v="80"/>
    <n v="0"/>
    <n v="5"/>
    <n v="0"/>
    <n v="3"/>
    <n v="3"/>
    <n v="2"/>
    <n v="0"/>
    <n v="2"/>
    <x v="2"/>
    <s v="Mid"/>
  </r>
  <r>
    <n v="27"/>
    <x v="1"/>
    <s v="Travel_Frequently"/>
    <n v="591"/>
    <x v="1"/>
    <n v="2"/>
    <n v="3"/>
    <s v="Medical"/>
    <n v="1"/>
    <n v="1648"/>
    <n v="4"/>
    <x v="1"/>
    <n v="87"/>
    <n v="3"/>
    <n v="1"/>
    <x v="1"/>
    <n v="4"/>
    <s v="Single"/>
    <n v="2580"/>
    <n v="6297"/>
    <n v="2"/>
    <s v="Y"/>
    <x v="1"/>
    <n v="13"/>
    <n v="3"/>
    <n v="3"/>
    <n v="80"/>
    <n v="0"/>
    <n v="6"/>
    <n v="0"/>
    <n v="2"/>
    <n v="4"/>
    <n v="2"/>
    <n v="1"/>
    <n v="2"/>
    <x v="2"/>
    <s v="Low"/>
  </r>
  <r>
    <n v="40"/>
    <x v="0"/>
    <s v="Travel_Rarely"/>
    <n v="1329"/>
    <x v="1"/>
    <n v="7"/>
    <n v="3"/>
    <s v="Life Sciences"/>
    <n v="1"/>
    <n v="1649"/>
    <n v="1"/>
    <x v="1"/>
    <n v="73"/>
    <n v="3"/>
    <n v="1"/>
    <x v="2"/>
    <n v="1"/>
    <s v="Single"/>
    <n v="2166"/>
    <n v="3339"/>
    <n v="3"/>
    <s v="Y"/>
    <x v="0"/>
    <n v="14"/>
    <n v="3"/>
    <n v="2"/>
    <n v="80"/>
    <n v="0"/>
    <n v="10"/>
    <n v="3"/>
    <n v="1"/>
    <n v="4"/>
    <n v="2"/>
    <n v="0"/>
    <n v="3"/>
    <x v="0"/>
    <s v="Low"/>
  </r>
  <r>
    <n v="29"/>
    <x v="1"/>
    <s v="Travel_Rarely"/>
    <n v="469"/>
    <x v="0"/>
    <n v="10"/>
    <n v="3"/>
    <s v="Medical"/>
    <n v="1"/>
    <n v="1650"/>
    <n v="3"/>
    <x v="1"/>
    <n v="42"/>
    <n v="2"/>
    <n v="2"/>
    <x v="0"/>
    <n v="3"/>
    <s v="Single"/>
    <n v="5869"/>
    <n v="23413"/>
    <n v="9"/>
    <s v="Y"/>
    <x v="1"/>
    <n v="11"/>
    <n v="3"/>
    <n v="3"/>
    <n v="80"/>
    <n v="0"/>
    <n v="8"/>
    <n v="2"/>
    <n v="3"/>
    <n v="5"/>
    <n v="2"/>
    <n v="1"/>
    <n v="4"/>
    <x v="2"/>
    <s v="Mid"/>
  </r>
  <r>
    <n v="36"/>
    <x v="1"/>
    <s v="Travel_Rarely"/>
    <n v="711"/>
    <x v="1"/>
    <n v="5"/>
    <n v="4"/>
    <s v="Life Sciences"/>
    <n v="1"/>
    <n v="1651"/>
    <n v="2"/>
    <x v="0"/>
    <n v="42"/>
    <n v="3"/>
    <n v="3"/>
    <x v="4"/>
    <n v="1"/>
    <s v="Married"/>
    <n v="8008"/>
    <n v="22792"/>
    <n v="4"/>
    <s v="Y"/>
    <x v="1"/>
    <n v="12"/>
    <n v="3"/>
    <n v="3"/>
    <n v="80"/>
    <n v="2"/>
    <n v="9"/>
    <n v="6"/>
    <n v="3"/>
    <n v="3"/>
    <n v="2"/>
    <n v="0"/>
    <n v="2"/>
    <x v="0"/>
    <s v="High"/>
  </r>
  <r>
    <n v="25"/>
    <x v="1"/>
    <s v="Travel_Frequently"/>
    <n v="772"/>
    <x v="1"/>
    <n v="2"/>
    <n v="1"/>
    <s v="Life Sciences"/>
    <n v="1"/>
    <n v="1653"/>
    <n v="4"/>
    <x v="1"/>
    <n v="77"/>
    <n v="4"/>
    <n v="2"/>
    <x v="3"/>
    <n v="3"/>
    <s v="Divorced"/>
    <n v="5206"/>
    <n v="4973"/>
    <n v="1"/>
    <s v="Y"/>
    <x v="1"/>
    <n v="17"/>
    <n v="3"/>
    <n v="3"/>
    <n v="80"/>
    <n v="2"/>
    <n v="7"/>
    <n v="6"/>
    <n v="3"/>
    <n v="7"/>
    <n v="7"/>
    <n v="0"/>
    <n v="7"/>
    <x v="3"/>
    <s v="Mid"/>
  </r>
  <r>
    <n v="39"/>
    <x v="1"/>
    <s v="Travel_Rarely"/>
    <n v="492"/>
    <x v="1"/>
    <n v="12"/>
    <n v="3"/>
    <s v="Medical"/>
    <n v="1"/>
    <n v="1654"/>
    <n v="4"/>
    <x v="1"/>
    <n v="66"/>
    <n v="3"/>
    <n v="2"/>
    <x v="3"/>
    <n v="2"/>
    <s v="Married"/>
    <n v="5295"/>
    <n v="7693"/>
    <n v="4"/>
    <s v="Y"/>
    <x v="1"/>
    <n v="21"/>
    <n v="4"/>
    <n v="3"/>
    <n v="80"/>
    <n v="0"/>
    <n v="7"/>
    <n v="3"/>
    <n v="3"/>
    <n v="5"/>
    <n v="4"/>
    <n v="1"/>
    <n v="0"/>
    <x v="0"/>
    <s v="Mid"/>
  </r>
  <r>
    <n v="49"/>
    <x v="1"/>
    <s v="Travel_Rarely"/>
    <n v="301"/>
    <x v="1"/>
    <n v="22"/>
    <n v="4"/>
    <s v="Other"/>
    <n v="1"/>
    <n v="1655"/>
    <n v="1"/>
    <x v="0"/>
    <n v="72"/>
    <n v="3"/>
    <n v="4"/>
    <x v="7"/>
    <n v="2"/>
    <s v="Married"/>
    <n v="16413"/>
    <n v="3498"/>
    <n v="3"/>
    <s v="Y"/>
    <x v="1"/>
    <n v="16"/>
    <n v="3"/>
    <n v="2"/>
    <n v="80"/>
    <n v="2"/>
    <n v="27"/>
    <n v="2"/>
    <n v="3"/>
    <n v="4"/>
    <n v="2"/>
    <n v="1"/>
    <n v="2"/>
    <x v="1"/>
    <s v="Top"/>
  </r>
  <r>
    <n v="50"/>
    <x v="1"/>
    <s v="Travel_Rarely"/>
    <n v="813"/>
    <x v="1"/>
    <n v="17"/>
    <n v="5"/>
    <s v="Life Sciences"/>
    <n v="1"/>
    <n v="1656"/>
    <n v="4"/>
    <x v="0"/>
    <n v="50"/>
    <n v="2"/>
    <n v="3"/>
    <x v="7"/>
    <n v="1"/>
    <s v="Divorced"/>
    <n v="13269"/>
    <n v="21981"/>
    <n v="5"/>
    <s v="Y"/>
    <x v="1"/>
    <n v="15"/>
    <n v="3"/>
    <n v="3"/>
    <n v="80"/>
    <n v="3"/>
    <n v="19"/>
    <n v="3"/>
    <n v="3"/>
    <n v="14"/>
    <n v="11"/>
    <n v="1"/>
    <n v="11"/>
    <x v="1"/>
    <s v="Top"/>
  </r>
  <r>
    <n v="20"/>
    <x v="1"/>
    <s v="Travel_Rarely"/>
    <n v="1141"/>
    <x v="0"/>
    <n v="2"/>
    <n v="3"/>
    <s v="Medical"/>
    <n v="1"/>
    <n v="1657"/>
    <n v="3"/>
    <x v="0"/>
    <n v="31"/>
    <n v="3"/>
    <n v="1"/>
    <x v="6"/>
    <n v="3"/>
    <s v="Single"/>
    <n v="2783"/>
    <n v="13251"/>
    <n v="1"/>
    <s v="Y"/>
    <x v="1"/>
    <n v="19"/>
    <n v="3"/>
    <n v="1"/>
    <n v="80"/>
    <n v="0"/>
    <n v="2"/>
    <n v="3"/>
    <n v="3"/>
    <n v="2"/>
    <n v="2"/>
    <n v="2"/>
    <n v="2"/>
    <x v="3"/>
    <s v="Low"/>
  </r>
  <r>
    <n v="34"/>
    <x v="1"/>
    <s v="Travel_Rarely"/>
    <n v="1130"/>
    <x v="1"/>
    <n v="3"/>
    <n v="3"/>
    <s v="Life Sciences"/>
    <n v="1"/>
    <n v="1658"/>
    <n v="4"/>
    <x v="0"/>
    <n v="66"/>
    <n v="3"/>
    <n v="2"/>
    <x v="1"/>
    <n v="2"/>
    <s v="Divorced"/>
    <n v="5433"/>
    <n v="19332"/>
    <n v="1"/>
    <s v="Y"/>
    <x v="1"/>
    <n v="12"/>
    <n v="3"/>
    <n v="3"/>
    <n v="80"/>
    <n v="1"/>
    <n v="11"/>
    <n v="2"/>
    <n v="3"/>
    <n v="11"/>
    <n v="8"/>
    <n v="7"/>
    <n v="9"/>
    <x v="2"/>
    <s v="Mid"/>
  </r>
  <r>
    <n v="36"/>
    <x v="1"/>
    <s v="Travel_Rarely"/>
    <n v="311"/>
    <x v="1"/>
    <n v="7"/>
    <n v="3"/>
    <s v="Life Sciences"/>
    <n v="1"/>
    <n v="1659"/>
    <n v="1"/>
    <x v="1"/>
    <n v="77"/>
    <n v="3"/>
    <n v="1"/>
    <x v="2"/>
    <n v="2"/>
    <s v="Single"/>
    <n v="2013"/>
    <n v="10950"/>
    <n v="2"/>
    <s v="Y"/>
    <x v="1"/>
    <n v="11"/>
    <n v="3"/>
    <n v="3"/>
    <n v="80"/>
    <n v="0"/>
    <n v="15"/>
    <n v="4"/>
    <n v="3"/>
    <n v="4"/>
    <n v="3"/>
    <n v="1"/>
    <n v="3"/>
    <x v="0"/>
    <s v="Low"/>
  </r>
  <r>
    <n v="49"/>
    <x v="1"/>
    <s v="Travel_Rarely"/>
    <n v="465"/>
    <x v="1"/>
    <n v="6"/>
    <n v="1"/>
    <s v="Life Sciences"/>
    <n v="1"/>
    <n v="1661"/>
    <n v="3"/>
    <x v="0"/>
    <n v="41"/>
    <n v="2"/>
    <n v="4"/>
    <x v="4"/>
    <n v="3"/>
    <s v="Married"/>
    <n v="13966"/>
    <n v="11652"/>
    <n v="2"/>
    <s v="Y"/>
    <x v="0"/>
    <n v="19"/>
    <n v="3"/>
    <n v="2"/>
    <n v="80"/>
    <n v="1"/>
    <n v="30"/>
    <n v="3"/>
    <n v="3"/>
    <n v="15"/>
    <n v="11"/>
    <n v="2"/>
    <n v="12"/>
    <x v="1"/>
    <s v="Top"/>
  </r>
  <r>
    <n v="36"/>
    <x v="1"/>
    <s v="Non-Travel"/>
    <n v="894"/>
    <x v="1"/>
    <n v="1"/>
    <n v="4"/>
    <s v="Medical"/>
    <n v="1"/>
    <n v="1662"/>
    <n v="4"/>
    <x v="0"/>
    <n v="33"/>
    <n v="2"/>
    <n v="2"/>
    <x v="3"/>
    <n v="3"/>
    <s v="Married"/>
    <n v="4374"/>
    <n v="15411"/>
    <n v="0"/>
    <s v="Y"/>
    <x v="1"/>
    <n v="15"/>
    <n v="3"/>
    <n v="3"/>
    <n v="80"/>
    <n v="0"/>
    <n v="4"/>
    <n v="6"/>
    <n v="3"/>
    <n v="3"/>
    <n v="2"/>
    <n v="1"/>
    <n v="2"/>
    <x v="0"/>
    <s v="Mid"/>
  </r>
  <r>
    <n v="36"/>
    <x v="1"/>
    <s v="Travel_Rarely"/>
    <n v="1040"/>
    <x v="1"/>
    <n v="3"/>
    <n v="2"/>
    <s v="Life Sciences"/>
    <n v="1"/>
    <n v="1664"/>
    <n v="4"/>
    <x v="1"/>
    <n v="79"/>
    <n v="4"/>
    <n v="2"/>
    <x v="4"/>
    <n v="1"/>
    <s v="Divorced"/>
    <n v="6842"/>
    <n v="26308"/>
    <n v="6"/>
    <s v="Y"/>
    <x v="1"/>
    <n v="20"/>
    <n v="4"/>
    <n v="1"/>
    <n v="80"/>
    <n v="1"/>
    <n v="13"/>
    <n v="3"/>
    <n v="3"/>
    <n v="5"/>
    <n v="4"/>
    <n v="0"/>
    <n v="4"/>
    <x v="0"/>
    <s v="Mid"/>
  </r>
  <r>
    <n v="54"/>
    <x v="1"/>
    <s v="Travel_Rarely"/>
    <n v="584"/>
    <x v="1"/>
    <n v="22"/>
    <n v="5"/>
    <s v="Medical"/>
    <n v="1"/>
    <n v="1665"/>
    <n v="2"/>
    <x v="0"/>
    <n v="91"/>
    <n v="3"/>
    <n v="4"/>
    <x v="5"/>
    <n v="3"/>
    <s v="Married"/>
    <n v="17426"/>
    <n v="18685"/>
    <n v="3"/>
    <s v="Y"/>
    <x v="1"/>
    <n v="25"/>
    <n v="4"/>
    <n v="3"/>
    <n v="80"/>
    <n v="1"/>
    <n v="36"/>
    <n v="6"/>
    <n v="3"/>
    <n v="10"/>
    <n v="8"/>
    <n v="4"/>
    <n v="7"/>
    <x v="1"/>
    <s v="Top"/>
  </r>
  <r>
    <n v="43"/>
    <x v="1"/>
    <s v="Travel_Rarely"/>
    <n v="1291"/>
    <x v="1"/>
    <n v="15"/>
    <n v="2"/>
    <s v="Life Sciences"/>
    <n v="1"/>
    <n v="1666"/>
    <n v="3"/>
    <x v="1"/>
    <n v="65"/>
    <n v="2"/>
    <n v="4"/>
    <x v="7"/>
    <n v="3"/>
    <s v="Married"/>
    <n v="17603"/>
    <n v="3525"/>
    <n v="1"/>
    <s v="Y"/>
    <x v="1"/>
    <n v="24"/>
    <n v="4"/>
    <n v="1"/>
    <n v="80"/>
    <n v="1"/>
    <n v="14"/>
    <n v="3"/>
    <n v="3"/>
    <n v="14"/>
    <n v="10"/>
    <n v="6"/>
    <n v="11"/>
    <x v="0"/>
    <s v="Top"/>
  </r>
  <r>
    <n v="35"/>
    <x v="0"/>
    <s v="Travel_Frequently"/>
    <n v="880"/>
    <x v="0"/>
    <n v="12"/>
    <n v="4"/>
    <s v="Other"/>
    <n v="1"/>
    <n v="1667"/>
    <n v="4"/>
    <x v="1"/>
    <n v="36"/>
    <n v="3"/>
    <n v="2"/>
    <x v="0"/>
    <n v="4"/>
    <s v="Single"/>
    <n v="4581"/>
    <n v="10414"/>
    <n v="3"/>
    <s v="Y"/>
    <x v="0"/>
    <n v="24"/>
    <n v="4"/>
    <n v="1"/>
    <n v="80"/>
    <n v="0"/>
    <n v="13"/>
    <n v="2"/>
    <n v="4"/>
    <n v="11"/>
    <n v="9"/>
    <n v="6"/>
    <n v="7"/>
    <x v="2"/>
    <s v="Mid"/>
  </r>
  <r>
    <n v="38"/>
    <x v="1"/>
    <s v="Travel_Frequently"/>
    <n v="1189"/>
    <x v="1"/>
    <n v="1"/>
    <n v="3"/>
    <s v="Life Sciences"/>
    <n v="1"/>
    <n v="1668"/>
    <n v="4"/>
    <x v="1"/>
    <n v="90"/>
    <n v="3"/>
    <n v="2"/>
    <x v="1"/>
    <n v="4"/>
    <s v="Married"/>
    <n v="4735"/>
    <n v="9867"/>
    <n v="7"/>
    <s v="Y"/>
    <x v="1"/>
    <n v="15"/>
    <n v="3"/>
    <n v="4"/>
    <n v="80"/>
    <n v="2"/>
    <n v="19"/>
    <n v="4"/>
    <n v="4"/>
    <n v="13"/>
    <n v="11"/>
    <n v="2"/>
    <n v="9"/>
    <x v="0"/>
    <s v="Mid"/>
  </r>
  <r>
    <n v="29"/>
    <x v="1"/>
    <s v="Travel_Rarely"/>
    <n v="991"/>
    <x v="0"/>
    <n v="5"/>
    <n v="3"/>
    <s v="Medical"/>
    <n v="1"/>
    <n v="1669"/>
    <n v="1"/>
    <x v="1"/>
    <n v="43"/>
    <n v="2"/>
    <n v="2"/>
    <x v="0"/>
    <n v="2"/>
    <s v="Divorced"/>
    <n v="4187"/>
    <n v="3356"/>
    <n v="1"/>
    <s v="Y"/>
    <x v="0"/>
    <n v="13"/>
    <n v="3"/>
    <n v="2"/>
    <n v="80"/>
    <n v="1"/>
    <n v="10"/>
    <n v="3"/>
    <n v="2"/>
    <n v="10"/>
    <n v="0"/>
    <n v="0"/>
    <n v="9"/>
    <x v="2"/>
    <s v="Mid"/>
  </r>
  <r>
    <n v="33"/>
    <x v="1"/>
    <s v="Travel_Rarely"/>
    <n v="392"/>
    <x v="0"/>
    <n v="2"/>
    <n v="4"/>
    <s v="Medical"/>
    <n v="1"/>
    <n v="1670"/>
    <n v="4"/>
    <x v="1"/>
    <n v="93"/>
    <n v="3"/>
    <n v="2"/>
    <x v="0"/>
    <n v="4"/>
    <s v="Divorced"/>
    <n v="5505"/>
    <n v="3921"/>
    <n v="1"/>
    <s v="Y"/>
    <x v="1"/>
    <n v="14"/>
    <n v="3"/>
    <n v="3"/>
    <n v="80"/>
    <n v="2"/>
    <n v="6"/>
    <n v="5"/>
    <n v="3"/>
    <n v="6"/>
    <n v="2"/>
    <n v="0"/>
    <n v="4"/>
    <x v="2"/>
    <s v="Mid"/>
  </r>
  <r>
    <n v="32"/>
    <x v="1"/>
    <s v="Travel_Rarely"/>
    <n v="977"/>
    <x v="1"/>
    <n v="2"/>
    <n v="3"/>
    <s v="Medical"/>
    <n v="1"/>
    <n v="1671"/>
    <n v="4"/>
    <x v="1"/>
    <n v="45"/>
    <n v="3"/>
    <n v="2"/>
    <x v="1"/>
    <n v="2"/>
    <s v="Divorced"/>
    <n v="5470"/>
    <n v="25518"/>
    <n v="0"/>
    <s v="Y"/>
    <x v="1"/>
    <n v="13"/>
    <n v="3"/>
    <n v="3"/>
    <n v="80"/>
    <n v="2"/>
    <n v="10"/>
    <n v="4"/>
    <n v="2"/>
    <n v="9"/>
    <n v="5"/>
    <n v="1"/>
    <n v="6"/>
    <x v="2"/>
    <s v="Mid"/>
  </r>
  <r>
    <n v="31"/>
    <x v="1"/>
    <s v="Travel_Rarely"/>
    <n v="1112"/>
    <x v="0"/>
    <n v="5"/>
    <n v="4"/>
    <s v="Life Sciences"/>
    <n v="1"/>
    <n v="1673"/>
    <n v="1"/>
    <x v="0"/>
    <n v="67"/>
    <n v="3"/>
    <n v="2"/>
    <x v="0"/>
    <n v="4"/>
    <s v="Married"/>
    <n v="5476"/>
    <n v="22589"/>
    <n v="1"/>
    <s v="Y"/>
    <x v="1"/>
    <n v="11"/>
    <n v="3"/>
    <n v="1"/>
    <n v="80"/>
    <n v="2"/>
    <n v="10"/>
    <n v="2"/>
    <n v="3"/>
    <n v="10"/>
    <n v="0"/>
    <n v="0"/>
    <n v="2"/>
    <x v="2"/>
    <s v="Mid"/>
  </r>
  <r>
    <n v="49"/>
    <x v="1"/>
    <s v="Travel_Rarely"/>
    <n v="464"/>
    <x v="1"/>
    <n v="16"/>
    <n v="3"/>
    <s v="Medical"/>
    <n v="1"/>
    <n v="1674"/>
    <n v="4"/>
    <x v="0"/>
    <n v="74"/>
    <n v="3"/>
    <n v="1"/>
    <x v="2"/>
    <n v="1"/>
    <s v="Divorced"/>
    <n v="2587"/>
    <n v="24941"/>
    <n v="4"/>
    <s v="Y"/>
    <x v="0"/>
    <n v="16"/>
    <n v="3"/>
    <n v="2"/>
    <n v="80"/>
    <n v="1"/>
    <n v="17"/>
    <n v="2"/>
    <n v="2"/>
    <n v="2"/>
    <n v="2"/>
    <n v="2"/>
    <n v="2"/>
    <x v="1"/>
    <s v="Low"/>
  </r>
  <r>
    <n v="38"/>
    <x v="1"/>
    <s v="Travel_Frequently"/>
    <n v="148"/>
    <x v="1"/>
    <n v="2"/>
    <n v="3"/>
    <s v="Medical"/>
    <n v="1"/>
    <n v="1675"/>
    <n v="4"/>
    <x v="0"/>
    <n v="42"/>
    <n v="2"/>
    <n v="1"/>
    <x v="2"/>
    <n v="2"/>
    <s v="Single"/>
    <n v="2440"/>
    <n v="23826"/>
    <n v="1"/>
    <s v="Y"/>
    <x v="1"/>
    <n v="22"/>
    <n v="4"/>
    <n v="2"/>
    <n v="80"/>
    <n v="0"/>
    <n v="4"/>
    <n v="3"/>
    <n v="3"/>
    <n v="4"/>
    <n v="3"/>
    <n v="3"/>
    <n v="3"/>
    <x v="0"/>
    <s v="Low"/>
  </r>
  <r>
    <n v="47"/>
    <x v="1"/>
    <s v="Travel_Rarely"/>
    <n v="1225"/>
    <x v="0"/>
    <n v="2"/>
    <n v="4"/>
    <s v="Life Sciences"/>
    <n v="1"/>
    <n v="1676"/>
    <n v="2"/>
    <x v="0"/>
    <n v="47"/>
    <n v="4"/>
    <n v="4"/>
    <x v="5"/>
    <n v="2"/>
    <s v="Divorced"/>
    <n v="15972"/>
    <n v="21086"/>
    <n v="6"/>
    <s v="Y"/>
    <x v="1"/>
    <n v="14"/>
    <n v="3"/>
    <n v="3"/>
    <n v="80"/>
    <n v="3"/>
    <n v="29"/>
    <n v="2"/>
    <n v="3"/>
    <n v="3"/>
    <n v="2"/>
    <n v="1"/>
    <n v="2"/>
    <x v="1"/>
    <s v="Top"/>
  </r>
  <r>
    <n v="49"/>
    <x v="1"/>
    <s v="Travel_Rarely"/>
    <n v="809"/>
    <x v="1"/>
    <n v="1"/>
    <n v="3"/>
    <s v="Life Sciences"/>
    <n v="1"/>
    <n v="1677"/>
    <n v="3"/>
    <x v="1"/>
    <n v="36"/>
    <n v="3"/>
    <n v="4"/>
    <x v="5"/>
    <n v="3"/>
    <s v="Single"/>
    <n v="15379"/>
    <n v="22384"/>
    <n v="4"/>
    <s v="Y"/>
    <x v="1"/>
    <n v="14"/>
    <n v="3"/>
    <n v="1"/>
    <n v="80"/>
    <n v="0"/>
    <n v="23"/>
    <n v="2"/>
    <n v="3"/>
    <n v="8"/>
    <n v="7"/>
    <n v="0"/>
    <n v="0"/>
    <x v="1"/>
    <s v="Top"/>
  </r>
  <r>
    <n v="41"/>
    <x v="1"/>
    <s v="Travel_Rarely"/>
    <n v="1206"/>
    <x v="0"/>
    <n v="23"/>
    <n v="2"/>
    <s v="Life Sciences"/>
    <n v="1"/>
    <n v="1678"/>
    <n v="4"/>
    <x v="1"/>
    <n v="80"/>
    <n v="3"/>
    <n v="3"/>
    <x v="0"/>
    <n v="3"/>
    <s v="Single"/>
    <n v="7082"/>
    <n v="11591"/>
    <n v="3"/>
    <s v="Y"/>
    <x v="0"/>
    <n v="16"/>
    <n v="3"/>
    <n v="4"/>
    <n v="80"/>
    <n v="0"/>
    <n v="21"/>
    <n v="2"/>
    <n v="3"/>
    <n v="2"/>
    <n v="0"/>
    <n v="0"/>
    <n v="2"/>
    <x v="0"/>
    <s v="High"/>
  </r>
  <r>
    <n v="20"/>
    <x v="1"/>
    <s v="Travel_Rarely"/>
    <n v="727"/>
    <x v="0"/>
    <n v="9"/>
    <n v="1"/>
    <s v="Life Sciences"/>
    <n v="1"/>
    <n v="1680"/>
    <n v="4"/>
    <x v="1"/>
    <n v="54"/>
    <n v="3"/>
    <n v="1"/>
    <x v="6"/>
    <n v="1"/>
    <s v="Single"/>
    <n v="2728"/>
    <n v="21082"/>
    <n v="1"/>
    <s v="Y"/>
    <x v="1"/>
    <n v="11"/>
    <n v="3"/>
    <n v="1"/>
    <n v="80"/>
    <n v="0"/>
    <n v="2"/>
    <n v="3"/>
    <n v="3"/>
    <n v="2"/>
    <n v="2"/>
    <n v="0"/>
    <n v="2"/>
    <x v="3"/>
    <s v="Low"/>
  </r>
  <r>
    <n v="33"/>
    <x v="1"/>
    <s v="Non-Travel"/>
    <n v="530"/>
    <x v="0"/>
    <n v="16"/>
    <n v="3"/>
    <s v="Life Sciences"/>
    <n v="1"/>
    <n v="1681"/>
    <n v="3"/>
    <x v="0"/>
    <n v="36"/>
    <n v="3"/>
    <n v="2"/>
    <x v="0"/>
    <n v="4"/>
    <s v="Divorced"/>
    <n v="5368"/>
    <n v="16130"/>
    <n v="1"/>
    <s v="Y"/>
    <x v="0"/>
    <n v="25"/>
    <n v="4"/>
    <n v="3"/>
    <n v="80"/>
    <n v="1"/>
    <n v="7"/>
    <n v="2"/>
    <n v="3"/>
    <n v="6"/>
    <n v="5"/>
    <n v="1"/>
    <n v="2"/>
    <x v="2"/>
    <s v="Mid"/>
  </r>
  <r>
    <n v="36"/>
    <x v="1"/>
    <s v="Travel_Rarely"/>
    <n v="1351"/>
    <x v="1"/>
    <n v="26"/>
    <n v="4"/>
    <s v="Life Sciences"/>
    <n v="1"/>
    <n v="1682"/>
    <n v="1"/>
    <x v="1"/>
    <n v="80"/>
    <n v="3"/>
    <n v="2"/>
    <x v="4"/>
    <n v="3"/>
    <s v="Married"/>
    <n v="5347"/>
    <n v="7419"/>
    <n v="6"/>
    <s v="Y"/>
    <x v="1"/>
    <n v="14"/>
    <n v="3"/>
    <n v="2"/>
    <n v="80"/>
    <n v="2"/>
    <n v="10"/>
    <n v="2"/>
    <n v="2"/>
    <n v="3"/>
    <n v="2"/>
    <n v="0"/>
    <n v="2"/>
    <x v="0"/>
    <s v="Mid"/>
  </r>
  <r>
    <n v="44"/>
    <x v="1"/>
    <s v="Travel_Rarely"/>
    <n v="528"/>
    <x v="2"/>
    <n v="1"/>
    <n v="3"/>
    <s v="Life Sciences"/>
    <n v="1"/>
    <n v="1683"/>
    <n v="3"/>
    <x v="0"/>
    <n v="44"/>
    <n v="3"/>
    <n v="1"/>
    <x v="8"/>
    <n v="4"/>
    <s v="Divorced"/>
    <n v="3195"/>
    <n v="4167"/>
    <n v="4"/>
    <s v="Y"/>
    <x v="0"/>
    <n v="18"/>
    <n v="3"/>
    <n v="1"/>
    <n v="80"/>
    <n v="3"/>
    <n v="8"/>
    <n v="2"/>
    <n v="3"/>
    <n v="2"/>
    <n v="2"/>
    <n v="2"/>
    <n v="2"/>
    <x v="0"/>
    <s v="Mid"/>
  </r>
  <r>
    <n v="23"/>
    <x v="0"/>
    <s v="Travel_Rarely"/>
    <n v="1320"/>
    <x v="1"/>
    <n v="8"/>
    <n v="1"/>
    <s v="Medical"/>
    <n v="1"/>
    <n v="1684"/>
    <n v="4"/>
    <x v="1"/>
    <n v="93"/>
    <n v="2"/>
    <n v="1"/>
    <x v="2"/>
    <n v="3"/>
    <s v="Single"/>
    <n v="3989"/>
    <n v="20586"/>
    <n v="1"/>
    <s v="Y"/>
    <x v="0"/>
    <n v="11"/>
    <n v="3"/>
    <n v="1"/>
    <n v="80"/>
    <n v="0"/>
    <n v="5"/>
    <n v="2"/>
    <n v="3"/>
    <n v="5"/>
    <n v="4"/>
    <n v="1"/>
    <n v="2"/>
    <x v="3"/>
    <s v="Mid"/>
  </r>
  <r>
    <n v="38"/>
    <x v="1"/>
    <s v="Travel_Rarely"/>
    <n v="1495"/>
    <x v="1"/>
    <n v="4"/>
    <n v="2"/>
    <s v="Medical"/>
    <n v="1"/>
    <n v="1687"/>
    <n v="4"/>
    <x v="0"/>
    <n v="87"/>
    <n v="3"/>
    <n v="1"/>
    <x v="2"/>
    <n v="3"/>
    <s v="Married"/>
    <n v="3306"/>
    <n v="26176"/>
    <n v="7"/>
    <s v="Y"/>
    <x v="1"/>
    <n v="19"/>
    <n v="3"/>
    <n v="4"/>
    <n v="80"/>
    <n v="1"/>
    <n v="7"/>
    <n v="5"/>
    <n v="2"/>
    <n v="0"/>
    <n v="0"/>
    <n v="0"/>
    <n v="0"/>
    <x v="0"/>
    <s v="Mid"/>
  </r>
  <r>
    <n v="53"/>
    <x v="1"/>
    <s v="Travel_Rarely"/>
    <n v="1395"/>
    <x v="1"/>
    <n v="24"/>
    <n v="4"/>
    <s v="Medical"/>
    <n v="1"/>
    <n v="1689"/>
    <n v="2"/>
    <x v="1"/>
    <n v="48"/>
    <n v="4"/>
    <n v="3"/>
    <x v="4"/>
    <n v="4"/>
    <s v="Married"/>
    <n v="7005"/>
    <n v="3458"/>
    <n v="3"/>
    <s v="Y"/>
    <x v="1"/>
    <n v="15"/>
    <n v="3"/>
    <n v="3"/>
    <n v="80"/>
    <n v="0"/>
    <n v="11"/>
    <n v="2"/>
    <n v="3"/>
    <n v="4"/>
    <n v="3"/>
    <n v="1"/>
    <n v="2"/>
    <x v="1"/>
    <s v="High"/>
  </r>
  <r>
    <n v="48"/>
    <x v="0"/>
    <s v="Travel_Frequently"/>
    <n v="708"/>
    <x v="0"/>
    <n v="7"/>
    <n v="2"/>
    <s v="Medical"/>
    <n v="1"/>
    <n v="1691"/>
    <n v="4"/>
    <x v="0"/>
    <n v="95"/>
    <n v="3"/>
    <n v="1"/>
    <x v="6"/>
    <n v="3"/>
    <s v="Married"/>
    <n v="2655"/>
    <n v="11740"/>
    <n v="2"/>
    <s v="Y"/>
    <x v="0"/>
    <n v="11"/>
    <n v="3"/>
    <n v="3"/>
    <n v="80"/>
    <n v="2"/>
    <n v="19"/>
    <n v="3"/>
    <n v="3"/>
    <n v="9"/>
    <n v="7"/>
    <n v="7"/>
    <n v="7"/>
    <x v="1"/>
    <s v="Low"/>
  </r>
  <r>
    <n v="32"/>
    <x v="0"/>
    <s v="Travel_Rarely"/>
    <n v="1259"/>
    <x v="1"/>
    <n v="2"/>
    <n v="4"/>
    <s v="Life Sciences"/>
    <n v="1"/>
    <n v="1692"/>
    <n v="4"/>
    <x v="1"/>
    <n v="95"/>
    <n v="3"/>
    <n v="1"/>
    <x v="2"/>
    <n v="2"/>
    <s v="Single"/>
    <n v="1393"/>
    <n v="24852"/>
    <n v="1"/>
    <s v="Y"/>
    <x v="1"/>
    <n v="12"/>
    <n v="3"/>
    <n v="1"/>
    <n v="80"/>
    <n v="0"/>
    <n v="1"/>
    <n v="2"/>
    <n v="3"/>
    <n v="1"/>
    <n v="0"/>
    <n v="0"/>
    <n v="0"/>
    <x v="2"/>
    <s v="Low"/>
  </r>
  <r>
    <n v="26"/>
    <x v="1"/>
    <s v="Non-Travel"/>
    <n v="786"/>
    <x v="1"/>
    <n v="7"/>
    <n v="3"/>
    <s v="Medical"/>
    <n v="1"/>
    <n v="1693"/>
    <n v="4"/>
    <x v="1"/>
    <n v="76"/>
    <n v="3"/>
    <n v="1"/>
    <x v="2"/>
    <n v="4"/>
    <s v="Single"/>
    <n v="2570"/>
    <n v="11925"/>
    <n v="1"/>
    <s v="Y"/>
    <x v="1"/>
    <n v="20"/>
    <n v="4"/>
    <n v="3"/>
    <n v="80"/>
    <n v="0"/>
    <n v="7"/>
    <n v="5"/>
    <n v="3"/>
    <n v="7"/>
    <n v="7"/>
    <n v="5"/>
    <n v="7"/>
    <x v="2"/>
    <s v="Low"/>
  </r>
  <r>
    <n v="55"/>
    <x v="1"/>
    <s v="Travel_Rarely"/>
    <n v="1441"/>
    <x v="1"/>
    <n v="22"/>
    <n v="3"/>
    <s v="Technical Degree"/>
    <n v="1"/>
    <n v="1694"/>
    <n v="1"/>
    <x v="1"/>
    <n v="94"/>
    <n v="2"/>
    <n v="1"/>
    <x v="1"/>
    <n v="2"/>
    <s v="Divorced"/>
    <n v="3537"/>
    <n v="23737"/>
    <n v="5"/>
    <s v="Y"/>
    <x v="1"/>
    <n v="12"/>
    <n v="3"/>
    <n v="4"/>
    <n v="80"/>
    <n v="1"/>
    <n v="8"/>
    <n v="1"/>
    <n v="3"/>
    <n v="4"/>
    <n v="2"/>
    <n v="1"/>
    <n v="2"/>
    <x v="1"/>
    <s v="Mid"/>
  </r>
  <r>
    <n v="34"/>
    <x v="1"/>
    <s v="Travel_Rarely"/>
    <n v="1157"/>
    <x v="1"/>
    <n v="5"/>
    <n v="2"/>
    <s v="Medical"/>
    <n v="1"/>
    <n v="1696"/>
    <n v="2"/>
    <x v="1"/>
    <n v="57"/>
    <n v="2"/>
    <n v="2"/>
    <x v="2"/>
    <n v="4"/>
    <s v="Married"/>
    <n v="3986"/>
    <n v="11912"/>
    <n v="1"/>
    <s v="Y"/>
    <x v="1"/>
    <n v="14"/>
    <n v="3"/>
    <n v="3"/>
    <n v="80"/>
    <n v="1"/>
    <n v="15"/>
    <n v="3"/>
    <n v="4"/>
    <n v="15"/>
    <n v="10"/>
    <n v="4"/>
    <n v="13"/>
    <x v="2"/>
    <s v="Mid"/>
  </r>
  <r>
    <n v="60"/>
    <x v="1"/>
    <s v="Travel_Rarely"/>
    <n v="370"/>
    <x v="1"/>
    <n v="1"/>
    <n v="4"/>
    <s v="Medical"/>
    <n v="1"/>
    <n v="1697"/>
    <n v="3"/>
    <x v="1"/>
    <n v="92"/>
    <n v="1"/>
    <n v="3"/>
    <x v="4"/>
    <n v="4"/>
    <s v="Divorced"/>
    <n v="10883"/>
    <n v="20467"/>
    <n v="3"/>
    <s v="Y"/>
    <x v="1"/>
    <n v="20"/>
    <n v="4"/>
    <n v="3"/>
    <n v="80"/>
    <n v="1"/>
    <n v="19"/>
    <n v="2"/>
    <n v="4"/>
    <n v="1"/>
    <n v="0"/>
    <n v="0"/>
    <n v="0"/>
    <x v="1"/>
    <s v="High"/>
  </r>
  <r>
    <n v="33"/>
    <x v="1"/>
    <s v="Travel_Rarely"/>
    <n v="267"/>
    <x v="1"/>
    <n v="21"/>
    <n v="3"/>
    <s v="Medical"/>
    <n v="1"/>
    <n v="1698"/>
    <n v="2"/>
    <x v="1"/>
    <n v="79"/>
    <n v="4"/>
    <n v="1"/>
    <x v="2"/>
    <n v="2"/>
    <s v="Married"/>
    <n v="2028"/>
    <n v="13637"/>
    <n v="1"/>
    <s v="Y"/>
    <x v="1"/>
    <n v="18"/>
    <n v="3"/>
    <n v="4"/>
    <n v="80"/>
    <n v="3"/>
    <n v="14"/>
    <n v="6"/>
    <n v="3"/>
    <n v="14"/>
    <n v="11"/>
    <n v="2"/>
    <n v="13"/>
    <x v="2"/>
    <s v="Low"/>
  </r>
  <r>
    <n v="37"/>
    <x v="1"/>
    <s v="Travel_Frequently"/>
    <n v="1278"/>
    <x v="0"/>
    <n v="1"/>
    <n v="4"/>
    <s v="Medical"/>
    <n v="1"/>
    <n v="1700"/>
    <n v="3"/>
    <x v="1"/>
    <n v="31"/>
    <n v="1"/>
    <n v="2"/>
    <x v="0"/>
    <n v="4"/>
    <s v="Divorced"/>
    <n v="9525"/>
    <n v="7677"/>
    <n v="1"/>
    <s v="Y"/>
    <x v="1"/>
    <n v="14"/>
    <n v="3"/>
    <n v="3"/>
    <n v="80"/>
    <n v="2"/>
    <n v="6"/>
    <n v="2"/>
    <n v="2"/>
    <n v="6"/>
    <n v="3"/>
    <n v="1"/>
    <n v="3"/>
    <x v="0"/>
    <s v="High"/>
  </r>
  <r>
    <n v="34"/>
    <x v="1"/>
    <s v="Travel_Rarely"/>
    <n v="678"/>
    <x v="1"/>
    <n v="19"/>
    <n v="3"/>
    <s v="Life Sciences"/>
    <n v="1"/>
    <n v="1701"/>
    <n v="2"/>
    <x v="0"/>
    <n v="35"/>
    <n v="2"/>
    <n v="1"/>
    <x v="1"/>
    <n v="4"/>
    <s v="Married"/>
    <n v="2929"/>
    <n v="20338"/>
    <n v="1"/>
    <s v="Y"/>
    <x v="1"/>
    <n v="12"/>
    <n v="3"/>
    <n v="2"/>
    <n v="80"/>
    <n v="0"/>
    <n v="10"/>
    <n v="3"/>
    <n v="3"/>
    <n v="10"/>
    <n v="9"/>
    <n v="8"/>
    <n v="7"/>
    <x v="2"/>
    <s v="Low"/>
  </r>
  <r>
    <n v="23"/>
    <x v="0"/>
    <s v="Travel_Rarely"/>
    <n v="427"/>
    <x v="0"/>
    <n v="7"/>
    <n v="3"/>
    <s v="Life Sciences"/>
    <n v="1"/>
    <n v="1702"/>
    <n v="3"/>
    <x v="1"/>
    <n v="99"/>
    <n v="3"/>
    <n v="1"/>
    <x v="6"/>
    <n v="4"/>
    <s v="Divorced"/>
    <n v="2275"/>
    <n v="25103"/>
    <n v="1"/>
    <s v="Y"/>
    <x v="0"/>
    <n v="21"/>
    <n v="4"/>
    <n v="2"/>
    <n v="80"/>
    <n v="1"/>
    <n v="3"/>
    <n v="2"/>
    <n v="3"/>
    <n v="3"/>
    <n v="2"/>
    <n v="0"/>
    <n v="2"/>
    <x v="3"/>
    <s v="Low"/>
  </r>
  <r>
    <n v="44"/>
    <x v="1"/>
    <s v="Travel_Rarely"/>
    <n v="921"/>
    <x v="1"/>
    <n v="2"/>
    <n v="3"/>
    <s v="Life Sciences"/>
    <n v="1"/>
    <n v="1703"/>
    <n v="3"/>
    <x v="0"/>
    <n v="96"/>
    <n v="4"/>
    <n v="3"/>
    <x v="4"/>
    <n v="4"/>
    <s v="Married"/>
    <n v="7879"/>
    <n v="14810"/>
    <n v="1"/>
    <s v="Y"/>
    <x v="0"/>
    <n v="19"/>
    <n v="3"/>
    <n v="2"/>
    <n v="80"/>
    <n v="1"/>
    <n v="9"/>
    <n v="2"/>
    <n v="3"/>
    <n v="8"/>
    <n v="7"/>
    <n v="6"/>
    <n v="7"/>
    <x v="0"/>
    <s v="High"/>
  </r>
  <r>
    <n v="35"/>
    <x v="1"/>
    <s v="Travel_Frequently"/>
    <n v="146"/>
    <x v="1"/>
    <n v="2"/>
    <n v="4"/>
    <s v="Medical"/>
    <n v="1"/>
    <n v="1704"/>
    <n v="1"/>
    <x v="1"/>
    <n v="79"/>
    <n v="2"/>
    <n v="1"/>
    <x v="1"/>
    <n v="4"/>
    <s v="Single"/>
    <n v="4930"/>
    <n v="13970"/>
    <n v="0"/>
    <s v="Y"/>
    <x v="0"/>
    <n v="14"/>
    <n v="3"/>
    <n v="3"/>
    <n v="80"/>
    <n v="0"/>
    <n v="6"/>
    <n v="2"/>
    <n v="4"/>
    <n v="5"/>
    <n v="4"/>
    <n v="1"/>
    <n v="4"/>
    <x v="2"/>
    <s v="Mid"/>
  </r>
  <r>
    <n v="43"/>
    <x v="1"/>
    <s v="Travel_Rarely"/>
    <n v="1179"/>
    <x v="0"/>
    <n v="2"/>
    <n v="3"/>
    <s v="Medical"/>
    <n v="1"/>
    <n v="1706"/>
    <n v="4"/>
    <x v="1"/>
    <n v="73"/>
    <n v="3"/>
    <n v="2"/>
    <x v="0"/>
    <n v="4"/>
    <s v="Married"/>
    <n v="7847"/>
    <n v="6069"/>
    <n v="1"/>
    <s v="Y"/>
    <x v="0"/>
    <n v="17"/>
    <n v="3"/>
    <n v="1"/>
    <n v="80"/>
    <n v="1"/>
    <n v="10"/>
    <n v="3"/>
    <n v="3"/>
    <n v="10"/>
    <n v="9"/>
    <n v="8"/>
    <n v="8"/>
    <x v="0"/>
    <s v="High"/>
  </r>
  <r>
    <n v="24"/>
    <x v="1"/>
    <s v="Travel_Rarely"/>
    <n v="581"/>
    <x v="1"/>
    <n v="9"/>
    <n v="3"/>
    <s v="Medical"/>
    <n v="1"/>
    <n v="1707"/>
    <n v="3"/>
    <x v="1"/>
    <n v="62"/>
    <n v="4"/>
    <n v="1"/>
    <x v="1"/>
    <n v="3"/>
    <s v="Married"/>
    <n v="4401"/>
    <n v="17616"/>
    <n v="1"/>
    <s v="Y"/>
    <x v="1"/>
    <n v="16"/>
    <n v="3"/>
    <n v="4"/>
    <n v="80"/>
    <n v="1"/>
    <n v="5"/>
    <n v="1"/>
    <n v="3"/>
    <n v="5"/>
    <n v="3"/>
    <n v="0"/>
    <n v="4"/>
    <x v="3"/>
    <s v="Mid"/>
  </r>
  <r>
    <n v="41"/>
    <x v="1"/>
    <s v="Travel_Rarely"/>
    <n v="918"/>
    <x v="0"/>
    <n v="6"/>
    <n v="3"/>
    <s v="Marketing"/>
    <n v="1"/>
    <n v="1708"/>
    <n v="4"/>
    <x v="1"/>
    <n v="35"/>
    <n v="3"/>
    <n v="3"/>
    <x v="0"/>
    <n v="3"/>
    <s v="Single"/>
    <n v="9241"/>
    <n v="15869"/>
    <n v="1"/>
    <s v="Y"/>
    <x v="1"/>
    <n v="12"/>
    <n v="3"/>
    <n v="2"/>
    <n v="80"/>
    <n v="0"/>
    <n v="10"/>
    <n v="3"/>
    <n v="3"/>
    <n v="10"/>
    <n v="8"/>
    <n v="8"/>
    <n v="7"/>
    <x v="0"/>
    <s v="High"/>
  </r>
  <r>
    <n v="29"/>
    <x v="1"/>
    <s v="Travel_Rarely"/>
    <n v="1082"/>
    <x v="1"/>
    <n v="9"/>
    <n v="4"/>
    <s v="Medical"/>
    <n v="1"/>
    <n v="1709"/>
    <n v="4"/>
    <x v="0"/>
    <n v="43"/>
    <n v="3"/>
    <n v="1"/>
    <x v="2"/>
    <n v="3"/>
    <s v="Married"/>
    <n v="2974"/>
    <n v="25412"/>
    <n v="9"/>
    <s v="Y"/>
    <x v="1"/>
    <n v="17"/>
    <n v="3"/>
    <n v="3"/>
    <n v="80"/>
    <n v="1"/>
    <n v="9"/>
    <n v="2"/>
    <n v="3"/>
    <n v="5"/>
    <n v="3"/>
    <n v="1"/>
    <n v="2"/>
    <x v="2"/>
    <s v="Low"/>
  </r>
  <r>
    <n v="36"/>
    <x v="1"/>
    <s v="Travel_Rarely"/>
    <n v="530"/>
    <x v="0"/>
    <n v="2"/>
    <n v="4"/>
    <s v="Life Sciences"/>
    <n v="1"/>
    <n v="1710"/>
    <n v="3"/>
    <x v="0"/>
    <n v="51"/>
    <n v="3"/>
    <n v="2"/>
    <x v="6"/>
    <n v="4"/>
    <s v="Single"/>
    <n v="4502"/>
    <n v="7439"/>
    <n v="3"/>
    <s v="Y"/>
    <x v="1"/>
    <n v="15"/>
    <n v="3"/>
    <n v="3"/>
    <n v="80"/>
    <n v="0"/>
    <n v="17"/>
    <n v="2"/>
    <n v="2"/>
    <n v="13"/>
    <n v="7"/>
    <n v="6"/>
    <n v="7"/>
    <x v="0"/>
    <s v="Mid"/>
  </r>
  <r>
    <n v="45"/>
    <x v="1"/>
    <s v="Non-Travel"/>
    <n v="1238"/>
    <x v="1"/>
    <n v="1"/>
    <n v="1"/>
    <s v="Life Sciences"/>
    <n v="1"/>
    <n v="1712"/>
    <n v="3"/>
    <x v="1"/>
    <n v="74"/>
    <n v="2"/>
    <n v="3"/>
    <x v="4"/>
    <n v="3"/>
    <s v="Married"/>
    <n v="10748"/>
    <n v="3395"/>
    <n v="3"/>
    <s v="Y"/>
    <x v="1"/>
    <n v="23"/>
    <n v="4"/>
    <n v="4"/>
    <n v="80"/>
    <n v="1"/>
    <n v="25"/>
    <n v="3"/>
    <n v="2"/>
    <n v="23"/>
    <n v="15"/>
    <n v="14"/>
    <n v="4"/>
    <x v="0"/>
    <s v="High"/>
  </r>
  <r>
    <n v="24"/>
    <x v="0"/>
    <s v="Travel_Rarely"/>
    <n v="240"/>
    <x v="2"/>
    <n v="22"/>
    <n v="1"/>
    <s v="Human Resources"/>
    <n v="1"/>
    <n v="1714"/>
    <n v="4"/>
    <x v="1"/>
    <n v="58"/>
    <n v="1"/>
    <n v="1"/>
    <x v="8"/>
    <n v="3"/>
    <s v="Married"/>
    <n v="1555"/>
    <n v="11585"/>
    <n v="1"/>
    <s v="Y"/>
    <x v="1"/>
    <n v="11"/>
    <n v="3"/>
    <n v="3"/>
    <n v="80"/>
    <n v="1"/>
    <n v="1"/>
    <n v="2"/>
    <n v="3"/>
    <n v="1"/>
    <n v="0"/>
    <n v="0"/>
    <n v="0"/>
    <x v="3"/>
    <s v="Low"/>
  </r>
  <r>
    <n v="47"/>
    <x v="0"/>
    <s v="Travel_Frequently"/>
    <n v="1093"/>
    <x v="0"/>
    <n v="9"/>
    <n v="3"/>
    <s v="Life Sciences"/>
    <n v="1"/>
    <n v="1716"/>
    <n v="3"/>
    <x v="1"/>
    <n v="82"/>
    <n v="1"/>
    <n v="4"/>
    <x v="0"/>
    <n v="3"/>
    <s v="Married"/>
    <n v="12936"/>
    <n v="24164"/>
    <n v="7"/>
    <s v="Y"/>
    <x v="1"/>
    <n v="11"/>
    <n v="3"/>
    <n v="3"/>
    <n v="80"/>
    <n v="0"/>
    <n v="25"/>
    <n v="3"/>
    <n v="1"/>
    <n v="23"/>
    <n v="5"/>
    <n v="14"/>
    <n v="10"/>
    <x v="1"/>
    <s v="Top"/>
  </r>
  <r>
    <n v="26"/>
    <x v="1"/>
    <s v="Travel_Rarely"/>
    <n v="390"/>
    <x v="1"/>
    <n v="17"/>
    <n v="4"/>
    <s v="Medical"/>
    <n v="1"/>
    <n v="1718"/>
    <n v="4"/>
    <x v="1"/>
    <n v="62"/>
    <n v="1"/>
    <n v="1"/>
    <x v="2"/>
    <n v="3"/>
    <s v="Married"/>
    <n v="2305"/>
    <n v="6217"/>
    <n v="1"/>
    <s v="Y"/>
    <x v="1"/>
    <n v="15"/>
    <n v="3"/>
    <n v="3"/>
    <n v="80"/>
    <n v="3"/>
    <n v="3"/>
    <n v="3"/>
    <n v="4"/>
    <n v="3"/>
    <n v="2"/>
    <n v="0"/>
    <n v="2"/>
    <x v="2"/>
    <s v="Low"/>
  </r>
  <r>
    <n v="45"/>
    <x v="1"/>
    <s v="Travel_Rarely"/>
    <n v="1005"/>
    <x v="1"/>
    <n v="28"/>
    <n v="2"/>
    <s v="Technical Degree"/>
    <n v="1"/>
    <n v="1719"/>
    <n v="4"/>
    <x v="0"/>
    <n v="48"/>
    <n v="2"/>
    <n v="4"/>
    <x v="7"/>
    <n v="2"/>
    <s v="Single"/>
    <n v="16704"/>
    <n v="17119"/>
    <n v="1"/>
    <s v="Y"/>
    <x v="1"/>
    <n v="11"/>
    <n v="3"/>
    <n v="3"/>
    <n v="80"/>
    <n v="0"/>
    <n v="21"/>
    <n v="2"/>
    <n v="3"/>
    <n v="21"/>
    <n v="6"/>
    <n v="8"/>
    <n v="6"/>
    <x v="0"/>
    <s v="Top"/>
  </r>
  <r>
    <n v="32"/>
    <x v="1"/>
    <s v="Travel_Frequently"/>
    <n v="585"/>
    <x v="1"/>
    <n v="10"/>
    <n v="3"/>
    <s v="Life Sciences"/>
    <n v="1"/>
    <n v="1720"/>
    <n v="1"/>
    <x v="1"/>
    <n v="56"/>
    <n v="3"/>
    <n v="1"/>
    <x v="1"/>
    <n v="3"/>
    <s v="Married"/>
    <n v="3433"/>
    <n v="17360"/>
    <n v="6"/>
    <s v="Y"/>
    <x v="1"/>
    <n v="13"/>
    <n v="3"/>
    <n v="1"/>
    <n v="80"/>
    <n v="1"/>
    <n v="10"/>
    <n v="3"/>
    <n v="2"/>
    <n v="5"/>
    <n v="2"/>
    <n v="1"/>
    <n v="3"/>
    <x v="2"/>
    <s v="Mid"/>
  </r>
  <r>
    <n v="31"/>
    <x v="1"/>
    <s v="Travel_Rarely"/>
    <n v="741"/>
    <x v="1"/>
    <n v="2"/>
    <n v="4"/>
    <s v="Life Sciences"/>
    <n v="1"/>
    <n v="1721"/>
    <n v="2"/>
    <x v="1"/>
    <n v="69"/>
    <n v="3"/>
    <n v="1"/>
    <x v="2"/>
    <n v="3"/>
    <s v="Married"/>
    <n v="3477"/>
    <n v="18103"/>
    <n v="1"/>
    <s v="Y"/>
    <x v="1"/>
    <n v="14"/>
    <n v="3"/>
    <n v="4"/>
    <n v="80"/>
    <n v="1"/>
    <n v="6"/>
    <n v="2"/>
    <n v="4"/>
    <n v="5"/>
    <n v="2"/>
    <n v="0"/>
    <n v="3"/>
    <x v="2"/>
    <s v="Mid"/>
  </r>
  <r>
    <n v="41"/>
    <x v="1"/>
    <s v="Non-Travel"/>
    <n v="552"/>
    <x v="2"/>
    <n v="4"/>
    <n v="3"/>
    <s v="Human Resources"/>
    <n v="1"/>
    <n v="1722"/>
    <n v="3"/>
    <x v="1"/>
    <n v="60"/>
    <n v="1"/>
    <n v="2"/>
    <x v="8"/>
    <n v="2"/>
    <s v="Married"/>
    <n v="6430"/>
    <n v="20794"/>
    <n v="6"/>
    <s v="Y"/>
    <x v="1"/>
    <n v="19"/>
    <n v="3"/>
    <n v="2"/>
    <n v="80"/>
    <n v="1"/>
    <n v="10"/>
    <n v="4"/>
    <n v="3"/>
    <n v="3"/>
    <n v="2"/>
    <n v="1"/>
    <n v="2"/>
    <x v="0"/>
    <s v="Mid"/>
  </r>
  <r>
    <n v="40"/>
    <x v="1"/>
    <s v="Travel_Rarely"/>
    <n v="369"/>
    <x v="1"/>
    <n v="8"/>
    <n v="2"/>
    <s v="Life Sciences"/>
    <n v="1"/>
    <n v="1724"/>
    <n v="2"/>
    <x v="0"/>
    <n v="92"/>
    <n v="3"/>
    <n v="2"/>
    <x v="3"/>
    <n v="1"/>
    <s v="Married"/>
    <n v="6516"/>
    <n v="5041"/>
    <n v="2"/>
    <s v="Y"/>
    <x v="0"/>
    <n v="16"/>
    <n v="3"/>
    <n v="2"/>
    <n v="80"/>
    <n v="1"/>
    <n v="18"/>
    <n v="3"/>
    <n v="3"/>
    <n v="1"/>
    <n v="0"/>
    <n v="0"/>
    <n v="0"/>
    <x v="0"/>
    <s v="Mid"/>
  </r>
  <r>
    <n v="24"/>
    <x v="1"/>
    <s v="Travel_Rarely"/>
    <n v="506"/>
    <x v="1"/>
    <n v="29"/>
    <n v="1"/>
    <s v="Medical"/>
    <n v="1"/>
    <n v="1725"/>
    <n v="2"/>
    <x v="1"/>
    <n v="91"/>
    <n v="3"/>
    <n v="1"/>
    <x v="2"/>
    <n v="1"/>
    <s v="Divorced"/>
    <n v="3907"/>
    <n v="3622"/>
    <n v="1"/>
    <s v="Y"/>
    <x v="1"/>
    <n v="13"/>
    <n v="3"/>
    <n v="2"/>
    <n v="80"/>
    <n v="3"/>
    <n v="6"/>
    <n v="2"/>
    <n v="4"/>
    <n v="6"/>
    <n v="2"/>
    <n v="1"/>
    <n v="2"/>
    <x v="3"/>
    <s v="Mid"/>
  </r>
  <r>
    <n v="46"/>
    <x v="1"/>
    <s v="Travel_Rarely"/>
    <n v="717"/>
    <x v="1"/>
    <n v="13"/>
    <n v="4"/>
    <s v="Life Sciences"/>
    <n v="1"/>
    <n v="1727"/>
    <n v="3"/>
    <x v="1"/>
    <n v="34"/>
    <n v="3"/>
    <n v="2"/>
    <x v="4"/>
    <n v="2"/>
    <s v="Single"/>
    <n v="5562"/>
    <n v="9697"/>
    <n v="6"/>
    <s v="Y"/>
    <x v="1"/>
    <n v="14"/>
    <n v="3"/>
    <n v="4"/>
    <n v="80"/>
    <n v="0"/>
    <n v="19"/>
    <n v="3"/>
    <n v="3"/>
    <n v="10"/>
    <n v="7"/>
    <n v="0"/>
    <n v="9"/>
    <x v="1"/>
    <s v="Mid"/>
  </r>
  <r>
    <n v="35"/>
    <x v="1"/>
    <s v="Travel_Rarely"/>
    <n v="1370"/>
    <x v="1"/>
    <n v="27"/>
    <n v="4"/>
    <s v="Life Sciences"/>
    <n v="1"/>
    <n v="1728"/>
    <n v="4"/>
    <x v="1"/>
    <n v="49"/>
    <n v="3"/>
    <n v="2"/>
    <x v="3"/>
    <n v="3"/>
    <s v="Married"/>
    <n v="6883"/>
    <n v="5151"/>
    <n v="2"/>
    <s v="Y"/>
    <x v="1"/>
    <n v="16"/>
    <n v="3"/>
    <n v="2"/>
    <n v="80"/>
    <n v="1"/>
    <n v="17"/>
    <n v="3"/>
    <n v="3"/>
    <n v="7"/>
    <n v="7"/>
    <n v="0"/>
    <n v="7"/>
    <x v="2"/>
    <s v="Mid"/>
  </r>
  <r>
    <n v="30"/>
    <x v="1"/>
    <s v="Travel_Rarely"/>
    <n v="793"/>
    <x v="1"/>
    <n v="16"/>
    <n v="1"/>
    <s v="Life Sciences"/>
    <n v="1"/>
    <n v="1729"/>
    <n v="2"/>
    <x v="1"/>
    <n v="33"/>
    <n v="3"/>
    <n v="1"/>
    <x v="1"/>
    <n v="4"/>
    <s v="Married"/>
    <n v="2862"/>
    <n v="3811"/>
    <n v="1"/>
    <s v="Y"/>
    <x v="1"/>
    <n v="12"/>
    <n v="3"/>
    <n v="2"/>
    <n v="80"/>
    <n v="1"/>
    <n v="10"/>
    <n v="2"/>
    <n v="2"/>
    <n v="10"/>
    <n v="0"/>
    <n v="0"/>
    <n v="8"/>
    <x v="2"/>
    <s v="Low"/>
  </r>
  <r>
    <n v="47"/>
    <x v="1"/>
    <s v="Non-Travel"/>
    <n v="543"/>
    <x v="0"/>
    <n v="2"/>
    <n v="4"/>
    <s v="Marketing"/>
    <n v="1"/>
    <n v="1731"/>
    <n v="3"/>
    <x v="1"/>
    <n v="87"/>
    <n v="3"/>
    <n v="2"/>
    <x v="0"/>
    <n v="2"/>
    <s v="Married"/>
    <n v="4978"/>
    <n v="3536"/>
    <n v="7"/>
    <s v="Y"/>
    <x v="1"/>
    <n v="11"/>
    <n v="3"/>
    <n v="4"/>
    <n v="80"/>
    <n v="1"/>
    <n v="4"/>
    <n v="3"/>
    <n v="1"/>
    <n v="1"/>
    <n v="0"/>
    <n v="0"/>
    <n v="0"/>
    <x v="1"/>
    <s v="Mid"/>
  </r>
  <r>
    <n v="46"/>
    <x v="1"/>
    <s v="Travel_Rarely"/>
    <n v="1277"/>
    <x v="0"/>
    <n v="2"/>
    <n v="3"/>
    <s v="Life Sciences"/>
    <n v="1"/>
    <n v="1732"/>
    <n v="3"/>
    <x v="1"/>
    <n v="74"/>
    <n v="3"/>
    <n v="3"/>
    <x v="0"/>
    <n v="4"/>
    <s v="Divorced"/>
    <n v="10368"/>
    <n v="5596"/>
    <n v="4"/>
    <s v="Y"/>
    <x v="0"/>
    <n v="12"/>
    <n v="3"/>
    <n v="2"/>
    <n v="80"/>
    <n v="1"/>
    <n v="13"/>
    <n v="5"/>
    <n v="2"/>
    <n v="10"/>
    <n v="6"/>
    <n v="0"/>
    <n v="3"/>
    <x v="1"/>
    <s v="High"/>
  </r>
  <r>
    <n v="36"/>
    <x v="0"/>
    <s v="Travel_Rarely"/>
    <n v="1456"/>
    <x v="0"/>
    <n v="13"/>
    <n v="5"/>
    <s v="Marketing"/>
    <n v="1"/>
    <n v="1733"/>
    <n v="2"/>
    <x v="1"/>
    <n v="96"/>
    <n v="2"/>
    <n v="2"/>
    <x v="0"/>
    <n v="1"/>
    <s v="Divorced"/>
    <n v="6134"/>
    <n v="8658"/>
    <n v="5"/>
    <s v="Y"/>
    <x v="0"/>
    <n v="13"/>
    <n v="3"/>
    <n v="2"/>
    <n v="80"/>
    <n v="3"/>
    <n v="16"/>
    <n v="3"/>
    <n v="3"/>
    <n v="2"/>
    <n v="2"/>
    <n v="2"/>
    <n v="2"/>
    <x v="0"/>
    <s v="Mid"/>
  </r>
  <r>
    <n v="32"/>
    <x v="0"/>
    <s v="Travel_Rarely"/>
    <n v="964"/>
    <x v="0"/>
    <n v="1"/>
    <n v="2"/>
    <s v="Life Sciences"/>
    <n v="1"/>
    <n v="1734"/>
    <n v="1"/>
    <x v="1"/>
    <n v="34"/>
    <n v="1"/>
    <n v="2"/>
    <x v="0"/>
    <n v="2"/>
    <s v="Single"/>
    <n v="6735"/>
    <n v="12147"/>
    <n v="6"/>
    <s v="Y"/>
    <x v="1"/>
    <n v="15"/>
    <n v="3"/>
    <n v="2"/>
    <n v="80"/>
    <n v="0"/>
    <n v="10"/>
    <n v="2"/>
    <n v="3"/>
    <n v="0"/>
    <n v="0"/>
    <n v="0"/>
    <n v="0"/>
    <x v="2"/>
    <s v="Mid"/>
  </r>
  <r>
    <n v="23"/>
    <x v="1"/>
    <s v="Travel_Rarely"/>
    <n v="160"/>
    <x v="1"/>
    <n v="4"/>
    <n v="1"/>
    <s v="Medical"/>
    <n v="1"/>
    <n v="1735"/>
    <n v="3"/>
    <x v="0"/>
    <n v="51"/>
    <n v="3"/>
    <n v="1"/>
    <x v="2"/>
    <n v="2"/>
    <s v="Single"/>
    <n v="3295"/>
    <n v="12862"/>
    <n v="1"/>
    <s v="Y"/>
    <x v="1"/>
    <n v="13"/>
    <n v="3"/>
    <n v="3"/>
    <n v="80"/>
    <n v="0"/>
    <n v="3"/>
    <n v="3"/>
    <n v="1"/>
    <n v="3"/>
    <n v="2"/>
    <n v="1"/>
    <n v="2"/>
    <x v="3"/>
    <s v="Mid"/>
  </r>
  <r>
    <n v="31"/>
    <x v="1"/>
    <s v="Travel_Frequently"/>
    <n v="163"/>
    <x v="1"/>
    <n v="24"/>
    <n v="1"/>
    <s v="Technical Degree"/>
    <n v="1"/>
    <n v="1736"/>
    <n v="4"/>
    <x v="0"/>
    <n v="30"/>
    <n v="3"/>
    <n v="2"/>
    <x v="3"/>
    <n v="4"/>
    <s v="Single"/>
    <n v="5238"/>
    <n v="6670"/>
    <n v="2"/>
    <s v="Y"/>
    <x v="1"/>
    <n v="20"/>
    <n v="4"/>
    <n v="4"/>
    <n v="80"/>
    <n v="0"/>
    <n v="9"/>
    <n v="3"/>
    <n v="2"/>
    <n v="5"/>
    <n v="4"/>
    <n v="1"/>
    <n v="4"/>
    <x v="2"/>
    <s v="Mid"/>
  </r>
  <r>
    <n v="39"/>
    <x v="1"/>
    <s v="Non-Travel"/>
    <n v="792"/>
    <x v="1"/>
    <n v="1"/>
    <n v="3"/>
    <s v="Life Sciences"/>
    <n v="1"/>
    <n v="1737"/>
    <n v="4"/>
    <x v="1"/>
    <n v="77"/>
    <n v="3"/>
    <n v="2"/>
    <x v="2"/>
    <n v="4"/>
    <s v="Married"/>
    <n v="6472"/>
    <n v="8989"/>
    <n v="1"/>
    <s v="Y"/>
    <x v="0"/>
    <n v="15"/>
    <n v="3"/>
    <n v="4"/>
    <n v="80"/>
    <n v="1"/>
    <n v="9"/>
    <n v="2"/>
    <n v="3"/>
    <n v="9"/>
    <n v="8"/>
    <n v="5"/>
    <n v="8"/>
    <x v="0"/>
    <s v="Mid"/>
  </r>
  <r>
    <n v="32"/>
    <x v="1"/>
    <s v="Travel_Rarely"/>
    <n v="371"/>
    <x v="0"/>
    <n v="19"/>
    <n v="3"/>
    <s v="Life Sciences"/>
    <n v="1"/>
    <n v="1739"/>
    <n v="4"/>
    <x v="1"/>
    <n v="80"/>
    <n v="1"/>
    <n v="3"/>
    <x v="0"/>
    <n v="3"/>
    <s v="Married"/>
    <n v="9610"/>
    <n v="3840"/>
    <n v="3"/>
    <s v="Y"/>
    <x v="1"/>
    <n v="13"/>
    <n v="3"/>
    <n v="3"/>
    <n v="80"/>
    <n v="1"/>
    <n v="10"/>
    <n v="2"/>
    <n v="1"/>
    <n v="4"/>
    <n v="3"/>
    <n v="0"/>
    <n v="2"/>
    <x v="2"/>
    <s v="High"/>
  </r>
  <r>
    <n v="40"/>
    <x v="1"/>
    <s v="Travel_Rarely"/>
    <n v="611"/>
    <x v="0"/>
    <n v="7"/>
    <n v="4"/>
    <s v="Medical"/>
    <n v="1"/>
    <n v="1740"/>
    <n v="2"/>
    <x v="1"/>
    <n v="88"/>
    <n v="3"/>
    <n v="5"/>
    <x v="5"/>
    <n v="2"/>
    <s v="Single"/>
    <n v="19833"/>
    <n v="4349"/>
    <n v="1"/>
    <s v="Y"/>
    <x v="1"/>
    <n v="14"/>
    <n v="3"/>
    <n v="2"/>
    <n v="80"/>
    <n v="0"/>
    <n v="21"/>
    <n v="3"/>
    <n v="2"/>
    <n v="21"/>
    <n v="8"/>
    <n v="12"/>
    <n v="8"/>
    <x v="0"/>
    <s v="Top"/>
  </r>
  <r>
    <n v="45"/>
    <x v="1"/>
    <s v="Travel_Rarely"/>
    <n v="176"/>
    <x v="2"/>
    <n v="4"/>
    <n v="3"/>
    <s v="Life Sciences"/>
    <n v="1"/>
    <n v="1744"/>
    <n v="3"/>
    <x v="0"/>
    <n v="56"/>
    <n v="1"/>
    <n v="3"/>
    <x v="8"/>
    <n v="3"/>
    <s v="Married"/>
    <n v="9756"/>
    <n v="6595"/>
    <n v="4"/>
    <s v="Y"/>
    <x v="1"/>
    <n v="21"/>
    <n v="4"/>
    <n v="3"/>
    <n v="80"/>
    <n v="2"/>
    <n v="9"/>
    <n v="2"/>
    <n v="4"/>
    <n v="5"/>
    <n v="0"/>
    <n v="0"/>
    <n v="3"/>
    <x v="0"/>
    <s v="High"/>
  </r>
  <r>
    <n v="30"/>
    <x v="1"/>
    <s v="Travel_Frequently"/>
    <n v="1312"/>
    <x v="1"/>
    <n v="2"/>
    <n v="4"/>
    <s v="Technical Degree"/>
    <n v="1"/>
    <n v="1745"/>
    <n v="4"/>
    <x v="0"/>
    <n v="78"/>
    <n v="2"/>
    <n v="1"/>
    <x v="1"/>
    <n v="1"/>
    <s v="Single"/>
    <n v="4968"/>
    <n v="26427"/>
    <n v="0"/>
    <s v="Y"/>
    <x v="1"/>
    <n v="16"/>
    <n v="3"/>
    <n v="4"/>
    <n v="80"/>
    <n v="0"/>
    <n v="10"/>
    <n v="2"/>
    <n v="3"/>
    <n v="9"/>
    <n v="7"/>
    <n v="0"/>
    <n v="7"/>
    <x v="2"/>
    <s v="Mid"/>
  </r>
  <r>
    <n v="24"/>
    <x v="1"/>
    <s v="Travel_Frequently"/>
    <n v="897"/>
    <x v="2"/>
    <n v="10"/>
    <n v="3"/>
    <s v="Medical"/>
    <n v="1"/>
    <n v="1746"/>
    <n v="1"/>
    <x v="1"/>
    <n v="59"/>
    <n v="3"/>
    <n v="1"/>
    <x v="8"/>
    <n v="4"/>
    <s v="Married"/>
    <n v="2145"/>
    <n v="2097"/>
    <n v="0"/>
    <s v="Y"/>
    <x v="1"/>
    <n v="14"/>
    <n v="3"/>
    <n v="4"/>
    <n v="80"/>
    <n v="1"/>
    <n v="3"/>
    <n v="2"/>
    <n v="3"/>
    <n v="2"/>
    <n v="2"/>
    <n v="2"/>
    <n v="1"/>
    <x v="3"/>
    <s v="Low"/>
  </r>
  <r>
    <n v="30"/>
    <x v="0"/>
    <s v="Travel_Frequently"/>
    <n v="600"/>
    <x v="2"/>
    <n v="8"/>
    <n v="3"/>
    <s v="Human Resources"/>
    <n v="1"/>
    <n v="1747"/>
    <n v="3"/>
    <x v="0"/>
    <n v="66"/>
    <n v="2"/>
    <n v="1"/>
    <x v="8"/>
    <n v="4"/>
    <s v="Divorced"/>
    <n v="2180"/>
    <n v="9732"/>
    <n v="6"/>
    <s v="Y"/>
    <x v="1"/>
    <n v="11"/>
    <n v="3"/>
    <n v="3"/>
    <n v="80"/>
    <n v="1"/>
    <n v="6"/>
    <n v="0"/>
    <n v="2"/>
    <n v="4"/>
    <n v="2"/>
    <n v="1"/>
    <n v="2"/>
    <x v="2"/>
    <s v="Low"/>
  </r>
  <r>
    <n v="31"/>
    <x v="1"/>
    <s v="Travel_Rarely"/>
    <n v="1003"/>
    <x v="0"/>
    <n v="5"/>
    <n v="3"/>
    <s v="Technical Degree"/>
    <n v="1"/>
    <n v="1749"/>
    <n v="1"/>
    <x v="1"/>
    <n v="51"/>
    <n v="3"/>
    <n v="2"/>
    <x v="0"/>
    <n v="3"/>
    <s v="Married"/>
    <n v="8346"/>
    <n v="20943"/>
    <n v="1"/>
    <s v="Y"/>
    <x v="1"/>
    <n v="19"/>
    <n v="3"/>
    <n v="3"/>
    <n v="80"/>
    <n v="1"/>
    <n v="6"/>
    <n v="3"/>
    <n v="3"/>
    <n v="5"/>
    <n v="2"/>
    <n v="0"/>
    <n v="2"/>
    <x v="2"/>
    <s v="High"/>
  </r>
  <r>
    <n v="27"/>
    <x v="1"/>
    <s v="Travel_Rarely"/>
    <n v="1054"/>
    <x v="1"/>
    <n v="8"/>
    <n v="3"/>
    <s v="Medical"/>
    <n v="1"/>
    <n v="1751"/>
    <n v="3"/>
    <x v="0"/>
    <n v="67"/>
    <n v="3"/>
    <n v="1"/>
    <x v="1"/>
    <n v="4"/>
    <s v="Single"/>
    <n v="3445"/>
    <n v="6152"/>
    <n v="1"/>
    <s v="Y"/>
    <x v="1"/>
    <n v="11"/>
    <n v="3"/>
    <n v="3"/>
    <n v="80"/>
    <n v="0"/>
    <n v="6"/>
    <n v="5"/>
    <n v="2"/>
    <n v="6"/>
    <n v="2"/>
    <n v="1"/>
    <n v="4"/>
    <x v="2"/>
    <s v="Mid"/>
  </r>
  <r>
    <n v="29"/>
    <x v="0"/>
    <s v="Travel_Rarely"/>
    <n v="428"/>
    <x v="0"/>
    <n v="9"/>
    <n v="3"/>
    <s v="Marketing"/>
    <n v="1"/>
    <n v="1752"/>
    <n v="2"/>
    <x v="0"/>
    <n v="52"/>
    <n v="1"/>
    <n v="1"/>
    <x v="6"/>
    <n v="2"/>
    <s v="Single"/>
    <n v="2760"/>
    <n v="14630"/>
    <n v="1"/>
    <s v="Y"/>
    <x v="1"/>
    <n v="13"/>
    <n v="3"/>
    <n v="3"/>
    <n v="80"/>
    <n v="0"/>
    <n v="2"/>
    <n v="3"/>
    <n v="3"/>
    <n v="2"/>
    <n v="2"/>
    <n v="2"/>
    <n v="2"/>
    <x v="2"/>
    <s v="Low"/>
  </r>
  <r>
    <n v="29"/>
    <x v="1"/>
    <s v="Travel_Frequently"/>
    <n v="461"/>
    <x v="1"/>
    <n v="1"/>
    <n v="3"/>
    <s v="Life Sciences"/>
    <n v="1"/>
    <n v="1753"/>
    <n v="4"/>
    <x v="1"/>
    <n v="70"/>
    <n v="4"/>
    <n v="2"/>
    <x v="4"/>
    <n v="3"/>
    <s v="Single"/>
    <n v="6294"/>
    <n v="23060"/>
    <n v="8"/>
    <s v="Y"/>
    <x v="0"/>
    <n v="12"/>
    <n v="3"/>
    <n v="4"/>
    <n v="80"/>
    <n v="0"/>
    <n v="10"/>
    <n v="5"/>
    <n v="4"/>
    <n v="3"/>
    <n v="2"/>
    <n v="0"/>
    <n v="2"/>
    <x v="2"/>
    <s v="Mid"/>
  </r>
  <r>
    <n v="30"/>
    <x v="1"/>
    <s v="Travel_Rarely"/>
    <n v="979"/>
    <x v="0"/>
    <n v="15"/>
    <n v="2"/>
    <s v="Marketing"/>
    <n v="1"/>
    <n v="1754"/>
    <n v="3"/>
    <x v="1"/>
    <n v="94"/>
    <n v="2"/>
    <n v="3"/>
    <x v="0"/>
    <n v="1"/>
    <s v="Divorced"/>
    <n v="7140"/>
    <n v="3088"/>
    <n v="2"/>
    <s v="Y"/>
    <x v="1"/>
    <n v="11"/>
    <n v="3"/>
    <n v="1"/>
    <n v="80"/>
    <n v="1"/>
    <n v="12"/>
    <n v="2"/>
    <n v="3"/>
    <n v="7"/>
    <n v="7"/>
    <n v="1"/>
    <n v="7"/>
    <x v="2"/>
    <s v="High"/>
  </r>
  <r>
    <n v="34"/>
    <x v="1"/>
    <s v="Travel_Rarely"/>
    <n v="181"/>
    <x v="1"/>
    <n v="2"/>
    <n v="4"/>
    <s v="Medical"/>
    <n v="1"/>
    <n v="1755"/>
    <n v="4"/>
    <x v="1"/>
    <n v="97"/>
    <n v="4"/>
    <n v="1"/>
    <x v="1"/>
    <n v="4"/>
    <s v="Married"/>
    <n v="2932"/>
    <n v="5586"/>
    <n v="0"/>
    <s v="Y"/>
    <x v="0"/>
    <n v="14"/>
    <n v="3"/>
    <n v="1"/>
    <n v="80"/>
    <n v="3"/>
    <n v="6"/>
    <n v="3"/>
    <n v="3"/>
    <n v="5"/>
    <n v="0"/>
    <n v="1"/>
    <n v="2"/>
    <x v="2"/>
    <s v="Low"/>
  </r>
  <r>
    <n v="33"/>
    <x v="1"/>
    <s v="Non-Travel"/>
    <n v="1283"/>
    <x v="0"/>
    <n v="2"/>
    <n v="3"/>
    <s v="Marketing"/>
    <n v="1"/>
    <n v="1756"/>
    <n v="4"/>
    <x v="0"/>
    <n v="62"/>
    <n v="3"/>
    <n v="2"/>
    <x v="0"/>
    <n v="2"/>
    <s v="Single"/>
    <n v="5147"/>
    <n v="10697"/>
    <n v="8"/>
    <s v="Y"/>
    <x v="1"/>
    <n v="15"/>
    <n v="3"/>
    <n v="4"/>
    <n v="80"/>
    <n v="0"/>
    <n v="13"/>
    <n v="2"/>
    <n v="2"/>
    <n v="11"/>
    <n v="7"/>
    <n v="1"/>
    <n v="7"/>
    <x v="2"/>
    <s v="Mid"/>
  </r>
  <r>
    <n v="49"/>
    <x v="1"/>
    <s v="Travel_Rarely"/>
    <n v="1313"/>
    <x v="0"/>
    <n v="11"/>
    <n v="4"/>
    <s v="Marketing"/>
    <n v="1"/>
    <n v="1757"/>
    <n v="4"/>
    <x v="0"/>
    <n v="80"/>
    <n v="3"/>
    <n v="2"/>
    <x v="0"/>
    <n v="4"/>
    <s v="Single"/>
    <n v="4507"/>
    <n v="8191"/>
    <n v="3"/>
    <s v="Y"/>
    <x v="1"/>
    <n v="12"/>
    <n v="3"/>
    <n v="3"/>
    <n v="80"/>
    <n v="0"/>
    <n v="8"/>
    <n v="1"/>
    <n v="4"/>
    <n v="5"/>
    <n v="1"/>
    <n v="0"/>
    <n v="4"/>
    <x v="1"/>
    <s v="Mid"/>
  </r>
  <r>
    <n v="33"/>
    <x v="0"/>
    <s v="Travel_Rarely"/>
    <n v="211"/>
    <x v="0"/>
    <n v="16"/>
    <n v="3"/>
    <s v="Life Sciences"/>
    <n v="1"/>
    <n v="1758"/>
    <n v="1"/>
    <x v="0"/>
    <n v="74"/>
    <n v="3"/>
    <n v="3"/>
    <x v="0"/>
    <n v="1"/>
    <s v="Single"/>
    <n v="8564"/>
    <n v="10092"/>
    <n v="2"/>
    <s v="Y"/>
    <x v="0"/>
    <n v="20"/>
    <n v="4"/>
    <n v="3"/>
    <n v="80"/>
    <n v="0"/>
    <n v="11"/>
    <n v="2"/>
    <n v="2"/>
    <n v="0"/>
    <n v="0"/>
    <n v="0"/>
    <n v="0"/>
    <x v="2"/>
    <s v="High"/>
  </r>
  <r>
    <n v="38"/>
    <x v="1"/>
    <s v="Travel_Frequently"/>
    <n v="594"/>
    <x v="1"/>
    <n v="2"/>
    <n v="2"/>
    <s v="Medical"/>
    <n v="1"/>
    <n v="1760"/>
    <n v="3"/>
    <x v="0"/>
    <n v="75"/>
    <n v="2"/>
    <n v="1"/>
    <x v="2"/>
    <n v="2"/>
    <s v="Married"/>
    <n v="2468"/>
    <n v="15963"/>
    <n v="4"/>
    <s v="Y"/>
    <x v="1"/>
    <n v="14"/>
    <n v="3"/>
    <n v="2"/>
    <n v="80"/>
    <n v="1"/>
    <n v="9"/>
    <n v="4"/>
    <n v="2"/>
    <n v="6"/>
    <n v="1"/>
    <n v="0"/>
    <n v="5"/>
    <x v="0"/>
    <s v="Low"/>
  </r>
  <r>
    <n v="31"/>
    <x v="0"/>
    <s v="Travel_Rarely"/>
    <n v="1079"/>
    <x v="0"/>
    <n v="16"/>
    <n v="4"/>
    <s v="Marketing"/>
    <n v="1"/>
    <n v="1761"/>
    <n v="1"/>
    <x v="1"/>
    <n v="70"/>
    <n v="3"/>
    <n v="3"/>
    <x v="0"/>
    <n v="3"/>
    <s v="Married"/>
    <n v="8161"/>
    <n v="19002"/>
    <n v="2"/>
    <s v="Y"/>
    <x v="1"/>
    <n v="13"/>
    <n v="3"/>
    <n v="1"/>
    <n v="80"/>
    <n v="3"/>
    <n v="10"/>
    <n v="2"/>
    <n v="3"/>
    <n v="1"/>
    <n v="0"/>
    <n v="0"/>
    <n v="0"/>
    <x v="2"/>
    <s v="High"/>
  </r>
  <r>
    <n v="29"/>
    <x v="1"/>
    <s v="Travel_Rarely"/>
    <n v="590"/>
    <x v="1"/>
    <n v="4"/>
    <n v="3"/>
    <s v="Technical Degree"/>
    <n v="1"/>
    <n v="1762"/>
    <n v="4"/>
    <x v="0"/>
    <n v="91"/>
    <n v="2"/>
    <n v="1"/>
    <x v="1"/>
    <n v="1"/>
    <s v="Divorced"/>
    <n v="2109"/>
    <n v="10007"/>
    <n v="1"/>
    <s v="Y"/>
    <x v="1"/>
    <n v="13"/>
    <n v="3"/>
    <n v="3"/>
    <n v="80"/>
    <n v="1"/>
    <n v="1"/>
    <n v="2"/>
    <n v="3"/>
    <n v="1"/>
    <n v="0"/>
    <n v="0"/>
    <n v="0"/>
    <x v="2"/>
    <s v="Low"/>
  </r>
  <r>
    <n v="30"/>
    <x v="1"/>
    <s v="Travel_Rarely"/>
    <n v="305"/>
    <x v="1"/>
    <n v="16"/>
    <n v="3"/>
    <s v="Life Sciences"/>
    <n v="1"/>
    <n v="1763"/>
    <n v="3"/>
    <x v="1"/>
    <n v="58"/>
    <n v="4"/>
    <n v="2"/>
    <x v="4"/>
    <n v="3"/>
    <s v="Married"/>
    <n v="5294"/>
    <n v="9128"/>
    <n v="3"/>
    <s v="Y"/>
    <x v="1"/>
    <n v="16"/>
    <n v="3"/>
    <n v="3"/>
    <n v="80"/>
    <n v="1"/>
    <n v="10"/>
    <n v="3"/>
    <n v="3"/>
    <n v="7"/>
    <n v="0"/>
    <n v="1"/>
    <n v="7"/>
    <x v="2"/>
    <s v="Mid"/>
  </r>
  <r>
    <n v="32"/>
    <x v="1"/>
    <s v="Non-Travel"/>
    <n v="953"/>
    <x v="1"/>
    <n v="5"/>
    <n v="4"/>
    <s v="Technical Degree"/>
    <n v="1"/>
    <n v="1764"/>
    <n v="2"/>
    <x v="1"/>
    <n v="65"/>
    <n v="3"/>
    <n v="1"/>
    <x v="1"/>
    <n v="2"/>
    <s v="Single"/>
    <n v="2718"/>
    <n v="17674"/>
    <n v="2"/>
    <s v="Y"/>
    <x v="1"/>
    <n v="14"/>
    <n v="3"/>
    <n v="2"/>
    <n v="80"/>
    <n v="0"/>
    <n v="12"/>
    <n v="3"/>
    <n v="3"/>
    <n v="7"/>
    <n v="7"/>
    <n v="0"/>
    <n v="7"/>
    <x v="2"/>
    <s v="Low"/>
  </r>
  <r>
    <n v="38"/>
    <x v="1"/>
    <s v="Travel_Rarely"/>
    <n v="833"/>
    <x v="1"/>
    <n v="18"/>
    <n v="3"/>
    <s v="Medical"/>
    <n v="1"/>
    <n v="1766"/>
    <n v="2"/>
    <x v="1"/>
    <n v="60"/>
    <n v="1"/>
    <n v="2"/>
    <x v="4"/>
    <n v="4"/>
    <s v="Married"/>
    <n v="5811"/>
    <n v="24539"/>
    <n v="3"/>
    <s v="Y"/>
    <x v="0"/>
    <n v="16"/>
    <n v="3"/>
    <n v="3"/>
    <n v="80"/>
    <n v="1"/>
    <n v="15"/>
    <n v="2"/>
    <n v="3"/>
    <n v="1"/>
    <n v="0"/>
    <n v="1"/>
    <n v="0"/>
    <x v="0"/>
    <s v="Mid"/>
  </r>
  <r>
    <n v="43"/>
    <x v="0"/>
    <s v="Travel_Frequently"/>
    <n v="807"/>
    <x v="1"/>
    <n v="17"/>
    <n v="3"/>
    <s v="Technical Degree"/>
    <n v="1"/>
    <n v="1767"/>
    <n v="3"/>
    <x v="1"/>
    <n v="38"/>
    <n v="2"/>
    <n v="1"/>
    <x v="1"/>
    <n v="3"/>
    <s v="Married"/>
    <n v="2437"/>
    <n v="15587"/>
    <n v="9"/>
    <s v="Y"/>
    <x v="0"/>
    <n v="16"/>
    <n v="3"/>
    <n v="4"/>
    <n v="80"/>
    <n v="1"/>
    <n v="6"/>
    <n v="4"/>
    <n v="3"/>
    <n v="1"/>
    <n v="0"/>
    <n v="0"/>
    <n v="0"/>
    <x v="0"/>
    <s v="Low"/>
  </r>
  <r>
    <n v="42"/>
    <x v="1"/>
    <s v="Travel_Rarely"/>
    <n v="855"/>
    <x v="1"/>
    <n v="12"/>
    <n v="3"/>
    <s v="Medical"/>
    <n v="1"/>
    <n v="1768"/>
    <n v="2"/>
    <x v="1"/>
    <n v="57"/>
    <n v="3"/>
    <n v="1"/>
    <x v="2"/>
    <n v="2"/>
    <s v="Divorced"/>
    <n v="2766"/>
    <n v="8952"/>
    <n v="8"/>
    <s v="Y"/>
    <x v="1"/>
    <n v="22"/>
    <n v="4"/>
    <n v="2"/>
    <n v="80"/>
    <n v="3"/>
    <n v="7"/>
    <n v="6"/>
    <n v="2"/>
    <n v="5"/>
    <n v="3"/>
    <n v="0"/>
    <n v="4"/>
    <x v="0"/>
    <s v="Low"/>
  </r>
  <r>
    <n v="55"/>
    <x v="1"/>
    <s v="Travel_Rarely"/>
    <n v="478"/>
    <x v="1"/>
    <n v="2"/>
    <n v="3"/>
    <s v="Medical"/>
    <n v="1"/>
    <n v="1770"/>
    <n v="3"/>
    <x v="1"/>
    <n v="60"/>
    <n v="2"/>
    <n v="5"/>
    <x v="7"/>
    <n v="1"/>
    <s v="Married"/>
    <n v="19038"/>
    <n v="19805"/>
    <n v="8"/>
    <s v="Y"/>
    <x v="1"/>
    <n v="12"/>
    <n v="3"/>
    <n v="2"/>
    <n v="80"/>
    <n v="3"/>
    <n v="34"/>
    <n v="2"/>
    <n v="3"/>
    <n v="1"/>
    <n v="0"/>
    <n v="0"/>
    <n v="0"/>
    <x v="1"/>
    <s v="Top"/>
  </r>
  <r>
    <n v="33"/>
    <x v="1"/>
    <s v="Non-Travel"/>
    <n v="775"/>
    <x v="1"/>
    <n v="4"/>
    <n v="3"/>
    <s v="Technical Degree"/>
    <n v="1"/>
    <n v="1771"/>
    <n v="4"/>
    <x v="1"/>
    <n v="90"/>
    <n v="3"/>
    <n v="2"/>
    <x v="1"/>
    <n v="2"/>
    <s v="Divorced"/>
    <n v="3055"/>
    <n v="6194"/>
    <n v="5"/>
    <s v="Y"/>
    <x v="1"/>
    <n v="15"/>
    <n v="3"/>
    <n v="4"/>
    <n v="80"/>
    <n v="2"/>
    <n v="11"/>
    <n v="2"/>
    <n v="2"/>
    <n v="9"/>
    <n v="8"/>
    <n v="1"/>
    <n v="7"/>
    <x v="2"/>
    <s v="Mid"/>
  </r>
  <r>
    <n v="41"/>
    <x v="1"/>
    <s v="Travel_Rarely"/>
    <n v="548"/>
    <x v="1"/>
    <n v="9"/>
    <n v="4"/>
    <s v="Life Sciences"/>
    <n v="1"/>
    <n v="1772"/>
    <n v="3"/>
    <x v="1"/>
    <n v="94"/>
    <n v="3"/>
    <n v="1"/>
    <x v="2"/>
    <n v="1"/>
    <s v="Divorced"/>
    <n v="2289"/>
    <n v="20520"/>
    <n v="1"/>
    <s v="Y"/>
    <x v="1"/>
    <n v="20"/>
    <n v="4"/>
    <n v="2"/>
    <n v="80"/>
    <n v="2"/>
    <n v="5"/>
    <n v="2"/>
    <n v="3"/>
    <n v="5"/>
    <n v="3"/>
    <n v="0"/>
    <n v="4"/>
    <x v="0"/>
    <s v="Low"/>
  </r>
  <r>
    <n v="34"/>
    <x v="1"/>
    <s v="Non-Travel"/>
    <n v="1375"/>
    <x v="0"/>
    <n v="10"/>
    <n v="3"/>
    <s v="Life Sciences"/>
    <n v="1"/>
    <n v="1774"/>
    <n v="4"/>
    <x v="1"/>
    <n v="87"/>
    <n v="3"/>
    <n v="2"/>
    <x v="0"/>
    <n v="3"/>
    <s v="Divorced"/>
    <n v="4001"/>
    <n v="12313"/>
    <n v="1"/>
    <s v="Y"/>
    <x v="0"/>
    <n v="14"/>
    <n v="3"/>
    <n v="3"/>
    <n v="80"/>
    <n v="1"/>
    <n v="15"/>
    <n v="3"/>
    <n v="3"/>
    <n v="15"/>
    <n v="14"/>
    <n v="0"/>
    <n v="7"/>
    <x v="2"/>
    <s v="Mid"/>
  </r>
  <r>
    <n v="53"/>
    <x v="1"/>
    <s v="Non-Travel"/>
    <n v="661"/>
    <x v="1"/>
    <n v="1"/>
    <n v="4"/>
    <s v="Medical"/>
    <n v="1"/>
    <n v="1775"/>
    <n v="1"/>
    <x v="0"/>
    <n v="60"/>
    <n v="2"/>
    <n v="4"/>
    <x v="3"/>
    <n v="3"/>
    <s v="Married"/>
    <n v="12965"/>
    <n v="22308"/>
    <n v="4"/>
    <s v="Y"/>
    <x v="0"/>
    <n v="20"/>
    <n v="4"/>
    <n v="4"/>
    <n v="80"/>
    <n v="3"/>
    <n v="27"/>
    <n v="2"/>
    <n v="2"/>
    <n v="3"/>
    <n v="2"/>
    <n v="0"/>
    <n v="2"/>
    <x v="1"/>
    <s v="Top"/>
  </r>
  <r>
    <n v="43"/>
    <x v="1"/>
    <s v="Travel_Rarely"/>
    <n v="244"/>
    <x v="2"/>
    <n v="2"/>
    <n v="3"/>
    <s v="Life Sciences"/>
    <n v="1"/>
    <n v="1778"/>
    <n v="2"/>
    <x v="1"/>
    <n v="97"/>
    <n v="3"/>
    <n v="1"/>
    <x v="8"/>
    <n v="4"/>
    <s v="Single"/>
    <n v="3539"/>
    <n v="5033"/>
    <n v="0"/>
    <s v="Y"/>
    <x v="1"/>
    <n v="13"/>
    <n v="3"/>
    <n v="2"/>
    <n v="80"/>
    <n v="0"/>
    <n v="10"/>
    <n v="5"/>
    <n v="3"/>
    <n v="9"/>
    <n v="7"/>
    <n v="1"/>
    <n v="8"/>
    <x v="0"/>
    <s v="Mid"/>
  </r>
  <r>
    <n v="34"/>
    <x v="1"/>
    <s v="Travel_Rarely"/>
    <n v="511"/>
    <x v="0"/>
    <n v="3"/>
    <n v="2"/>
    <s v="Life Sciences"/>
    <n v="1"/>
    <n v="1779"/>
    <n v="4"/>
    <x v="0"/>
    <n v="32"/>
    <n v="1"/>
    <n v="2"/>
    <x v="0"/>
    <n v="4"/>
    <s v="Single"/>
    <n v="6029"/>
    <n v="25353"/>
    <n v="5"/>
    <s v="Y"/>
    <x v="1"/>
    <n v="12"/>
    <n v="3"/>
    <n v="1"/>
    <n v="80"/>
    <n v="0"/>
    <n v="6"/>
    <n v="3"/>
    <n v="3"/>
    <n v="2"/>
    <n v="2"/>
    <n v="2"/>
    <n v="2"/>
    <x v="2"/>
    <s v="Mid"/>
  </r>
  <r>
    <n v="21"/>
    <x v="0"/>
    <s v="Travel_Rarely"/>
    <n v="337"/>
    <x v="0"/>
    <n v="7"/>
    <n v="1"/>
    <s v="Marketing"/>
    <n v="1"/>
    <n v="1780"/>
    <n v="2"/>
    <x v="1"/>
    <n v="31"/>
    <n v="3"/>
    <n v="1"/>
    <x v="6"/>
    <n v="2"/>
    <s v="Single"/>
    <n v="2679"/>
    <n v="4567"/>
    <n v="1"/>
    <s v="Y"/>
    <x v="1"/>
    <n v="13"/>
    <n v="3"/>
    <n v="2"/>
    <n v="80"/>
    <n v="0"/>
    <n v="1"/>
    <n v="3"/>
    <n v="3"/>
    <n v="1"/>
    <n v="0"/>
    <n v="1"/>
    <n v="0"/>
    <x v="3"/>
    <s v="Low"/>
  </r>
  <r>
    <n v="38"/>
    <x v="1"/>
    <s v="Travel_Rarely"/>
    <n v="1153"/>
    <x v="1"/>
    <n v="6"/>
    <n v="2"/>
    <s v="Other"/>
    <n v="1"/>
    <n v="1782"/>
    <n v="4"/>
    <x v="0"/>
    <n v="40"/>
    <n v="2"/>
    <n v="1"/>
    <x v="2"/>
    <n v="3"/>
    <s v="Married"/>
    <n v="3702"/>
    <n v="16376"/>
    <n v="1"/>
    <s v="Y"/>
    <x v="1"/>
    <n v="11"/>
    <n v="3"/>
    <n v="2"/>
    <n v="80"/>
    <n v="1"/>
    <n v="5"/>
    <n v="3"/>
    <n v="3"/>
    <n v="5"/>
    <n v="4"/>
    <n v="0"/>
    <n v="4"/>
    <x v="0"/>
    <s v="Mid"/>
  </r>
  <r>
    <n v="22"/>
    <x v="0"/>
    <s v="Travel_Rarely"/>
    <n v="1294"/>
    <x v="1"/>
    <n v="8"/>
    <n v="1"/>
    <s v="Medical"/>
    <n v="1"/>
    <n v="1783"/>
    <n v="3"/>
    <x v="0"/>
    <n v="79"/>
    <n v="3"/>
    <n v="1"/>
    <x v="2"/>
    <n v="1"/>
    <s v="Married"/>
    <n v="2398"/>
    <n v="15999"/>
    <n v="1"/>
    <s v="Y"/>
    <x v="0"/>
    <n v="17"/>
    <n v="3"/>
    <n v="3"/>
    <n v="80"/>
    <n v="0"/>
    <n v="1"/>
    <n v="6"/>
    <n v="3"/>
    <n v="1"/>
    <n v="0"/>
    <n v="0"/>
    <n v="0"/>
    <x v="3"/>
    <s v="Low"/>
  </r>
  <r>
    <n v="31"/>
    <x v="1"/>
    <s v="Travel_Rarely"/>
    <n v="196"/>
    <x v="0"/>
    <n v="29"/>
    <n v="4"/>
    <s v="Marketing"/>
    <n v="1"/>
    <n v="1784"/>
    <n v="1"/>
    <x v="0"/>
    <n v="91"/>
    <n v="2"/>
    <n v="2"/>
    <x v="0"/>
    <n v="4"/>
    <s v="Married"/>
    <n v="5468"/>
    <n v="13402"/>
    <n v="1"/>
    <s v="Y"/>
    <x v="1"/>
    <n v="14"/>
    <n v="3"/>
    <n v="1"/>
    <n v="80"/>
    <n v="2"/>
    <n v="13"/>
    <n v="3"/>
    <n v="3"/>
    <n v="12"/>
    <n v="7"/>
    <n v="5"/>
    <n v="7"/>
    <x v="2"/>
    <s v="Mid"/>
  </r>
  <r>
    <n v="51"/>
    <x v="1"/>
    <s v="Travel_Rarely"/>
    <n v="942"/>
    <x v="1"/>
    <n v="3"/>
    <n v="3"/>
    <s v="Technical Degree"/>
    <n v="1"/>
    <n v="1786"/>
    <n v="1"/>
    <x v="0"/>
    <n v="53"/>
    <n v="3"/>
    <n v="3"/>
    <x v="5"/>
    <n v="3"/>
    <s v="Married"/>
    <n v="13116"/>
    <n v="22984"/>
    <n v="2"/>
    <s v="Y"/>
    <x v="1"/>
    <n v="11"/>
    <n v="3"/>
    <n v="4"/>
    <n v="80"/>
    <n v="0"/>
    <n v="15"/>
    <n v="2"/>
    <n v="3"/>
    <n v="2"/>
    <n v="2"/>
    <n v="2"/>
    <n v="2"/>
    <x v="1"/>
    <s v="Top"/>
  </r>
  <r>
    <n v="37"/>
    <x v="1"/>
    <s v="Travel_Rarely"/>
    <n v="589"/>
    <x v="0"/>
    <n v="9"/>
    <n v="2"/>
    <s v="Marketing"/>
    <n v="1"/>
    <n v="1787"/>
    <n v="2"/>
    <x v="1"/>
    <n v="46"/>
    <n v="2"/>
    <n v="2"/>
    <x v="0"/>
    <n v="2"/>
    <s v="Married"/>
    <n v="4189"/>
    <n v="8800"/>
    <n v="1"/>
    <s v="Y"/>
    <x v="1"/>
    <n v="14"/>
    <n v="3"/>
    <n v="1"/>
    <n v="80"/>
    <n v="2"/>
    <n v="5"/>
    <n v="2"/>
    <n v="3"/>
    <n v="5"/>
    <n v="2"/>
    <n v="0"/>
    <n v="3"/>
    <x v="0"/>
    <s v="Mid"/>
  </r>
  <r>
    <n v="46"/>
    <x v="1"/>
    <s v="Travel_Rarely"/>
    <n v="734"/>
    <x v="1"/>
    <n v="2"/>
    <n v="4"/>
    <s v="Medical"/>
    <n v="1"/>
    <n v="1789"/>
    <n v="3"/>
    <x v="1"/>
    <n v="46"/>
    <n v="3"/>
    <n v="5"/>
    <x v="7"/>
    <n v="4"/>
    <s v="Divorced"/>
    <n v="19328"/>
    <n v="14218"/>
    <n v="7"/>
    <s v="Y"/>
    <x v="0"/>
    <n v="17"/>
    <n v="3"/>
    <n v="3"/>
    <n v="80"/>
    <n v="1"/>
    <n v="24"/>
    <n v="3"/>
    <n v="3"/>
    <n v="2"/>
    <n v="1"/>
    <n v="2"/>
    <n v="2"/>
    <x v="1"/>
    <s v="Top"/>
  </r>
  <r>
    <n v="36"/>
    <x v="1"/>
    <s v="Travel_Rarely"/>
    <n v="1383"/>
    <x v="1"/>
    <n v="10"/>
    <n v="3"/>
    <s v="Life Sciences"/>
    <n v="1"/>
    <n v="1790"/>
    <n v="4"/>
    <x v="1"/>
    <n v="90"/>
    <n v="3"/>
    <n v="3"/>
    <x v="4"/>
    <n v="1"/>
    <s v="Married"/>
    <n v="8321"/>
    <n v="25949"/>
    <n v="7"/>
    <s v="Y"/>
    <x v="0"/>
    <n v="13"/>
    <n v="3"/>
    <n v="4"/>
    <n v="80"/>
    <n v="1"/>
    <n v="15"/>
    <n v="1"/>
    <n v="3"/>
    <n v="12"/>
    <n v="8"/>
    <n v="5"/>
    <n v="7"/>
    <x v="0"/>
    <s v="High"/>
  </r>
  <r>
    <n v="44"/>
    <x v="0"/>
    <s v="Travel_Frequently"/>
    <n v="429"/>
    <x v="1"/>
    <n v="1"/>
    <n v="2"/>
    <s v="Medical"/>
    <n v="1"/>
    <n v="1792"/>
    <n v="3"/>
    <x v="1"/>
    <n v="99"/>
    <n v="3"/>
    <n v="1"/>
    <x v="1"/>
    <n v="2"/>
    <s v="Divorced"/>
    <n v="2342"/>
    <n v="11092"/>
    <n v="1"/>
    <s v="Y"/>
    <x v="0"/>
    <n v="12"/>
    <n v="3"/>
    <n v="3"/>
    <n v="80"/>
    <n v="3"/>
    <n v="6"/>
    <n v="2"/>
    <n v="2"/>
    <n v="5"/>
    <n v="3"/>
    <n v="2"/>
    <n v="3"/>
    <x v="0"/>
    <s v="Low"/>
  </r>
  <r>
    <n v="37"/>
    <x v="1"/>
    <s v="Travel_Rarely"/>
    <n v="1239"/>
    <x v="2"/>
    <n v="8"/>
    <n v="2"/>
    <s v="Other"/>
    <n v="1"/>
    <n v="1794"/>
    <n v="3"/>
    <x v="1"/>
    <n v="89"/>
    <n v="3"/>
    <n v="2"/>
    <x v="8"/>
    <n v="2"/>
    <s v="Divorced"/>
    <n v="4071"/>
    <n v="12832"/>
    <n v="2"/>
    <s v="Y"/>
    <x v="1"/>
    <n v="13"/>
    <n v="3"/>
    <n v="3"/>
    <n v="80"/>
    <n v="0"/>
    <n v="19"/>
    <n v="4"/>
    <n v="2"/>
    <n v="10"/>
    <n v="0"/>
    <n v="4"/>
    <n v="7"/>
    <x v="0"/>
    <s v="Mid"/>
  </r>
  <r>
    <n v="35"/>
    <x v="0"/>
    <s v="Travel_Rarely"/>
    <n v="303"/>
    <x v="0"/>
    <n v="27"/>
    <n v="3"/>
    <s v="Life Sciences"/>
    <n v="1"/>
    <n v="1797"/>
    <n v="3"/>
    <x v="1"/>
    <n v="84"/>
    <n v="3"/>
    <n v="2"/>
    <x v="0"/>
    <n v="4"/>
    <s v="Single"/>
    <n v="5813"/>
    <n v="13492"/>
    <n v="1"/>
    <s v="Y"/>
    <x v="0"/>
    <n v="18"/>
    <n v="3"/>
    <n v="4"/>
    <n v="80"/>
    <n v="0"/>
    <n v="10"/>
    <n v="2"/>
    <n v="3"/>
    <n v="10"/>
    <n v="7"/>
    <n v="7"/>
    <n v="7"/>
    <x v="2"/>
    <s v="Mid"/>
  </r>
  <r>
    <n v="33"/>
    <x v="1"/>
    <s v="Travel_Rarely"/>
    <n v="867"/>
    <x v="1"/>
    <n v="8"/>
    <n v="4"/>
    <s v="Life Sciences"/>
    <n v="1"/>
    <n v="1798"/>
    <n v="4"/>
    <x v="1"/>
    <n v="90"/>
    <n v="4"/>
    <n v="1"/>
    <x v="1"/>
    <n v="1"/>
    <s v="Married"/>
    <n v="3143"/>
    <n v="6076"/>
    <n v="6"/>
    <s v="Y"/>
    <x v="1"/>
    <n v="19"/>
    <n v="3"/>
    <n v="2"/>
    <n v="80"/>
    <n v="1"/>
    <n v="14"/>
    <n v="1"/>
    <n v="3"/>
    <n v="10"/>
    <n v="8"/>
    <n v="7"/>
    <n v="6"/>
    <x v="2"/>
    <s v="Mid"/>
  </r>
  <r>
    <n v="28"/>
    <x v="1"/>
    <s v="Travel_Rarely"/>
    <n v="1181"/>
    <x v="1"/>
    <n v="1"/>
    <n v="3"/>
    <s v="Life Sciences"/>
    <n v="1"/>
    <n v="1799"/>
    <n v="3"/>
    <x v="1"/>
    <n v="82"/>
    <n v="3"/>
    <n v="1"/>
    <x v="1"/>
    <n v="4"/>
    <s v="Married"/>
    <n v="2044"/>
    <n v="5531"/>
    <n v="1"/>
    <s v="Y"/>
    <x v="1"/>
    <n v="11"/>
    <n v="3"/>
    <n v="3"/>
    <n v="80"/>
    <n v="1"/>
    <n v="5"/>
    <n v="6"/>
    <n v="4"/>
    <n v="5"/>
    <n v="3"/>
    <n v="0"/>
    <n v="3"/>
    <x v="2"/>
    <s v="Low"/>
  </r>
  <r>
    <n v="39"/>
    <x v="1"/>
    <s v="Travel_Rarely"/>
    <n v="1253"/>
    <x v="1"/>
    <n v="10"/>
    <n v="1"/>
    <s v="Medical"/>
    <n v="1"/>
    <n v="1800"/>
    <n v="3"/>
    <x v="1"/>
    <n v="65"/>
    <n v="3"/>
    <n v="3"/>
    <x v="7"/>
    <n v="3"/>
    <s v="Single"/>
    <n v="13464"/>
    <n v="7914"/>
    <n v="7"/>
    <s v="Y"/>
    <x v="1"/>
    <n v="21"/>
    <n v="4"/>
    <n v="3"/>
    <n v="80"/>
    <n v="0"/>
    <n v="9"/>
    <n v="3"/>
    <n v="3"/>
    <n v="4"/>
    <n v="3"/>
    <n v="2"/>
    <n v="2"/>
    <x v="0"/>
    <s v="Top"/>
  </r>
  <r>
    <n v="46"/>
    <x v="1"/>
    <s v="Non-Travel"/>
    <n v="849"/>
    <x v="0"/>
    <n v="26"/>
    <n v="2"/>
    <s v="Life Sciences"/>
    <n v="1"/>
    <n v="1801"/>
    <n v="2"/>
    <x v="1"/>
    <n v="98"/>
    <n v="2"/>
    <n v="2"/>
    <x v="0"/>
    <n v="2"/>
    <s v="Single"/>
    <n v="7991"/>
    <n v="25166"/>
    <n v="8"/>
    <s v="Y"/>
    <x v="1"/>
    <n v="15"/>
    <n v="3"/>
    <n v="3"/>
    <n v="80"/>
    <n v="0"/>
    <n v="6"/>
    <n v="3"/>
    <n v="3"/>
    <n v="2"/>
    <n v="2"/>
    <n v="2"/>
    <n v="2"/>
    <x v="1"/>
    <s v="High"/>
  </r>
  <r>
    <n v="40"/>
    <x v="1"/>
    <s v="Travel_Rarely"/>
    <n v="616"/>
    <x v="1"/>
    <n v="2"/>
    <n v="2"/>
    <s v="Life Sciences"/>
    <n v="1"/>
    <n v="1802"/>
    <n v="3"/>
    <x v="0"/>
    <n v="99"/>
    <n v="3"/>
    <n v="1"/>
    <x v="2"/>
    <n v="1"/>
    <s v="Married"/>
    <n v="3377"/>
    <n v="25605"/>
    <n v="4"/>
    <s v="Y"/>
    <x v="1"/>
    <n v="17"/>
    <n v="3"/>
    <n v="4"/>
    <n v="80"/>
    <n v="1"/>
    <n v="7"/>
    <n v="5"/>
    <n v="2"/>
    <n v="4"/>
    <n v="3"/>
    <n v="0"/>
    <n v="2"/>
    <x v="0"/>
    <s v="Mid"/>
  </r>
  <r>
    <n v="42"/>
    <x v="1"/>
    <s v="Travel_Rarely"/>
    <n v="1128"/>
    <x v="1"/>
    <n v="13"/>
    <n v="3"/>
    <s v="Medical"/>
    <n v="1"/>
    <n v="1803"/>
    <n v="2"/>
    <x v="1"/>
    <n v="95"/>
    <n v="4"/>
    <n v="2"/>
    <x v="4"/>
    <n v="1"/>
    <s v="Married"/>
    <n v="5538"/>
    <n v="5696"/>
    <n v="5"/>
    <s v="Y"/>
    <x v="1"/>
    <n v="18"/>
    <n v="3"/>
    <n v="3"/>
    <n v="80"/>
    <n v="2"/>
    <n v="10"/>
    <n v="2"/>
    <n v="2"/>
    <n v="0"/>
    <n v="0"/>
    <n v="0"/>
    <n v="0"/>
    <x v="0"/>
    <s v="Mid"/>
  </r>
  <r>
    <n v="35"/>
    <x v="1"/>
    <s v="Non-Travel"/>
    <n v="1180"/>
    <x v="1"/>
    <n v="2"/>
    <n v="2"/>
    <s v="Medical"/>
    <n v="1"/>
    <n v="1804"/>
    <n v="2"/>
    <x v="1"/>
    <n v="90"/>
    <n v="3"/>
    <n v="2"/>
    <x v="3"/>
    <n v="4"/>
    <s v="Divorced"/>
    <n v="5762"/>
    <n v="24442"/>
    <n v="2"/>
    <s v="Y"/>
    <x v="1"/>
    <n v="14"/>
    <n v="3"/>
    <n v="3"/>
    <n v="80"/>
    <n v="1"/>
    <n v="15"/>
    <n v="6"/>
    <n v="3"/>
    <n v="7"/>
    <n v="7"/>
    <n v="1"/>
    <n v="7"/>
    <x v="2"/>
    <s v="Mid"/>
  </r>
  <r>
    <n v="38"/>
    <x v="1"/>
    <s v="Non-Travel"/>
    <n v="1336"/>
    <x v="2"/>
    <n v="2"/>
    <n v="3"/>
    <s v="Human Resources"/>
    <n v="1"/>
    <n v="1805"/>
    <n v="1"/>
    <x v="1"/>
    <n v="100"/>
    <n v="3"/>
    <n v="1"/>
    <x v="8"/>
    <n v="2"/>
    <s v="Divorced"/>
    <n v="2592"/>
    <n v="7129"/>
    <n v="5"/>
    <s v="Y"/>
    <x v="1"/>
    <n v="13"/>
    <n v="3"/>
    <n v="4"/>
    <n v="80"/>
    <n v="3"/>
    <n v="13"/>
    <n v="3"/>
    <n v="3"/>
    <n v="11"/>
    <n v="10"/>
    <n v="3"/>
    <n v="8"/>
    <x v="0"/>
    <s v="Low"/>
  </r>
  <r>
    <n v="34"/>
    <x v="0"/>
    <s v="Travel_Frequently"/>
    <n v="234"/>
    <x v="1"/>
    <n v="9"/>
    <n v="4"/>
    <s v="Life Sciences"/>
    <n v="1"/>
    <n v="1807"/>
    <n v="4"/>
    <x v="1"/>
    <n v="93"/>
    <n v="3"/>
    <n v="2"/>
    <x v="2"/>
    <n v="1"/>
    <s v="Married"/>
    <n v="5346"/>
    <n v="6208"/>
    <n v="4"/>
    <s v="Y"/>
    <x v="1"/>
    <n v="17"/>
    <n v="3"/>
    <n v="3"/>
    <n v="80"/>
    <n v="1"/>
    <n v="11"/>
    <n v="3"/>
    <n v="2"/>
    <n v="7"/>
    <n v="1"/>
    <n v="0"/>
    <n v="7"/>
    <x v="2"/>
    <s v="Mid"/>
  </r>
  <r>
    <n v="37"/>
    <x v="0"/>
    <s v="Travel_Rarely"/>
    <n v="370"/>
    <x v="1"/>
    <n v="10"/>
    <n v="4"/>
    <s v="Medical"/>
    <n v="1"/>
    <n v="1809"/>
    <n v="4"/>
    <x v="1"/>
    <n v="58"/>
    <n v="3"/>
    <n v="2"/>
    <x v="3"/>
    <n v="1"/>
    <s v="Single"/>
    <n v="4213"/>
    <n v="4992"/>
    <n v="1"/>
    <s v="Y"/>
    <x v="1"/>
    <n v="15"/>
    <n v="3"/>
    <n v="2"/>
    <n v="80"/>
    <n v="0"/>
    <n v="10"/>
    <n v="4"/>
    <n v="1"/>
    <n v="10"/>
    <n v="3"/>
    <n v="0"/>
    <n v="8"/>
    <x v="0"/>
    <s v="Mid"/>
  </r>
  <r>
    <n v="39"/>
    <x v="1"/>
    <s v="Travel_Frequently"/>
    <n v="766"/>
    <x v="0"/>
    <n v="20"/>
    <n v="3"/>
    <s v="Life Sciences"/>
    <n v="1"/>
    <n v="1812"/>
    <n v="3"/>
    <x v="1"/>
    <n v="83"/>
    <n v="3"/>
    <n v="2"/>
    <x v="0"/>
    <n v="4"/>
    <s v="Divorced"/>
    <n v="4127"/>
    <n v="19188"/>
    <n v="2"/>
    <s v="Y"/>
    <x v="1"/>
    <n v="18"/>
    <n v="3"/>
    <n v="4"/>
    <n v="80"/>
    <n v="1"/>
    <n v="7"/>
    <n v="6"/>
    <n v="3"/>
    <n v="2"/>
    <n v="1"/>
    <n v="2"/>
    <n v="2"/>
    <x v="0"/>
    <s v="Mid"/>
  </r>
  <r>
    <n v="43"/>
    <x v="1"/>
    <s v="Non-Travel"/>
    <n v="343"/>
    <x v="1"/>
    <n v="9"/>
    <n v="3"/>
    <s v="Life Sciences"/>
    <n v="1"/>
    <n v="1813"/>
    <n v="1"/>
    <x v="1"/>
    <n v="52"/>
    <n v="3"/>
    <n v="1"/>
    <x v="1"/>
    <n v="3"/>
    <s v="Single"/>
    <n v="2438"/>
    <n v="24978"/>
    <n v="4"/>
    <s v="Y"/>
    <x v="1"/>
    <n v="13"/>
    <n v="3"/>
    <n v="3"/>
    <n v="80"/>
    <n v="0"/>
    <n v="7"/>
    <n v="2"/>
    <n v="2"/>
    <n v="3"/>
    <n v="2"/>
    <n v="1"/>
    <n v="2"/>
    <x v="0"/>
    <s v="Low"/>
  </r>
  <r>
    <n v="41"/>
    <x v="1"/>
    <s v="Travel_Rarely"/>
    <n v="447"/>
    <x v="1"/>
    <n v="5"/>
    <n v="3"/>
    <s v="Life Sciences"/>
    <n v="1"/>
    <n v="1814"/>
    <n v="2"/>
    <x v="1"/>
    <n v="85"/>
    <n v="4"/>
    <n v="2"/>
    <x v="4"/>
    <n v="2"/>
    <s v="Single"/>
    <n v="6870"/>
    <n v="15530"/>
    <n v="3"/>
    <s v="Y"/>
    <x v="1"/>
    <n v="12"/>
    <n v="3"/>
    <n v="1"/>
    <n v="80"/>
    <n v="0"/>
    <n v="11"/>
    <n v="3"/>
    <n v="1"/>
    <n v="3"/>
    <n v="2"/>
    <n v="1"/>
    <n v="2"/>
    <x v="0"/>
    <s v="Mid"/>
  </r>
  <r>
    <n v="41"/>
    <x v="1"/>
    <s v="Travel_Rarely"/>
    <n v="796"/>
    <x v="0"/>
    <n v="4"/>
    <n v="1"/>
    <s v="Marketing"/>
    <n v="1"/>
    <n v="1815"/>
    <n v="3"/>
    <x v="0"/>
    <n v="81"/>
    <n v="3"/>
    <n v="3"/>
    <x v="0"/>
    <n v="3"/>
    <s v="Divorced"/>
    <n v="10447"/>
    <n v="26458"/>
    <n v="0"/>
    <s v="Y"/>
    <x v="0"/>
    <n v="13"/>
    <n v="3"/>
    <n v="4"/>
    <n v="80"/>
    <n v="1"/>
    <n v="23"/>
    <n v="3"/>
    <n v="4"/>
    <n v="22"/>
    <n v="14"/>
    <n v="13"/>
    <n v="5"/>
    <x v="0"/>
    <s v="High"/>
  </r>
  <r>
    <n v="30"/>
    <x v="1"/>
    <s v="Travel_Rarely"/>
    <n v="1092"/>
    <x v="1"/>
    <n v="10"/>
    <n v="3"/>
    <s v="Medical"/>
    <n v="1"/>
    <n v="1816"/>
    <n v="1"/>
    <x v="0"/>
    <n v="64"/>
    <n v="3"/>
    <n v="3"/>
    <x v="3"/>
    <n v="3"/>
    <s v="Single"/>
    <n v="9667"/>
    <n v="2739"/>
    <n v="9"/>
    <s v="Y"/>
    <x v="1"/>
    <n v="14"/>
    <n v="3"/>
    <n v="2"/>
    <n v="80"/>
    <n v="0"/>
    <n v="9"/>
    <n v="3"/>
    <n v="3"/>
    <n v="7"/>
    <n v="7"/>
    <n v="0"/>
    <n v="2"/>
    <x v="2"/>
    <s v="High"/>
  </r>
  <r>
    <n v="26"/>
    <x v="0"/>
    <s v="Travel_Rarely"/>
    <n v="920"/>
    <x v="2"/>
    <n v="20"/>
    <n v="2"/>
    <s v="Medical"/>
    <n v="1"/>
    <n v="1818"/>
    <n v="4"/>
    <x v="0"/>
    <n v="69"/>
    <n v="3"/>
    <n v="1"/>
    <x v="8"/>
    <n v="2"/>
    <s v="Married"/>
    <n v="2148"/>
    <n v="6889"/>
    <n v="0"/>
    <s v="Y"/>
    <x v="0"/>
    <n v="11"/>
    <n v="3"/>
    <n v="3"/>
    <n v="80"/>
    <n v="0"/>
    <n v="6"/>
    <n v="3"/>
    <n v="3"/>
    <n v="5"/>
    <n v="1"/>
    <n v="1"/>
    <n v="4"/>
    <x v="2"/>
    <s v="Low"/>
  </r>
  <r>
    <n v="46"/>
    <x v="0"/>
    <s v="Travel_Rarely"/>
    <n v="261"/>
    <x v="1"/>
    <n v="21"/>
    <n v="2"/>
    <s v="Medical"/>
    <n v="1"/>
    <n v="1821"/>
    <n v="4"/>
    <x v="0"/>
    <n v="66"/>
    <n v="3"/>
    <n v="2"/>
    <x v="4"/>
    <n v="2"/>
    <s v="Married"/>
    <n v="8926"/>
    <n v="10842"/>
    <n v="4"/>
    <s v="Y"/>
    <x v="1"/>
    <n v="22"/>
    <n v="4"/>
    <n v="4"/>
    <n v="80"/>
    <n v="1"/>
    <n v="13"/>
    <n v="2"/>
    <n v="4"/>
    <n v="9"/>
    <n v="7"/>
    <n v="3"/>
    <n v="7"/>
    <x v="1"/>
    <s v="High"/>
  </r>
  <r>
    <n v="40"/>
    <x v="1"/>
    <s v="Travel_Rarely"/>
    <n v="1194"/>
    <x v="1"/>
    <n v="1"/>
    <n v="3"/>
    <s v="Life Sciences"/>
    <n v="1"/>
    <n v="1822"/>
    <n v="3"/>
    <x v="0"/>
    <n v="52"/>
    <n v="3"/>
    <n v="2"/>
    <x v="4"/>
    <n v="4"/>
    <s v="Divorced"/>
    <n v="6513"/>
    <n v="9060"/>
    <n v="4"/>
    <s v="Y"/>
    <x v="1"/>
    <n v="17"/>
    <n v="3"/>
    <n v="4"/>
    <n v="80"/>
    <n v="1"/>
    <n v="12"/>
    <n v="3"/>
    <n v="3"/>
    <n v="5"/>
    <n v="3"/>
    <n v="0"/>
    <n v="3"/>
    <x v="0"/>
    <s v="Mid"/>
  </r>
  <r>
    <n v="34"/>
    <x v="1"/>
    <s v="Travel_Rarely"/>
    <n v="810"/>
    <x v="0"/>
    <n v="8"/>
    <n v="2"/>
    <s v="Technical Degree"/>
    <n v="1"/>
    <n v="1823"/>
    <n v="2"/>
    <x v="1"/>
    <n v="92"/>
    <n v="4"/>
    <n v="2"/>
    <x v="0"/>
    <n v="3"/>
    <s v="Married"/>
    <n v="6799"/>
    <n v="22128"/>
    <n v="1"/>
    <s v="Y"/>
    <x v="1"/>
    <n v="21"/>
    <n v="4"/>
    <n v="3"/>
    <n v="80"/>
    <n v="2"/>
    <n v="10"/>
    <n v="5"/>
    <n v="3"/>
    <n v="10"/>
    <n v="8"/>
    <n v="4"/>
    <n v="8"/>
    <x v="2"/>
    <s v="Mid"/>
  </r>
  <r>
    <n v="58"/>
    <x v="1"/>
    <s v="Non-Travel"/>
    <n v="350"/>
    <x v="0"/>
    <n v="2"/>
    <n v="3"/>
    <s v="Medical"/>
    <n v="1"/>
    <n v="1824"/>
    <n v="2"/>
    <x v="1"/>
    <n v="52"/>
    <n v="3"/>
    <n v="4"/>
    <x v="5"/>
    <n v="2"/>
    <s v="Divorced"/>
    <n v="16291"/>
    <n v="22577"/>
    <n v="4"/>
    <s v="Y"/>
    <x v="1"/>
    <n v="22"/>
    <n v="4"/>
    <n v="4"/>
    <n v="80"/>
    <n v="1"/>
    <n v="37"/>
    <n v="0"/>
    <n v="2"/>
    <n v="16"/>
    <n v="9"/>
    <n v="14"/>
    <n v="14"/>
    <x v="1"/>
    <s v="Top"/>
  </r>
  <r>
    <n v="35"/>
    <x v="1"/>
    <s v="Travel_Rarely"/>
    <n v="185"/>
    <x v="1"/>
    <n v="23"/>
    <n v="4"/>
    <s v="Medical"/>
    <n v="1"/>
    <n v="1826"/>
    <n v="2"/>
    <x v="1"/>
    <n v="91"/>
    <n v="1"/>
    <n v="1"/>
    <x v="2"/>
    <n v="3"/>
    <s v="Married"/>
    <n v="2705"/>
    <n v="9696"/>
    <n v="0"/>
    <s v="Y"/>
    <x v="1"/>
    <n v="16"/>
    <n v="3"/>
    <n v="2"/>
    <n v="80"/>
    <n v="1"/>
    <n v="6"/>
    <n v="2"/>
    <n v="4"/>
    <n v="5"/>
    <n v="4"/>
    <n v="0"/>
    <n v="3"/>
    <x v="2"/>
    <s v="Low"/>
  </r>
  <r>
    <n v="47"/>
    <x v="1"/>
    <s v="Travel_Rarely"/>
    <n v="1001"/>
    <x v="1"/>
    <n v="4"/>
    <n v="3"/>
    <s v="Life Sciences"/>
    <n v="1"/>
    <n v="1827"/>
    <n v="3"/>
    <x v="0"/>
    <n v="92"/>
    <n v="2"/>
    <n v="3"/>
    <x v="3"/>
    <n v="2"/>
    <s v="Divorced"/>
    <n v="10333"/>
    <n v="19271"/>
    <n v="8"/>
    <s v="Y"/>
    <x v="0"/>
    <n v="12"/>
    <n v="3"/>
    <n v="3"/>
    <n v="80"/>
    <n v="1"/>
    <n v="28"/>
    <n v="4"/>
    <n v="3"/>
    <n v="22"/>
    <n v="11"/>
    <n v="14"/>
    <n v="10"/>
    <x v="1"/>
    <s v="High"/>
  </r>
  <r>
    <n v="40"/>
    <x v="1"/>
    <s v="Travel_Rarely"/>
    <n v="750"/>
    <x v="1"/>
    <n v="12"/>
    <n v="3"/>
    <s v="Life Sciences"/>
    <n v="1"/>
    <n v="1829"/>
    <n v="2"/>
    <x v="0"/>
    <n v="47"/>
    <n v="3"/>
    <n v="2"/>
    <x v="4"/>
    <n v="1"/>
    <s v="Divorced"/>
    <n v="4448"/>
    <n v="10748"/>
    <n v="2"/>
    <s v="Y"/>
    <x v="1"/>
    <n v="12"/>
    <n v="3"/>
    <n v="2"/>
    <n v="80"/>
    <n v="1"/>
    <n v="15"/>
    <n v="3"/>
    <n v="3"/>
    <n v="7"/>
    <n v="4"/>
    <n v="7"/>
    <n v="7"/>
    <x v="0"/>
    <s v="Mid"/>
  </r>
  <r>
    <n v="54"/>
    <x v="1"/>
    <s v="Travel_Rarely"/>
    <n v="431"/>
    <x v="1"/>
    <n v="7"/>
    <n v="4"/>
    <s v="Medical"/>
    <n v="1"/>
    <n v="1830"/>
    <n v="4"/>
    <x v="0"/>
    <n v="68"/>
    <n v="3"/>
    <n v="2"/>
    <x v="1"/>
    <n v="4"/>
    <s v="Married"/>
    <n v="6854"/>
    <n v="15696"/>
    <n v="4"/>
    <s v="Y"/>
    <x v="1"/>
    <n v="15"/>
    <n v="3"/>
    <n v="2"/>
    <n v="80"/>
    <n v="1"/>
    <n v="14"/>
    <n v="2"/>
    <n v="2"/>
    <n v="7"/>
    <n v="1"/>
    <n v="1"/>
    <n v="7"/>
    <x v="1"/>
    <s v="Mid"/>
  </r>
  <r>
    <n v="31"/>
    <x v="1"/>
    <s v="Travel_Frequently"/>
    <n v="1125"/>
    <x v="0"/>
    <n v="7"/>
    <n v="4"/>
    <s v="Marketing"/>
    <n v="1"/>
    <n v="1833"/>
    <n v="1"/>
    <x v="0"/>
    <n v="68"/>
    <n v="3"/>
    <n v="3"/>
    <x v="0"/>
    <n v="1"/>
    <s v="Married"/>
    <n v="9637"/>
    <n v="8277"/>
    <n v="2"/>
    <s v="Y"/>
    <x v="1"/>
    <n v="14"/>
    <n v="3"/>
    <n v="4"/>
    <n v="80"/>
    <n v="2"/>
    <n v="9"/>
    <n v="3"/>
    <n v="3"/>
    <n v="3"/>
    <n v="2"/>
    <n v="2"/>
    <n v="2"/>
    <x v="2"/>
    <s v="High"/>
  </r>
  <r>
    <n v="28"/>
    <x v="1"/>
    <s v="Travel_Rarely"/>
    <n v="1217"/>
    <x v="1"/>
    <n v="1"/>
    <n v="3"/>
    <s v="Medical"/>
    <n v="1"/>
    <n v="1834"/>
    <n v="3"/>
    <x v="0"/>
    <n v="67"/>
    <n v="3"/>
    <n v="1"/>
    <x v="1"/>
    <n v="1"/>
    <s v="Married"/>
    <n v="3591"/>
    <n v="12719"/>
    <n v="1"/>
    <s v="Y"/>
    <x v="1"/>
    <n v="25"/>
    <n v="4"/>
    <n v="3"/>
    <n v="80"/>
    <n v="1"/>
    <n v="3"/>
    <n v="3"/>
    <n v="3"/>
    <n v="3"/>
    <n v="2"/>
    <n v="1"/>
    <n v="2"/>
    <x v="2"/>
    <s v="Mid"/>
  </r>
  <r>
    <n v="38"/>
    <x v="1"/>
    <s v="Travel_Rarely"/>
    <n v="723"/>
    <x v="0"/>
    <n v="2"/>
    <n v="4"/>
    <s v="Marketing"/>
    <n v="1"/>
    <n v="1835"/>
    <n v="2"/>
    <x v="0"/>
    <n v="77"/>
    <n v="1"/>
    <n v="2"/>
    <x v="6"/>
    <n v="4"/>
    <s v="Married"/>
    <n v="5405"/>
    <n v="4244"/>
    <n v="2"/>
    <s v="Y"/>
    <x v="0"/>
    <n v="20"/>
    <n v="4"/>
    <n v="1"/>
    <n v="80"/>
    <n v="2"/>
    <n v="20"/>
    <n v="4"/>
    <n v="2"/>
    <n v="4"/>
    <n v="2"/>
    <n v="0"/>
    <n v="3"/>
    <x v="0"/>
    <s v="Mid"/>
  </r>
  <r>
    <n v="26"/>
    <x v="1"/>
    <s v="Travel_Rarely"/>
    <n v="572"/>
    <x v="0"/>
    <n v="10"/>
    <n v="3"/>
    <s v="Medical"/>
    <n v="1"/>
    <n v="1836"/>
    <n v="3"/>
    <x v="1"/>
    <n v="46"/>
    <n v="3"/>
    <n v="2"/>
    <x v="0"/>
    <n v="4"/>
    <s v="Single"/>
    <n v="4684"/>
    <n v="9125"/>
    <n v="1"/>
    <s v="Y"/>
    <x v="1"/>
    <n v="13"/>
    <n v="3"/>
    <n v="1"/>
    <n v="80"/>
    <n v="0"/>
    <n v="5"/>
    <n v="4"/>
    <n v="3"/>
    <n v="5"/>
    <n v="3"/>
    <n v="1"/>
    <n v="2"/>
    <x v="2"/>
    <s v="Mid"/>
  </r>
  <r>
    <n v="58"/>
    <x v="1"/>
    <s v="Travel_Frequently"/>
    <n v="1216"/>
    <x v="1"/>
    <n v="15"/>
    <n v="4"/>
    <s v="Life Sciences"/>
    <n v="1"/>
    <n v="1837"/>
    <n v="1"/>
    <x v="1"/>
    <n v="87"/>
    <n v="3"/>
    <n v="4"/>
    <x v="7"/>
    <n v="3"/>
    <s v="Married"/>
    <n v="15787"/>
    <n v="21624"/>
    <n v="2"/>
    <s v="Y"/>
    <x v="0"/>
    <n v="14"/>
    <n v="3"/>
    <n v="2"/>
    <n v="80"/>
    <n v="0"/>
    <n v="23"/>
    <n v="3"/>
    <n v="3"/>
    <n v="2"/>
    <n v="2"/>
    <n v="2"/>
    <n v="2"/>
    <x v="1"/>
    <s v="Top"/>
  </r>
  <r>
    <n v="18"/>
    <x v="1"/>
    <s v="Non-Travel"/>
    <n v="1431"/>
    <x v="1"/>
    <n v="14"/>
    <n v="3"/>
    <s v="Medical"/>
    <n v="1"/>
    <n v="1839"/>
    <n v="2"/>
    <x v="0"/>
    <n v="33"/>
    <n v="3"/>
    <n v="1"/>
    <x v="1"/>
    <n v="3"/>
    <s v="Single"/>
    <n v="1514"/>
    <n v="8018"/>
    <n v="1"/>
    <s v="Y"/>
    <x v="1"/>
    <n v="16"/>
    <n v="3"/>
    <n v="3"/>
    <n v="80"/>
    <n v="0"/>
    <n v="0"/>
    <n v="4"/>
    <n v="1"/>
    <n v="0"/>
    <n v="0"/>
    <n v="0"/>
    <n v="0"/>
    <x v="3"/>
    <s v="Low"/>
  </r>
  <r>
    <n v="31"/>
    <x v="0"/>
    <s v="Travel_Rarely"/>
    <n v="359"/>
    <x v="2"/>
    <n v="18"/>
    <n v="5"/>
    <s v="Human Resources"/>
    <n v="1"/>
    <n v="1842"/>
    <n v="4"/>
    <x v="1"/>
    <n v="89"/>
    <n v="4"/>
    <n v="1"/>
    <x v="8"/>
    <n v="1"/>
    <s v="Married"/>
    <n v="2956"/>
    <n v="21495"/>
    <n v="0"/>
    <s v="Y"/>
    <x v="1"/>
    <n v="17"/>
    <n v="3"/>
    <n v="3"/>
    <n v="80"/>
    <n v="0"/>
    <n v="2"/>
    <n v="4"/>
    <n v="3"/>
    <n v="1"/>
    <n v="0"/>
    <n v="0"/>
    <n v="0"/>
    <x v="2"/>
    <s v="Low"/>
  </r>
  <r>
    <n v="29"/>
    <x v="0"/>
    <s v="Travel_Rarely"/>
    <n v="350"/>
    <x v="2"/>
    <n v="13"/>
    <n v="3"/>
    <s v="Human Resources"/>
    <n v="1"/>
    <n v="1844"/>
    <n v="1"/>
    <x v="1"/>
    <n v="56"/>
    <n v="2"/>
    <n v="1"/>
    <x v="8"/>
    <n v="1"/>
    <s v="Divorced"/>
    <n v="2335"/>
    <n v="3157"/>
    <n v="4"/>
    <s v="Y"/>
    <x v="0"/>
    <n v="15"/>
    <n v="3"/>
    <n v="4"/>
    <n v="80"/>
    <n v="3"/>
    <n v="4"/>
    <n v="3"/>
    <n v="3"/>
    <n v="2"/>
    <n v="2"/>
    <n v="2"/>
    <n v="0"/>
    <x v="2"/>
    <s v="Low"/>
  </r>
  <r>
    <n v="45"/>
    <x v="1"/>
    <s v="Non-Travel"/>
    <n v="589"/>
    <x v="0"/>
    <n v="2"/>
    <n v="4"/>
    <s v="Life Sciences"/>
    <n v="1"/>
    <n v="1845"/>
    <n v="3"/>
    <x v="0"/>
    <n v="67"/>
    <n v="3"/>
    <n v="2"/>
    <x v="0"/>
    <n v="3"/>
    <s v="Married"/>
    <n v="5154"/>
    <n v="19665"/>
    <n v="4"/>
    <s v="Y"/>
    <x v="1"/>
    <n v="22"/>
    <n v="4"/>
    <n v="2"/>
    <n v="80"/>
    <n v="2"/>
    <n v="10"/>
    <n v="3"/>
    <n v="4"/>
    <n v="8"/>
    <n v="7"/>
    <n v="5"/>
    <n v="7"/>
    <x v="0"/>
    <s v="Mid"/>
  </r>
  <r>
    <n v="36"/>
    <x v="1"/>
    <s v="Travel_Rarely"/>
    <n v="430"/>
    <x v="1"/>
    <n v="2"/>
    <n v="4"/>
    <s v="Other"/>
    <n v="1"/>
    <n v="1847"/>
    <n v="4"/>
    <x v="0"/>
    <n v="73"/>
    <n v="3"/>
    <n v="2"/>
    <x v="1"/>
    <n v="2"/>
    <s v="Married"/>
    <n v="6962"/>
    <n v="19573"/>
    <n v="4"/>
    <s v="Y"/>
    <x v="0"/>
    <n v="22"/>
    <n v="4"/>
    <n v="4"/>
    <n v="80"/>
    <n v="1"/>
    <n v="15"/>
    <n v="2"/>
    <n v="3"/>
    <n v="1"/>
    <n v="0"/>
    <n v="0"/>
    <n v="0"/>
    <x v="0"/>
    <s v="Mid"/>
  </r>
  <r>
    <n v="43"/>
    <x v="1"/>
    <s v="Travel_Frequently"/>
    <n v="1422"/>
    <x v="0"/>
    <n v="2"/>
    <n v="4"/>
    <s v="Life Sciences"/>
    <n v="1"/>
    <n v="1849"/>
    <n v="1"/>
    <x v="1"/>
    <n v="92"/>
    <n v="3"/>
    <n v="2"/>
    <x v="0"/>
    <n v="4"/>
    <s v="Married"/>
    <n v="5675"/>
    <n v="19246"/>
    <n v="1"/>
    <s v="Y"/>
    <x v="1"/>
    <n v="20"/>
    <n v="4"/>
    <n v="3"/>
    <n v="80"/>
    <n v="1"/>
    <n v="7"/>
    <n v="5"/>
    <n v="3"/>
    <n v="7"/>
    <n v="7"/>
    <n v="7"/>
    <n v="7"/>
    <x v="0"/>
    <s v="Mid"/>
  </r>
  <r>
    <n v="27"/>
    <x v="1"/>
    <s v="Travel_Frequently"/>
    <n v="1297"/>
    <x v="1"/>
    <n v="5"/>
    <n v="2"/>
    <s v="Life Sciences"/>
    <n v="1"/>
    <n v="1850"/>
    <n v="4"/>
    <x v="0"/>
    <n v="53"/>
    <n v="3"/>
    <n v="1"/>
    <x v="2"/>
    <n v="4"/>
    <s v="Single"/>
    <n v="2379"/>
    <n v="19826"/>
    <n v="0"/>
    <s v="Y"/>
    <x v="0"/>
    <n v="14"/>
    <n v="3"/>
    <n v="3"/>
    <n v="80"/>
    <n v="0"/>
    <n v="6"/>
    <n v="3"/>
    <n v="2"/>
    <n v="5"/>
    <n v="4"/>
    <n v="0"/>
    <n v="2"/>
    <x v="2"/>
    <s v="Low"/>
  </r>
  <r>
    <n v="29"/>
    <x v="1"/>
    <s v="Travel_Frequently"/>
    <n v="574"/>
    <x v="1"/>
    <n v="20"/>
    <n v="1"/>
    <s v="Medical"/>
    <n v="1"/>
    <n v="1852"/>
    <n v="4"/>
    <x v="1"/>
    <n v="40"/>
    <n v="3"/>
    <n v="1"/>
    <x v="2"/>
    <n v="4"/>
    <s v="Married"/>
    <n v="3812"/>
    <n v="7003"/>
    <n v="1"/>
    <s v="Y"/>
    <x v="1"/>
    <n v="13"/>
    <n v="3"/>
    <n v="2"/>
    <n v="80"/>
    <n v="0"/>
    <n v="11"/>
    <n v="3"/>
    <n v="4"/>
    <n v="11"/>
    <n v="8"/>
    <n v="3"/>
    <n v="10"/>
    <x v="2"/>
    <s v="Mid"/>
  </r>
  <r>
    <n v="32"/>
    <x v="1"/>
    <s v="Travel_Frequently"/>
    <n v="1318"/>
    <x v="0"/>
    <n v="10"/>
    <n v="4"/>
    <s v="Marketing"/>
    <n v="1"/>
    <n v="1853"/>
    <n v="4"/>
    <x v="1"/>
    <n v="79"/>
    <n v="3"/>
    <n v="2"/>
    <x v="0"/>
    <n v="4"/>
    <s v="Single"/>
    <n v="4648"/>
    <n v="26075"/>
    <n v="8"/>
    <s v="Y"/>
    <x v="1"/>
    <n v="13"/>
    <n v="3"/>
    <n v="3"/>
    <n v="80"/>
    <n v="0"/>
    <n v="4"/>
    <n v="2"/>
    <n v="4"/>
    <n v="0"/>
    <n v="0"/>
    <n v="0"/>
    <n v="0"/>
    <x v="2"/>
    <s v="Mid"/>
  </r>
  <r>
    <n v="42"/>
    <x v="1"/>
    <s v="Non-Travel"/>
    <n v="355"/>
    <x v="1"/>
    <n v="10"/>
    <n v="4"/>
    <s v="Technical Degree"/>
    <n v="1"/>
    <n v="1854"/>
    <n v="3"/>
    <x v="1"/>
    <n v="38"/>
    <n v="3"/>
    <n v="1"/>
    <x v="1"/>
    <n v="3"/>
    <s v="Married"/>
    <n v="2936"/>
    <n v="6161"/>
    <n v="3"/>
    <s v="Y"/>
    <x v="1"/>
    <n v="22"/>
    <n v="4"/>
    <n v="2"/>
    <n v="80"/>
    <n v="2"/>
    <n v="10"/>
    <n v="1"/>
    <n v="2"/>
    <n v="6"/>
    <n v="3"/>
    <n v="3"/>
    <n v="3"/>
    <x v="0"/>
    <s v="Low"/>
  </r>
  <r>
    <n v="47"/>
    <x v="1"/>
    <s v="Travel_Rarely"/>
    <n v="207"/>
    <x v="1"/>
    <n v="9"/>
    <n v="4"/>
    <s v="Life Sciences"/>
    <n v="1"/>
    <n v="1856"/>
    <n v="2"/>
    <x v="0"/>
    <n v="64"/>
    <n v="3"/>
    <n v="1"/>
    <x v="2"/>
    <n v="3"/>
    <s v="Single"/>
    <n v="2105"/>
    <n v="5411"/>
    <n v="4"/>
    <s v="Y"/>
    <x v="1"/>
    <n v="12"/>
    <n v="3"/>
    <n v="3"/>
    <n v="80"/>
    <n v="0"/>
    <n v="7"/>
    <n v="2"/>
    <n v="3"/>
    <n v="2"/>
    <n v="2"/>
    <n v="2"/>
    <n v="0"/>
    <x v="1"/>
    <s v="Low"/>
  </r>
  <r>
    <n v="46"/>
    <x v="1"/>
    <s v="Travel_Rarely"/>
    <n v="706"/>
    <x v="1"/>
    <n v="2"/>
    <n v="2"/>
    <s v="Life Sciences"/>
    <n v="1"/>
    <n v="1857"/>
    <n v="4"/>
    <x v="1"/>
    <n v="82"/>
    <n v="3"/>
    <n v="3"/>
    <x v="3"/>
    <n v="4"/>
    <s v="Divorced"/>
    <n v="8578"/>
    <n v="19989"/>
    <n v="3"/>
    <s v="Y"/>
    <x v="1"/>
    <n v="14"/>
    <n v="3"/>
    <n v="3"/>
    <n v="80"/>
    <n v="1"/>
    <n v="12"/>
    <n v="4"/>
    <n v="2"/>
    <n v="9"/>
    <n v="8"/>
    <n v="4"/>
    <n v="7"/>
    <x v="1"/>
    <s v="High"/>
  </r>
  <r>
    <n v="28"/>
    <x v="1"/>
    <s v="Non-Travel"/>
    <n v="280"/>
    <x v="2"/>
    <n v="1"/>
    <n v="2"/>
    <s v="Life Sciences"/>
    <n v="1"/>
    <n v="1858"/>
    <n v="3"/>
    <x v="1"/>
    <n v="43"/>
    <n v="3"/>
    <n v="1"/>
    <x v="8"/>
    <n v="4"/>
    <s v="Divorced"/>
    <n v="2706"/>
    <n v="10494"/>
    <n v="1"/>
    <s v="Y"/>
    <x v="1"/>
    <n v="15"/>
    <n v="3"/>
    <n v="2"/>
    <n v="80"/>
    <n v="1"/>
    <n v="3"/>
    <n v="2"/>
    <n v="3"/>
    <n v="3"/>
    <n v="2"/>
    <n v="2"/>
    <n v="2"/>
    <x v="2"/>
    <s v="Low"/>
  </r>
  <r>
    <n v="29"/>
    <x v="1"/>
    <s v="Travel_Rarely"/>
    <n v="726"/>
    <x v="1"/>
    <n v="29"/>
    <n v="1"/>
    <s v="Life Sciences"/>
    <n v="1"/>
    <n v="1859"/>
    <n v="4"/>
    <x v="1"/>
    <n v="93"/>
    <n v="1"/>
    <n v="2"/>
    <x v="4"/>
    <n v="3"/>
    <s v="Divorced"/>
    <n v="6384"/>
    <n v="21143"/>
    <n v="8"/>
    <s v="Y"/>
    <x v="1"/>
    <n v="17"/>
    <n v="3"/>
    <n v="4"/>
    <n v="80"/>
    <n v="2"/>
    <n v="11"/>
    <n v="3"/>
    <n v="3"/>
    <n v="7"/>
    <n v="0"/>
    <n v="1"/>
    <n v="6"/>
    <x v="2"/>
    <s v="Mid"/>
  </r>
  <r>
    <n v="42"/>
    <x v="1"/>
    <s v="Travel_Rarely"/>
    <n v="1142"/>
    <x v="1"/>
    <n v="8"/>
    <n v="3"/>
    <s v="Life Sciences"/>
    <n v="1"/>
    <n v="1860"/>
    <n v="4"/>
    <x v="1"/>
    <n v="81"/>
    <n v="3"/>
    <n v="1"/>
    <x v="2"/>
    <n v="3"/>
    <s v="Single"/>
    <n v="3968"/>
    <n v="13624"/>
    <n v="4"/>
    <s v="Y"/>
    <x v="1"/>
    <n v="13"/>
    <n v="3"/>
    <n v="4"/>
    <n v="80"/>
    <n v="0"/>
    <n v="8"/>
    <n v="3"/>
    <n v="3"/>
    <n v="0"/>
    <n v="0"/>
    <n v="0"/>
    <n v="0"/>
    <x v="0"/>
    <s v="Mid"/>
  </r>
  <r>
    <n v="32"/>
    <x v="0"/>
    <s v="Travel_Rarely"/>
    <n v="414"/>
    <x v="0"/>
    <n v="2"/>
    <n v="4"/>
    <s v="Marketing"/>
    <n v="1"/>
    <n v="1862"/>
    <n v="3"/>
    <x v="1"/>
    <n v="82"/>
    <n v="2"/>
    <n v="2"/>
    <x v="0"/>
    <n v="2"/>
    <s v="Single"/>
    <n v="9907"/>
    <n v="26186"/>
    <n v="7"/>
    <s v="Y"/>
    <x v="0"/>
    <n v="12"/>
    <n v="3"/>
    <n v="3"/>
    <n v="80"/>
    <n v="0"/>
    <n v="7"/>
    <n v="3"/>
    <n v="2"/>
    <n v="2"/>
    <n v="2"/>
    <n v="2"/>
    <n v="2"/>
    <x v="2"/>
    <s v="High"/>
  </r>
  <r>
    <n v="46"/>
    <x v="1"/>
    <s v="Travel_Rarely"/>
    <n v="1319"/>
    <x v="0"/>
    <n v="3"/>
    <n v="3"/>
    <s v="Technical Degree"/>
    <n v="1"/>
    <n v="1863"/>
    <n v="1"/>
    <x v="0"/>
    <n v="45"/>
    <n v="4"/>
    <n v="4"/>
    <x v="0"/>
    <n v="1"/>
    <s v="Divorced"/>
    <n v="13225"/>
    <n v="7739"/>
    <n v="2"/>
    <s v="Y"/>
    <x v="1"/>
    <n v="12"/>
    <n v="3"/>
    <n v="4"/>
    <n v="80"/>
    <n v="1"/>
    <n v="25"/>
    <n v="5"/>
    <n v="3"/>
    <n v="19"/>
    <n v="17"/>
    <n v="2"/>
    <n v="8"/>
    <x v="1"/>
    <s v="Top"/>
  </r>
  <r>
    <n v="27"/>
    <x v="1"/>
    <s v="Travel_Rarely"/>
    <n v="728"/>
    <x v="0"/>
    <n v="23"/>
    <n v="1"/>
    <s v="Medical"/>
    <n v="1"/>
    <n v="1864"/>
    <n v="2"/>
    <x v="0"/>
    <n v="36"/>
    <n v="2"/>
    <n v="2"/>
    <x v="6"/>
    <n v="3"/>
    <s v="Married"/>
    <n v="3540"/>
    <n v="7018"/>
    <n v="1"/>
    <s v="Y"/>
    <x v="1"/>
    <n v="21"/>
    <n v="4"/>
    <n v="4"/>
    <n v="80"/>
    <n v="1"/>
    <n v="9"/>
    <n v="5"/>
    <n v="3"/>
    <n v="9"/>
    <n v="8"/>
    <n v="5"/>
    <n v="8"/>
    <x v="2"/>
    <s v="Mid"/>
  </r>
  <r>
    <n v="29"/>
    <x v="1"/>
    <s v="Travel_Rarely"/>
    <n v="352"/>
    <x v="2"/>
    <n v="6"/>
    <n v="1"/>
    <s v="Medical"/>
    <n v="1"/>
    <n v="1865"/>
    <n v="4"/>
    <x v="1"/>
    <n v="87"/>
    <n v="2"/>
    <n v="1"/>
    <x v="8"/>
    <n v="2"/>
    <s v="Married"/>
    <n v="2804"/>
    <n v="15434"/>
    <n v="1"/>
    <s v="Y"/>
    <x v="1"/>
    <n v="11"/>
    <n v="3"/>
    <n v="4"/>
    <n v="80"/>
    <n v="0"/>
    <n v="1"/>
    <n v="3"/>
    <n v="3"/>
    <n v="1"/>
    <n v="0"/>
    <n v="0"/>
    <n v="0"/>
    <x v="2"/>
    <s v="Low"/>
  </r>
  <r>
    <n v="43"/>
    <x v="1"/>
    <s v="Travel_Rarely"/>
    <n v="823"/>
    <x v="1"/>
    <n v="6"/>
    <n v="3"/>
    <s v="Medical"/>
    <n v="1"/>
    <n v="1866"/>
    <n v="1"/>
    <x v="0"/>
    <n v="81"/>
    <n v="2"/>
    <n v="5"/>
    <x v="5"/>
    <n v="3"/>
    <s v="Married"/>
    <n v="19392"/>
    <n v="22539"/>
    <n v="7"/>
    <s v="Y"/>
    <x v="1"/>
    <n v="13"/>
    <n v="3"/>
    <n v="4"/>
    <n v="80"/>
    <n v="0"/>
    <n v="21"/>
    <n v="2"/>
    <n v="3"/>
    <n v="16"/>
    <n v="12"/>
    <n v="6"/>
    <n v="14"/>
    <x v="0"/>
    <s v="Top"/>
  </r>
  <r>
    <n v="48"/>
    <x v="1"/>
    <s v="Travel_Rarely"/>
    <n v="1224"/>
    <x v="1"/>
    <n v="10"/>
    <n v="3"/>
    <s v="Life Sciences"/>
    <n v="1"/>
    <n v="1867"/>
    <n v="4"/>
    <x v="1"/>
    <n v="91"/>
    <n v="2"/>
    <n v="5"/>
    <x v="7"/>
    <n v="2"/>
    <s v="Married"/>
    <n v="19665"/>
    <n v="13583"/>
    <n v="4"/>
    <s v="Y"/>
    <x v="1"/>
    <n v="12"/>
    <n v="3"/>
    <n v="4"/>
    <n v="80"/>
    <n v="0"/>
    <n v="29"/>
    <n v="3"/>
    <n v="3"/>
    <n v="22"/>
    <n v="10"/>
    <n v="12"/>
    <n v="9"/>
    <x v="1"/>
    <s v="Top"/>
  </r>
  <r>
    <n v="29"/>
    <x v="0"/>
    <s v="Travel_Frequently"/>
    <n v="459"/>
    <x v="1"/>
    <n v="24"/>
    <n v="2"/>
    <s v="Life Sciences"/>
    <n v="1"/>
    <n v="1868"/>
    <n v="4"/>
    <x v="1"/>
    <n v="73"/>
    <n v="2"/>
    <n v="1"/>
    <x v="1"/>
    <n v="4"/>
    <s v="Single"/>
    <n v="2439"/>
    <n v="14753"/>
    <n v="1"/>
    <s v="Y"/>
    <x v="0"/>
    <n v="24"/>
    <n v="4"/>
    <n v="2"/>
    <n v="80"/>
    <n v="0"/>
    <n v="1"/>
    <n v="3"/>
    <n v="2"/>
    <n v="1"/>
    <n v="0"/>
    <n v="1"/>
    <n v="0"/>
    <x v="2"/>
    <s v="Low"/>
  </r>
  <r>
    <n v="46"/>
    <x v="0"/>
    <s v="Travel_Rarely"/>
    <n v="1254"/>
    <x v="0"/>
    <n v="10"/>
    <n v="3"/>
    <s v="Life Sciences"/>
    <n v="1"/>
    <n v="1869"/>
    <n v="3"/>
    <x v="0"/>
    <n v="64"/>
    <n v="3"/>
    <n v="3"/>
    <x v="0"/>
    <n v="2"/>
    <s v="Married"/>
    <n v="7314"/>
    <n v="14011"/>
    <n v="5"/>
    <s v="Y"/>
    <x v="1"/>
    <n v="21"/>
    <n v="4"/>
    <n v="3"/>
    <n v="80"/>
    <n v="3"/>
    <n v="14"/>
    <n v="2"/>
    <n v="3"/>
    <n v="8"/>
    <n v="7"/>
    <n v="0"/>
    <n v="7"/>
    <x v="1"/>
    <s v="High"/>
  </r>
  <r>
    <n v="27"/>
    <x v="1"/>
    <s v="Travel_Frequently"/>
    <n v="1131"/>
    <x v="1"/>
    <n v="15"/>
    <n v="3"/>
    <s v="Life Sciences"/>
    <n v="1"/>
    <n v="1870"/>
    <n v="4"/>
    <x v="0"/>
    <n v="77"/>
    <n v="2"/>
    <n v="1"/>
    <x v="1"/>
    <n v="1"/>
    <s v="Married"/>
    <n v="4774"/>
    <n v="23844"/>
    <n v="0"/>
    <s v="Y"/>
    <x v="1"/>
    <n v="19"/>
    <n v="3"/>
    <n v="4"/>
    <n v="80"/>
    <n v="1"/>
    <n v="8"/>
    <n v="2"/>
    <n v="2"/>
    <n v="7"/>
    <n v="6"/>
    <n v="7"/>
    <n v="3"/>
    <x v="2"/>
    <s v="Mid"/>
  </r>
  <r>
    <n v="39"/>
    <x v="1"/>
    <s v="Travel_Rarely"/>
    <n v="835"/>
    <x v="1"/>
    <n v="19"/>
    <n v="4"/>
    <s v="Other"/>
    <n v="1"/>
    <n v="1871"/>
    <n v="4"/>
    <x v="1"/>
    <n v="41"/>
    <n v="3"/>
    <n v="2"/>
    <x v="1"/>
    <n v="4"/>
    <s v="Divorced"/>
    <n v="3902"/>
    <n v="5141"/>
    <n v="8"/>
    <s v="Y"/>
    <x v="1"/>
    <n v="14"/>
    <n v="3"/>
    <n v="2"/>
    <n v="80"/>
    <n v="3"/>
    <n v="7"/>
    <n v="2"/>
    <n v="3"/>
    <n v="2"/>
    <n v="2"/>
    <n v="2"/>
    <n v="2"/>
    <x v="0"/>
    <s v="Mid"/>
  </r>
  <r>
    <n v="55"/>
    <x v="1"/>
    <s v="Travel_Rarely"/>
    <n v="836"/>
    <x v="1"/>
    <n v="2"/>
    <n v="4"/>
    <s v="Technical Degree"/>
    <n v="1"/>
    <n v="1873"/>
    <n v="2"/>
    <x v="1"/>
    <n v="98"/>
    <n v="2"/>
    <n v="1"/>
    <x v="1"/>
    <n v="4"/>
    <s v="Married"/>
    <n v="2662"/>
    <n v="7975"/>
    <n v="8"/>
    <s v="Y"/>
    <x v="1"/>
    <n v="20"/>
    <n v="4"/>
    <n v="2"/>
    <n v="80"/>
    <n v="1"/>
    <n v="19"/>
    <n v="2"/>
    <n v="4"/>
    <n v="5"/>
    <n v="2"/>
    <n v="0"/>
    <n v="4"/>
    <x v="1"/>
    <s v="Low"/>
  </r>
  <r>
    <n v="28"/>
    <x v="1"/>
    <s v="Travel_Rarely"/>
    <n v="1172"/>
    <x v="0"/>
    <n v="3"/>
    <n v="3"/>
    <s v="Medical"/>
    <n v="1"/>
    <n v="1875"/>
    <n v="2"/>
    <x v="0"/>
    <n v="78"/>
    <n v="3"/>
    <n v="1"/>
    <x v="6"/>
    <n v="2"/>
    <s v="Married"/>
    <n v="2856"/>
    <n v="3692"/>
    <n v="1"/>
    <s v="Y"/>
    <x v="1"/>
    <n v="19"/>
    <n v="3"/>
    <n v="4"/>
    <n v="80"/>
    <n v="1"/>
    <n v="1"/>
    <n v="3"/>
    <n v="3"/>
    <n v="1"/>
    <n v="0"/>
    <n v="0"/>
    <n v="0"/>
    <x v="2"/>
    <s v="Low"/>
  </r>
  <r>
    <n v="30"/>
    <x v="0"/>
    <s v="Travel_Rarely"/>
    <n v="945"/>
    <x v="0"/>
    <n v="9"/>
    <n v="3"/>
    <s v="Medical"/>
    <n v="1"/>
    <n v="1876"/>
    <n v="2"/>
    <x v="1"/>
    <n v="89"/>
    <n v="3"/>
    <n v="1"/>
    <x v="6"/>
    <n v="4"/>
    <s v="Single"/>
    <n v="1081"/>
    <n v="16019"/>
    <n v="1"/>
    <s v="Y"/>
    <x v="1"/>
    <n v="13"/>
    <n v="3"/>
    <n v="3"/>
    <n v="80"/>
    <n v="0"/>
    <n v="1"/>
    <n v="3"/>
    <n v="2"/>
    <n v="1"/>
    <n v="0"/>
    <n v="0"/>
    <n v="0"/>
    <x v="2"/>
    <s v="Low"/>
  </r>
  <r>
    <n v="22"/>
    <x v="0"/>
    <s v="Travel_Rarely"/>
    <n v="391"/>
    <x v="1"/>
    <n v="7"/>
    <n v="1"/>
    <s v="Life Sciences"/>
    <n v="1"/>
    <n v="1878"/>
    <n v="4"/>
    <x v="1"/>
    <n v="75"/>
    <n v="3"/>
    <n v="1"/>
    <x v="1"/>
    <n v="2"/>
    <s v="Single"/>
    <n v="2472"/>
    <n v="26092"/>
    <n v="1"/>
    <s v="Y"/>
    <x v="0"/>
    <n v="23"/>
    <n v="4"/>
    <n v="1"/>
    <n v="80"/>
    <n v="0"/>
    <n v="1"/>
    <n v="2"/>
    <n v="3"/>
    <n v="1"/>
    <n v="0"/>
    <n v="0"/>
    <n v="0"/>
    <x v="3"/>
    <s v="Low"/>
  </r>
  <r>
    <n v="36"/>
    <x v="1"/>
    <s v="Travel_Rarely"/>
    <n v="1266"/>
    <x v="0"/>
    <n v="10"/>
    <n v="4"/>
    <s v="Technical Degree"/>
    <n v="1"/>
    <n v="1880"/>
    <n v="2"/>
    <x v="0"/>
    <n v="63"/>
    <n v="2"/>
    <n v="2"/>
    <x v="0"/>
    <n v="3"/>
    <s v="Married"/>
    <n v="5673"/>
    <n v="6060"/>
    <n v="1"/>
    <s v="Y"/>
    <x v="0"/>
    <n v="13"/>
    <n v="3"/>
    <n v="1"/>
    <n v="80"/>
    <n v="1"/>
    <n v="10"/>
    <n v="4"/>
    <n v="3"/>
    <n v="10"/>
    <n v="9"/>
    <n v="1"/>
    <n v="7"/>
    <x v="0"/>
    <s v="Mid"/>
  </r>
  <r>
    <n v="31"/>
    <x v="1"/>
    <s v="Travel_Rarely"/>
    <n v="311"/>
    <x v="1"/>
    <n v="20"/>
    <n v="3"/>
    <s v="Life Sciences"/>
    <n v="1"/>
    <n v="1881"/>
    <n v="2"/>
    <x v="1"/>
    <n v="89"/>
    <n v="3"/>
    <n v="2"/>
    <x v="2"/>
    <n v="3"/>
    <s v="Divorced"/>
    <n v="4197"/>
    <n v="18624"/>
    <n v="1"/>
    <s v="Y"/>
    <x v="1"/>
    <n v="11"/>
    <n v="3"/>
    <n v="1"/>
    <n v="80"/>
    <n v="1"/>
    <n v="10"/>
    <n v="2"/>
    <n v="3"/>
    <n v="10"/>
    <n v="8"/>
    <n v="0"/>
    <n v="2"/>
    <x v="2"/>
    <s v="Mid"/>
  </r>
  <r>
    <n v="34"/>
    <x v="1"/>
    <s v="Travel_Rarely"/>
    <n v="1480"/>
    <x v="0"/>
    <n v="4"/>
    <n v="3"/>
    <s v="Life Sciences"/>
    <n v="1"/>
    <n v="1882"/>
    <n v="3"/>
    <x v="1"/>
    <n v="64"/>
    <n v="3"/>
    <n v="3"/>
    <x v="0"/>
    <n v="4"/>
    <s v="Married"/>
    <n v="9713"/>
    <n v="24444"/>
    <n v="2"/>
    <s v="Y"/>
    <x v="0"/>
    <n v="13"/>
    <n v="3"/>
    <n v="4"/>
    <n v="80"/>
    <n v="3"/>
    <n v="9"/>
    <n v="3"/>
    <n v="3"/>
    <n v="5"/>
    <n v="3"/>
    <n v="1"/>
    <n v="0"/>
    <x v="2"/>
    <s v="High"/>
  </r>
  <r>
    <n v="29"/>
    <x v="1"/>
    <s v="Travel_Rarely"/>
    <n v="592"/>
    <x v="1"/>
    <n v="7"/>
    <n v="3"/>
    <s v="Life Sciences"/>
    <n v="1"/>
    <n v="1883"/>
    <n v="4"/>
    <x v="1"/>
    <n v="59"/>
    <n v="3"/>
    <n v="1"/>
    <x v="2"/>
    <n v="1"/>
    <s v="Single"/>
    <n v="2062"/>
    <n v="19384"/>
    <n v="3"/>
    <s v="Y"/>
    <x v="1"/>
    <n v="14"/>
    <n v="3"/>
    <n v="2"/>
    <n v="80"/>
    <n v="0"/>
    <n v="11"/>
    <n v="2"/>
    <n v="3"/>
    <n v="3"/>
    <n v="2"/>
    <n v="1"/>
    <n v="2"/>
    <x v="2"/>
    <s v="Low"/>
  </r>
  <r>
    <n v="37"/>
    <x v="1"/>
    <s v="Travel_Rarely"/>
    <n v="783"/>
    <x v="1"/>
    <n v="7"/>
    <n v="4"/>
    <s v="Medical"/>
    <n v="1"/>
    <n v="1885"/>
    <n v="4"/>
    <x v="1"/>
    <n v="78"/>
    <n v="3"/>
    <n v="2"/>
    <x v="1"/>
    <n v="1"/>
    <s v="Married"/>
    <n v="4284"/>
    <n v="13588"/>
    <n v="5"/>
    <s v="Y"/>
    <x v="0"/>
    <n v="22"/>
    <n v="4"/>
    <n v="3"/>
    <n v="80"/>
    <n v="1"/>
    <n v="16"/>
    <n v="2"/>
    <n v="3"/>
    <n v="5"/>
    <n v="3"/>
    <n v="0"/>
    <n v="4"/>
    <x v="0"/>
    <s v="Mid"/>
  </r>
  <r>
    <n v="35"/>
    <x v="1"/>
    <s v="Travel_Rarely"/>
    <n v="219"/>
    <x v="1"/>
    <n v="16"/>
    <n v="2"/>
    <s v="Other"/>
    <n v="1"/>
    <n v="1886"/>
    <n v="4"/>
    <x v="0"/>
    <n v="44"/>
    <n v="2"/>
    <n v="2"/>
    <x v="3"/>
    <n v="2"/>
    <s v="Married"/>
    <n v="4788"/>
    <n v="25388"/>
    <n v="0"/>
    <s v="Y"/>
    <x v="0"/>
    <n v="11"/>
    <n v="3"/>
    <n v="4"/>
    <n v="80"/>
    <n v="0"/>
    <n v="4"/>
    <n v="2"/>
    <n v="3"/>
    <n v="3"/>
    <n v="2"/>
    <n v="0"/>
    <n v="2"/>
    <x v="2"/>
    <s v="Mid"/>
  </r>
  <r>
    <n v="45"/>
    <x v="1"/>
    <s v="Travel_Rarely"/>
    <n v="556"/>
    <x v="1"/>
    <n v="25"/>
    <n v="2"/>
    <s v="Life Sciences"/>
    <n v="1"/>
    <n v="1888"/>
    <n v="2"/>
    <x v="0"/>
    <n v="93"/>
    <n v="2"/>
    <n v="2"/>
    <x v="3"/>
    <n v="4"/>
    <s v="Married"/>
    <n v="5906"/>
    <n v="23888"/>
    <n v="0"/>
    <s v="Y"/>
    <x v="1"/>
    <n v="13"/>
    <n v="3"/>
    <n v="4"/>
    <n v="80"/>
    <n v="2"/>
    <n v="10"/>
    <n v="2"/>
    <n v="2"/>
    <n v="9"/>
    <n v="8"/>
    <n v="3"/>
    <n v="8"/>
    <x v="0"/>
    <s v="Mid"/>
  </r>
  <r>
    <n v="36"/>
    <x v="1"/>
    <s v="Travel_Frequently"/>
    <n v="1213"/>
    <x v="2"/>
    <n v="2"/>
    <n v="1"/>
    <s v="Human Resources"/>
    <n v="1"/>
    <n v="1890"/>
    <n v="2"/>
    <x v="1"/>
    <n v="94"/>
    <n v="2"/>
    <n v="2"/>
    <x v="8"/>
    <n v="4"/>
    <s v="Single"/>
    <n v="3886"/>
    <n v="4223"/>
    <n v="1"/>
    <s v="Y"/>
    <x v="1"/>
    <n v="21"/>
    <n v="4"/>
    <n v="4"/>
    <n v="80"/>
    <n v="0"/>
    <n v="10"/>
    <n v="2"/>
    <n v="2"/>
    <n v="10"/>
    <n v="1"/>
    <n v="0"/>
    <n v="8"/>
    <x v="0"/>
    <s v="Mid"/>
  </r>
  <r>
    <n v="40"/>
    <x v="1"/>
    <s v="Travel_Rarely"/>
    <n v="1137"/>
    <x v="1"/>
    <n v="1"/>
    <n v="4"/>
    <s v="Life Sciences"/>
    <n v="1"/>
    <n v="1892"/>
    <n v="1"/>
    <x v="1"/>
    <n v="98"/>
    <n v="3"/>
    <n v="4"/>
    <x v="5"/>
    <n v="1"/>
    <s v="Divorced"/>
    <n v="16823"/>
    <n v="18991"/>
    <n v="2"/>
    <s v="Y"/>
    <x v="1"/>
    <n v="11"/>
    <n v="3"/>
    <n v="1"/>
    <n v="80"/>
    <n v="1"/>
    <n v="22"/>
    <n v="3"/>
    <n v="3"/>
    <n v="19"/>
    <n v="7"/>
    <n v="11"/>
    <n v="16"/>
    <x v="0"/>
    <s v="Top"/>
  </r>
  <r>
    <n v="26"/>
    <x v="1"/>
    <s v="Travel_Rarely"/>
    <n v="482"/>
    <x v="1"/>
    <n v="1"/>
    <n v="2"/>
    <s v="Life Sciences"/>
    <n v="1"/>
    <n v="1893"/>
    <n v="2"/>
    <x v="0"/>
    <n v="90"/>
    <n v="2"/>
    <n v="1"/>
    <x v="1"/>
    <n v="3"/>
    <s v="Married"/>
    <n v="2933"/>
    <n v="14908"/>
    <n v="1"/>
    <s v="Y"/>
    <x v="0"/>
    <n v="13"/>
    <n v="3"/>
    <n v="3"/>
    <n v="80"/>
    <n v="1"/>
    <n v="1"/>
    <n v="3"/>
    <n v="2"/>
    <n v="1"/>
    <n v="0"/>
    <n v="1"/>
    <n v="0"/>
    <x v="2"/>
    <s v="Low"/>
  </r>
  <r>
    <n v="27"/>
    <x v="1"/>
    <s v="Travel_Rarely"/>
    <n v="511"/>
    <x v="0"/>
    <n v="2"/>
    <n v="2"/>
    <s v="Medical"/>
    <n v="1"/>
    <n v="1898"/>
    <n v="1"/>
    <x v="0"/>
    <n v="89"/>
    <n v="4"/>
    <n v="2"/>
    <x v="0"/>
    <n v="3"/>
    <s v="Single"/>
    <n v="6500"/>
    <n v="26997"/>
    <n v="0"/>
    <s v="Y"/>
    <x v="1"/>
    <n v="14"/>
    <n v="3"/>
    <n v="2"/>
    <n v="80"/>
    <n v="0"/>
    <n v="9"/>
    <n v="5"/>
    <n v="2"/>
    <n v="8"/>
    <n v="7"/>
    <n v="0"/>
    <n v="7"/>
    <x v="2"/>
    <s v="Mid"/>
  </r>
  <r>
    <n v="48"/>
    <x v="1"/>
    <s v="Travel_Frequently"/>
    <n v="117"/>
    <x v="1"/>
    <n v="22"/>
    <n v="3"/>
    <s v="Medical"/>
    <n v="1"/>
    <n v="1900"/>
    <n v="4"/>
    <x v="0"/>
    <n v="58"/>
    <n v="3"/>
    <n v="4"/>
    <x v="5"/>
    <n v="4"/>
    <s v="Divorced"/>
    <n v="17174"/>
    <n v="2437"/>
    <n v="3"/>
    <s v="Y"/>
    <x v="1"/>
    <n v="11"/>
    <n v="3"/>
    <n v="2"/>
    <n v="80"/>
    <n v="1"/>
    <n v="24"/>
    <n v="3"/>
    <n v="3"/>
    <n v="22"/>
    <n v="17"/>
    <n v="4"/>
    <n v="7"/>
    <x v="1"/>
    <s v="Top"/>
  </r>
  <r>
    <n v="44"/>
    <x v="1"/>
    <s v="Travel_Rarely"/>
    <n v="170"/>
    <x v="1"/>
    <n v="1"/>
    <n v="4"/>
    <s v="Life Sciences"/>
    <n v="1"/>
    <n v="1903"/>
    <n v="2"/>
    <x v="1"/>
    <n v="78"/>
    <n v="4"/>
    <n v="2"/>
    <x v="4"/>
    <n v="1"/>
    <s v="Married"/>
    <n v="5033"/>
    <n v="9364"/>
    <n v="2"/>
    <s v="Y"/>
    <x v="1"/>
    <n v="15"/>
    <n v="3"/>
    <n v="4"/>
    <n v="80"/>
    <n v="1"/>
    <n v="10"/>
    <n v="5"/>
    <n v="3"/>
    <n v="2"/>
    <n v="0"/>
    <n v="2"/>
    <n v="2"/>
    <x v="0"/>
    <s v="Mid"/>
  </r>
  <r>
    <n v="34"/>
    <x v="0"/>
    <s v="Non-Travel"/>
    <n v="967"/>
    <x v="1"/>
    <n v="16"/>
    <n v="4"/>
    <s v="Technical Degree"/>
    <n v="1"/>
    <n v="1905"/>
    <n v="4"/>
    <x v="1"/>
    <n v="85"/>
    <n v="1"/>
    <n v="1"/>
    <x v="1"/>
    <n v="1"/>
    <s v="Married"/>
    <n v="2307"/>
    <n v="14460"/>
    <n v="1"/>
    <s v="Y"/>
    <x v="0"/>
    <n v="23"/>
    <n v="4"/>
    <n v="2"/>
    <n v="80"/>
    <n v="1"/>
    <n v="5"/>
    <n v="2"/>
    <n v="3"/>
    <n v="5"/>
    <n v="2"/>
    <n v="3"/>
    <n v="0"/>
    <x v="2"/>
    <s v="Low"/>
  </r>
  <r>
    <n v="56"/>
    <x v="0"/>
    <s v="Travel_Rarely"/>
    <n v="1162"/>
    <x v="1"/>
    <n v="24"/>
    <n v="2"/>
    <s v="Life Sciences"/>
    <n v="1"/>
    <n v="1907"/>
    <n v="1"/>
    <x v="1"/>
    <n v="97"/>
    <n v="3"/>
    <n v="1"/>
    <x v="2"/>
    <n v="4"/>
    <s v="Single"/>
    <n v="2587"/>
    <n v="10261"/>
    <n v="1"/>
    <s v="Y"/>
    <x v="1"/>
    <n v="16"/>
    <n v="3"/>
    <n v="4"/>
    <n v="80"/>
    <n v="0"/>
    <n v="5"/>
    <n v="3"/>
    <n v="3"/>
    <n v="4"/>
    <n v="2"/>
    <n v="1"/>
    <n v="0"/>
    <x v="1"/>
    <s v="Low"/>
  </r>
  <r>
    <n v="36"/>
    <x v="1"/>
    <s v="Travel_Rarely"/>
    <n v="335"/>
    <x v="0"/>
    <n v="17"/>
    <n v="2"/>
    <s v="Marketing"/>
    <n v="1"/>
    <n v="1908"/>
    <n v="3"/>
    <x v="1"/>
    <n v="33"/>
    <n v="2"/>
    <n v="2"/>
    <x v="0"/>
    <n v="2"/>
    <s v="Married"/>
    <n v="5507"/>
    <n v="16822"/>
    <n v="2"/>
    <s v="Y"/>
    <x v="1"/>
    <n v="16"/>
    <n v="3"/>
    <n v="3"/>
    <n v="80"/>
    <n v="2"/>
    <n v="12"/>
    <n v="1"/>
    <n v="1"/>
    <n v="4"/>
    <n v="2"/>
    <n v="1"/>
    <n v="3"/>
    <x v="0"/>
    <s v="Mid"/>
  </r>
  <r>
    <n v="41"/>
    <x v="1"/>
    <s v="Travel_Rarely"/>
    <n v="337"/>
    <x v="0"/>
    <n v="8"/>
    <n v="3"/>
    <s v="Marketing"/>
    <n v="1"/>
    <n v="1909"/>
    <n v="3"/>
    <x v="0"/>
    <n v="54"/>
    <n v="3"/>
    <n v="2"/>
    <x v="0"/>
    <n v="2"/>
    <s v="Married"/>
    <n v="4393"/>
    <n v="26841"/>
    <n v="5"/>
    <s v="Y"/>
    <x v="1"/>
    <n v="21"/>
    <n v="4"/>
    <n v="3"/>
    <n v="80"/>
    <n v="1"/>
    <n v="14"/>
    <n v="3"/>
    <n v="3"/>
    <n v="5"/>
    <n v="4"/>
    <n v="1"/>
    <n v="4"/>
    <x v="0"/>
    <s v="Mid"/>
  </r>
  <r>
    <n v="42"/>
    <x v="1"/>
    <s v="Travel_Rarely"/>
    <n v="1396"/>
    <x v="1"/>
    <n v="6"/>
    <n v="3"/>
    <s v="Medical"/>
    <n v="1"/>
    <n v="1911"/>
    <n v="3"/>
    <x v="1"/>
    <n v="83"/>
    <n v="3"/>
    <n v="3"/>
    <x v="7"/>
    <n v="1"/>
    <s v="Married"/>
    <n v="13348"/>
    <n v="14842"/>
    <n v="9"/>
    <s v="Y"/>
    <x v="1"/>
    <n v="13"/>
    <n v="3"/>
    <n v="2"/>
    <n v="80"/>
    <n v="1"/>
    <n v="18"/>
    <n v="3"/>
    <n v="4"/>
    <n v="13"/>
    <n v="7"/>
    <n v="5"/>
    <n v="7"/>
    <x v="0"/>
    <s v="Top"/>
  </r>
  <r>
    <n v="31"/>
    <x v="1"/>
    <s v="Travel_Rarely"/>
    <n v="1079"/>
    <x v="0"/>
    <n v="10"/>
    <n v="2"/>
    <s v="Medical"/>
    <n v="1"/>
    <n v="1912"/>
    <n v="3"/>
    <x v="0"/>
    <n v="86"/>
    <n v="3"/>
    <n v="2"/>
    <x v="0"/>
    <n v="4"/>
    <s v="Divorced"/>
    <n v="6583"/>
    <n v="20115"/>
    <n v="2"/>
    <s v="Y"/>
    <x v="0"/>
    <n v="11"/>
    <n v="3"/>
    <n v="4"/>
    <n v="80"/>
    <n v="1"/>
    <n v="8"/>
    <n v="2"/>
    <n v="3"/>
    <n v="5"/>
    <n v="2"/>
    <n v="1"/>
    <n v="4"/>
    <x v="2"/>
    <s v="Mid"/>
  </r>
  <r>
    <n v="34"/>
    <x v="1"/>
    <s v="Travel_Rarely"/>
    <n v="735"/>
    <x v="0"/>
    <n v="3"/>
    <n v="1"/>
    <s v="Medical"/>
    <n v="1"/>
    <n v="1915"/>
    <n v="4"/>
    <x v="0"/>
    <n v="75"/>
    <n v="2"/>
    <n v="2"/>
    <x v="0"/>
    <n v="4"/>
    <s v="Married"/>
    <n v="8103"/>
    <n v="16495"/>
    <n v="3"/>
    <s v="Y"/>
    <x v="0"/>
    <n v="12"/>
    <n v="3"/>
    <n v="3"/>
    <n v="80"/>
    <n v="0"/>
    <n v="9"/>
    <n v="3"/>
    <n v="2"/>
    <n v="4"/>
    <n v="2"/>
    <n v="0"/>
    <n v="1"/>
    <x v="2"/>
    <s v="High"/>
  </r>
  <r>
    <n v="31"/>
    <x v="1"/>
    <s v="Travel_Rarely"/>
    <n v="471"/>
    <x v="1"/>
    <n v="4"/>
    <n v="3"/>
    <s v="Medical"/>
    <n v="1"/>
    <n v="1916"/>
    <n v="1"/>
    <x v="0"/>
    <n v="62"/>
    <n v="4"/>
    <n v="1"/>
    <x v="2"/>
    <n v="3"/>
    <s v="Divorced"/>
    <n v="3978"/>
    <n v="16031"/>
    <n v="8"/>
    <s v="Y"/>
    <x v="1"/>
    <n v="12"/>
    <n v="3"/>
    <n v="2"/>
    <n v="80"/>
    <n v="1"/>
    <n v="4"/>
    <n v="0"/>
    <n v="2"/>
    <n v="2"/>
    <n v="2"/>
    <n v="2"/>
    <n v="2"/>
    <x v="2"/>
    <s v="Mid"/>
  </r>
  <r>
    <n v="26"/>
    <x v="1"/>
    <s v="Travel_Frequently"/>
    <n v="1096"/>
    <x v="1"/>
    <n v="6"/>
    <n v="3"/>
    <s v="Other"/>
    <n v="1"/>
    <n v="1918"/>
    <n v="3"/>
    <x v="1"/>
    <n v="61"/>
    <n v="4"/>
    <n v="1"/>
    <x v="2"/>
    <n v="4"/>
    <s v="Married"/>
    <n v="2544"/>
    <n v="7102"/>
    <n v="0"/>
    <s v="Y"/>
    <x v="1"/>
    <n v="18"/>
    <n v="3"/>
    <n v="1"/>
    <n v="80"/>
    <n v="1"/>
    <n v="8"/>
    <n v="3"/>
    <n v="3"/>
    <n v="7"/>
    <n v="7"/>
    <n v="7"/>
    <n v="7"/>
    <x v="2"/>
    <s v="Low"/>
  </r>
  <r>
    <n v="45"/>
    <x v="1"/>
    <s v="Travel_Frequently"/>
    <n v="1297"/>
    <x v="1"/>
    <n v="1"/>
    <n v="4"/>
    <s v="Medical"/>
    <n v="1"/>
    <n v="1922"/>
    <n v="2"/>
    <x v="1"/>
    <n v="44"/>
    <n v="3"/>
    <n v="2"/>
    <x v="4"/>
    <n v="3"/>
    <s v="Single"/>
    <n v="5399"/>
    <n v="14511"/>
    <n v="4"/>
    <s v="Y"/>
    <x v="1"/>
    <n v="12"/>
    <n v="3"/>
    <n v="3"/>
    <n v="80"/>
    <n v="0"/>
    <n v="12"/>
    <n v="3"/>
    <n v="3"/>
    <n v="4"/>
    <n v="2"/>
    <n v="0"/>
    <n v="3"/>
    <x v="0"/>
    <s v="Mid"/>
  </r>
  <r>
    <n v="33"/>
    <x v="1"/>
    <s v="Travel_Rarely"/>
    <n v="217"/>
    <x v="0"/>
    <n v="10"/>
    <n v="4"/>
    <s v="Marketing"/>
    <n v="1"/>
    <n v="1924"/>
    <n v="2"/>
    <x v="1"/>
    <n v="43"/>
    <n v="3"/>
    <n v="2"/>
    <x v="0"/>
    <n v="3"/>
    <s v="Single"/>
    <n v="5487"/>
    <n v="10410"/>
    <n v="1"/>
    <s v="Y"/>
    <x v="1"/>
    <n v="14"/>
    <n v="3"/>
    <n v="2"/>
    <n v="80"/>
    <n v="0"/>
    <n v="10"/>
    <n v="2"/>
    <n v="2"/>
    <n v="10"/>
    <n v="4"/>
    <n v="0"/>
    <n v="9"/>
    <x v="2"/>
    <s v="Mid"/>
  </r>
  <r>
    <n v="28"/>
    <x v="1"/>
    <s v="Travel_Frequently"/>
    <n v="783"/>
    <x v="0"/>
    <n v="1"/>
    <n v="2"/>
    <s v="Life Sciences"/>
    <n v="1"/>
    <n v="1927"/>
    <n v="3"/>
    <x v="1"/>
    <n v="42"/>
    <n v="2"/>
    <n v="2"/>
    <x v="0"/>
    <n v="4"/>
    <s v="Married"/>
    <n v="6834"/>
    <n v="19255"/>
    <n v="1"/>
    <s v="Y"/>
    <x v="0"/>
    <n v="12"/>
    <n v="3"/>
    <n v="3"/>
    <n v="80"/>
    <n v="1"/>
    <n v="7"/>
    <n v="2"/>
    <n v="3"/>
    <n v="7"/>
    <n v="7"/>
    <n v="0"/>
    <n v="7"/>
    <x v="2"/>
    <s v="Mid"/>
  </r>
  <r>
    <n v="29"/>
    <x v="0"/>
    <s v="Travel_Frequently"/>
    <n v="746"/>
    <x v="0"/>
    <n v="24"/>
    <n v="3"/>
    <s v="Technical Degree"/>
    <n v="1"/>
    <n v="1928"/>
    <n v="3"/>
    <x v="1"/>
    <n v="45"/>
    <n v="4"/>
    <n v="1"/>
    <x v="6"/>
    <n v="1"/>
    <s v="Single"/>
    <n v="1091"/>
    <n v="10642"/>
    <n v="1"/>
    <s v="Y"/>
    <x v="1"/>
    <n v="17"/>
    <n v="3"/>
    <n v="4"/>
    <n v="80"/>
    <n v="0"/>
    <n v="1"/>
    <n v="3"/>
    <n v="3"/>
    <n v="1"/>
    <n v="0"/>
    <n v="0"/>
    <n v="0"/>
    <x v="2"/>
    <s v="Low"/>
  </r>
  <r>
    <n v="39"/>
    <x v="1"/>
    <s v="Non-Travel"/>
    <n v="1251"/>
    <x v="0"/>
    <n v="21"/>
    <n v="4"/>
    <s v="Life Sciences"/>
    <n v="1"/>
    <n v="1929"/>
    <n v="1"/>
    <x v="0"/>
    <n v="32"/>
    <n v="1"/>
    <n v="2"/>
    <x v="0"/>
    <n v="3"/>
    <s v="Married"/>
    <n v="5736"/>
    <n v="3987"/>
    <n v="6"/>
    <s v="Y"/>
    <x v="1"/>
    <n v="19"/>
    <n v="3"/>
    <n v="3"/>
    <n v="80"/>
    <n v="1"/>
    <n v="10"/>
    <n v="1"/>
    <n v="3"/>
    <n v="3"/>
    <n v="2"/>
    <n v="1"/>
    <n v="2"/>
    <x v="0"/>
    <s v="Mid"/>
  </r>
  <r>
    <n v="27"/>
    <x v="1"/>
    <s v="Travel_Rarely"/>
    <n v="1354"/>
    <x v="1"/>
    <n v="2"/>
    <n v="4"/>
    <s v="Technical Degree"/>
    <n v="1"/>
    <n v="1931"/>
    <n v="2"/>
    <x v="1"/>
    <n v="41"/>
    <n v="3"/>
    <n v="1"/>
    <x v="1"/>
    <n v="2"/>
    <s v="Married"/>
    <n v="2226"/>
    <n v="6073"/>
    <n v="1"/>
    <s v="Y"/>
    <x v="1"/>
    <n v="11"/>
    <n v="3"/>
    <n v="3"/>
    <n v="80"/>
    <n v="1"/>
    <n v="6"/>
    <n v="3"/>
    <n v="2"/>
    <n v="5"/>
    <n v="3"/>
    <n v="1"/>
    <n v="2"/>
    <x v="2"/>
    <s v="Low"/>
  </r>
  <r>
    <n v="34"/>
    <x v="1"/>
    <s v="Travel_Frequently"/>
    <n v="735"/>
    <x v="1"/>
    <n v="22"/>
    <n v="4"/>
    <s v="Other"/>
    <n v="1"/>
    <n v="1932"/>
    <n v="3"/>
    <x v="1"/>
    <n v="86"/>
    <n v="2"/>
    <n v="2"/>
    <x v="1"/>
    <n v="4"/>
    <s v="Married"/>
    <n v="5747"/>
    <n v="26496"/>
    <n v="1"/>
    <s v="Y"/>
    <x v="0"/>
    <n v="15"/>
    <n v="3"/>
    <n v="2"/>
    <n v="80"/>
    <n v="0"/>
    <n v="16"/>
    <n v="3"/>
    <n v="3"/>
    <n v="15"/>
    <n v="10"/>
    <n v="6"/>
    <n v="11"/>
    <x v="2"/>
    <s v="Mid"/>
  </r>
  <r>
    <n v="28"/>
    <x v="0"/>
    <s v="Travel_Rarely"/>
    <n v="1475"/>
    <x v="0"/>
    <n v="13"/>
    <n v="2"/>
    <s v="Marketing"/>
    <n v="1"/>
    <n v="1933"/>
    <n v="4"/>
    <x v="0"/>
    <n v="84"/>
    <n v="3"/>
    <n v="2"/>
    <x v="0"/>
    <n v="3"/>
    <s v="Single"/>
    <n v="9854"/>
    <n v="23352"/>
    <n v="3"/>
    <s v="Y"/>
    <x v="0"/>
    <n v="11"/>
    <n v="3"/>
    <n v="4"/>
    <n v="80"/>
    <n v="0"/>
    <n v="6"/>
    <n v="0"/>
    <n v="3"/>
    <n v="2"/>
    <n v="0"/>
    <n v="2"/>
    <n v="2"/>
    <x v="2"/>
    <s v="High"/>
  </r>
  <r>
    <n v="47"/>
    <x v="1"/>
    <s v="Non-Travel"/>
    <n v="1169"/>
    <x v="1"/>
    <n v="14"/>
    <n v="4"/>
    <s v="Technical Degree"/>
    <n v="1"/>
    <n v="1934"/>
    <n v="3"/>
    <x v="1"/>
    <n v="64"/>
    <n v="3"/>
    <n v="2"/>
    <x v="1"/>
    <n v="2"/>
    <s v="Married"/>
    <n v="5467"/>
    <n v="2125"/>
    <n v="8"/>
    <s v="Y"/>
    <x v="1"/>
    <n v="18"/>
    <n v="3"/>
    <n v="3"/>
    <n v="80"/>
    <n v="1"/>
    <n v="16"/>
    <n v="4"/>
    <n v="4"/>
    <n v="8"/>
    <n v="7"/>
    <n v="1"/>
    <n v="7"/>
    <x v="1"/>
    <s v="Mid"/>
  </r>
  <r>
    <n v="56"/>
    <x v="1"/>
    <s v="Travel_Rarely"/>
    <n v="1443"/>
    <x v="0"/>
    <n v="11"/>
    <n v="5"/>
    <s v="Marketing"/>
    <n v="1"/>
    <n v="1935"/>
    <n v="4"/>
    <x v="0"/>
    <n v="89"/>
    <n v="2"/>
    <n v="2"/>
    <x v="0"/>
    <n v="1"/>
    <s v="Married"/>
    <n v="5380"/>
    <n v="20328"/>
    <n v="4"/>
    <s v="Y"/>
    <x v="1"/>
    <n v="16"/>
    <n v="3"/>
    <n v="3"/>
    <n v="80"/>
    <n v="1"/>
    <n v="6"/>
    <n v="3"/>
    <n v="3"/>
    <n v="0"/>
    <n v="0"/>
    <n v="0"/>
    <n v="0"/>
    <x v="1"/>
    <s v="Mid"/>
  </r>
  <r>
    <n v="39"/>
    <x v="1"/>
    <s v="Travel_Rarely"/>
    <n v="867"/>
    <x v="1"/>
    <n v="9"/>
    <n v="2"/>
    <s v="Medical"/>
    <n v="1"/>
    <n v="1936"/>
    <n v="1"/>
    <x v="1"/>
    <n v="87"/>
    <n v="3"/>
    <n v="2"/>
    <x v="3"/>
    <n v="1"/>
    <s v="Married"/>
    <n v="5151"/>
    <n v="12315"/>
    <n v="1"/>
    <s v="Y"/>
    <x v="1"/>
    <n v="25"/>
    <n v="4"/>
    <n v="4"/>
    <n v="80"/>
    <n v="1"/>
    <n v="10"/>
    <n v="3"/>
    <n v="3"/>
    <n v="10"/>
    <n v="0"/>
    <n v="7"/>
    <n v="9"/>
    <x v="0"/>
    <s v="Mid"/>
  </r>
  <r>
    <n v="38"/>
    <x v="1"/>
    <s v="Travel_Frequently"/>
    <n v="1394"/>
    <x v="1"/>
    <n v="8"/>
    <n v="3"/>
    <s v="Medical"/>
    <n v="1"/>
    <n v="1937"/>
    <n v="4"/>
    <x v="0"/>
    <n v="58"/>
    <n v="2"/>
    <n v="2"/>
    <x v="1"/>
    <n v="2"/>
    <s v="Divorced"/>
    <n v="2133"/>
    <n v="18115"/>
    <n v="1"/>
    <s v="Y"/>
    <x v="0"/>
    <n v="16"/>
    <n v="3"/>
    <n v="3"/>
    <n v="80"/>
    <n v="1"/>
    <n v="20"/>
    <n v="3"/>
    <n v="3"/>
    <n v="20"/>
    <n v="11"/>
    <n v="0"/>
    <n v="7"/>
    <x v="0"/>
    <s v="Low"/>
  </r>
  <r>
    <n v="58"/>
    <x v="1"/>
    <s v="Travel_Rarely"/>
    <n v="605"/>
    <x v="0"/>
    <n v="21"/>
    <n v="3"/>
    <s v="Life Sciences"/>
    <n v="1"/>
    <n v="1938"/>
    <n v="4"/>
    <x v="0"/>
    <n v="72"/>
    <n v="3"/>
    <n v="4"/>
    <x v="5"/>
    <n v="4"/>
    <s v="Married"/>
    <n v="17875"/>
    <n v="11761"/>
    <n v="4"/>
    <s v="Y"/>
    <x v="0"/>
    <n v="13"/>
    <n v="3"/>
    <n v="3"/>
    <n v="80"/>
    <n v="1"/>
    <n v="29"/>
    <n v="2"/>
    <n v="2"/>
    <n v="1"/>
    <n v="0"/>
    <n v="0"/>
    <n v="0"/>
    <x v="1"/>
    <s v="Top"/>
  </r>
  <r>
    <n v="32"/>
    <x v="0"/>
    <s v="Travel_Frequently"/>
    <n v="238"/>
    <x v="1"/>
    <n v="5"/>
    <n v="2"/>
    <s v="Life Sciences"/>
    <n v="1"/>
    <n v="1939"/>
    <n v="1"/>
    <x v="0"/>
    <n v="47"/>
    <n v="4"/>
    <n v="1"/>
    <x v="1"/>
    <n v="3"/>
    <s v="Single"/>
    <n v="2432"/>
    <n v="15318"/>
    <n v="3"/>
    <s v="Y"/>
    <x v="0"/>
    <n v="14"/>
    <n v="3"/>
    <n v="1"/>
    <n v="80"/>
    <n v="0"/>
    <n v="8"/>
    <n v="2"/>
    <n v="3"/>
    <n v="4"/>
    <n v="1"/>
    <n v="0"/>
    <n v="3"/>
    <x v="2"/>
    <s v="Low"/>
  </r>
  <r>
    <n v="38"/>
    <x v="1"/>
    <s v="Travel_Rarely"/>
    <n v="1206"/>
    <x v="1"/>
    <n v="9"/>
    <n v="2"/>
    <s v="Life Sciences"/>
    <n v="1"/>
    <n v="1940"/>
    <n v="2"/>
    <x v="1"/>
    <n v="71"/>
    <n v="3"/>
    <n v="1"/>
    <x v="1"/>
    <n v="4"/>
    <s v="Divorced"/>
    <n v="4771"/>
    <n v="14293"/>
    <n v="2"/>
    <s v="Y"/>
    <x v="1"/>
    <n v="19"/>
    <n v="3"/>
    <n v="4"/>
    <n v="80"/>
    <n v="2"/>
    <n v="10"/>
    <n v="0"/>
    <n v="4"/>
    <n v="5"/>
    <n v="2"/>
    <n v="0"/>
    <n v="3"/>
    <x v="0"/>
    <s v="Mid"/>
  </r>
  <r>
    <n v="49"/>
    <x v="1"/>
    <s v="Travel_Frequently"/>
    <n v="1064"/>
    <x v="1"/>
    <n v="2"/>
    <n v="1"/>
    <s v="Life Sciences"/>
    <n v="1"/>
    <n v="1941"/>
    <n v="2"/>
    <x v="1"/>
    <n v="42"/>
    <n v="3"/>
    <n v="5"/>
    <x v="7"/>
    <n v="4"/>
    <s v="Married"/>
    <n v="19161"/>
    <n v="13738"/>
    <n v="3"/>
    <s v="Y"/>
    <x v="1"/>
    <n v="15"/>
    <n v="3"/>
    <n v="4"/>
    <n v="80"/>
    <n v="0"/>
    <n v="28"/>
    <n v="3"/>
    <n v="3"/>
    <n v="5"/>
    <n v="4"/>
    <n v="4"/>
    <n v="3"/>
    <x v="1"/>
    <s v="Top"/>
  </r>
  <r>
    <n v="42"/>
    <x v="1"/>
    <s v="Travel_Rarely"/>
    <n v="419"/>
    <x v="0"/>
    <n v="12"/>
    <n v="4"/>
    <s v="Marketing"/>
    <n v="1"/>
    <n v="1943"/>
    <n v="2"/>
    <x v="1"/>
    <n v="77"/>
    <n v="3"/>
    <n v="2"/>
    <x v="0"/>
    <n v="4"/>
    <s v="Divorced"/>
    <n v="5087"/>
    <n v="2900"/>
    <n v="3"/>
    <s v="Y"/>
    <x v="0"/>
    <n v="12"/>
    <n v="3"/>
    <n v="3"/>
    <n v="80"/>
    <n v="2"/>
    <n v="14"/>
    <n v="4"/>
    <n v="3"/>
    <n v="0"/>
    <n v="0"/>
    <n v="0"/>
    <n v="0"/>
    <x v="0"/>
    <s v="Mid"/>
  </r>
  <r>
    <n v="27"/>
    <x v="0"/>
    <s v="Travel_Frequently"/>
    <n v="1337"/>
    <x v="2"/>
    <n v="22"/>
    <n v="3"/>
    <s v="Human Resources"/>
    <n v="1"/>
    <n v="1944"/>
    <n v="1"/>
    <x v="0"/>
    <n v="58"/>
    <n v="2"/>
    <n v="1"/>
    <x v="8"/>
    <n v="2"/>
    <s v="Married"/>
    <n v="2863"/>
    <n v="19555"/>
    <n v="1"/>
    <s v="Y"/>
    <x v="1"/>
    <n v="12"/>
    <n v="3"/>
    <n v="1"/>
    <n v="80"/>
    <n v="0"/>
    <n v="1"/>
    <n v="2"/>
    <n v="3"/>
    <n v="1"/>
    <n v="0"/>
    <n v="0"/>
    <n v="0"/>
    <x v="2"/>
    <s v="Low"/>
  </r>
  <r>
    <n v="35"/>
    <x v="1"/>
    <s v="Travel_Rarely"/>
    <n v="682"/>
    <x v="0"/>
    <n v="18"/>
    <n v="4"/>
    <s v="Medical"/>
    <n v="1"/>
    <n v="1945"/>
    <n v="2"/>
    <x v="1"/>
    <n v="71"/>
    <n v="3"/>
    <n v="2"/>
    <x v="0"/>
    <n v="1"/>
    <s v="Married"/>
    <n v="5561"/>
    <n v="15975"/>
    <n v="0"/>
    <s v="Y"/>
    <x v="1"/>
    <n v="16"/>
    <n v="3"/>
    <n v="4"/>
    <n v="80"/>
    <n v="1"/>
    <n v="6"/>
    <n v="2"/>
    <n v="1"/>
    <n v="5"/>
    <n v="3"/>
    <n v="0"/>
    <n v="4"/>
    <x v="2"/>
    <s v="Mid"/>
  </r>
  <r>
    <n v="28"/>
    <x v="1"/>
    <s v="Non-Travel"/>
    <n v="1103"/>
    <x v="1"/>
    <n v="16"/>
    <n v="3"/>
    <s v="Medical"/>
    <n v="1"/>
    <n v="1947"/>
    <n v="3"/>
    <x v="1"/>
    <n v="49"/>
    <n v="3"/>
    <n v="1"/>
    <x v="1"/>
    <n v="3"/>
    <s v="Single"/>
    <n v="2144"/>
    <n v="2122"/>
    <n v="1"/>
    <s v="Y"/>
    <x v="1"/>
    <n v="14"/>
    <n v="3"/>
    <n v="3"/>
    <n v="80"/>
    <n v="0"/>
    <n v="5"/>
    <n v="3"/>
    <n v="2"/>
    <n v="5"/>
    <n v="3"/>
    <n v="1"/>
    <n v="4"/>
    <x v="2"/>
    <s v="Low"/>
  </r>
  <r>
    <n v="31"/>
    <x v="1"/>
    <s v="Non-Travel"/>
    <n v="976"/>
    <x v="1"/>
    <n v="3"/>
    <n v="2"/>
    <s v="Medical"/>
    <n v="1"/>
    <n v="1948"/>
    <n v="3"/>
    <x v="1"/>
    <n v="48"/>
    <n v="3"/>
    <n v="1"/>
    <x v="1"/>
    <n v="1"/>
    <s v="Divorced"/>
    <n v="3065"/>
    <n v="3995"/>
    <n v="1"/>
    <s v="Y"/>
    <x v="0"/>
    <n v="13"/>
    <n v="3"/>
    <n v="4"/>
    <n v="80"/>
    <n v="1"/>
    <n v="4"/>
    <n v="3"/>
    <n v="4"/>
    <n v="4"/>
    <n v="2"/>
    <n v="2"/>
    <n v="3"/>
    <x v="2"/>
    <s v="Mid"/>
  </r>
  <r>
    <n v="36"/>
    <x v="1"/>
    <s v="Non-Travel"/>
    <n v="1351"/>
    <x v="1"/>
    <n v="9"/>
    <n v="4"/>
    <s v="Life Sciences"/>
    <n v="1"/>
    <n v="1949"/>
    <n v="1"/>
    <x v="1"/>
    <n v="66"/>
    <n v="4"/>
    <n v="1"/>
    <x v="2"/>
    <n v="2"/>
    <s v="Married"/>
    <n v="2810"/>
    <n v="9238"/>
    <n v="1"/>
    <s v="Y"/>
    <x v="1"/>
    <n v="22"/>
    <n v="4"/>
    <n v="2"/>
    <n v="80"/>
    <n v="0"/>
    <n v="5"/>
    <n v="3"/>
    <n v="3"/>
    <n v="5"/>
    <n v="4"/>
    <n v="0"/>
    <n v="2"/>
    <x v="0"/>
    <s v="Low"/>
  </r>
  <r>
    <n v="34"/>
    <x v="1"/>
    <s v="Travel_Rarely"/>
    <n v="937"/>
    <x v="0"/>
    <n v="1"/>
    <n v="3"/>
    <s v="Marketing"/>
    <n v="1"/>
    <n v="1950"/>
    <n v="1"/>
    <x v="1"/>
    <n v="32"/>
    <n v="3"/>
    <n v="3"/>
    <x v="0"/>
    <n v="4"/>
    <s v="Single"/>
    <n v="9888"/>
    <n v="6770"/>
    <n v="1"/>
    <s v="Y"/>
    <x v="1"/>
    <n v="21"/>
    <n v="4"/>
    <n v="1"/>
    <n v="80"/>
    <n v="0"/>
    <n v="14"/>
    <n v="3"/>
    <n v="2"/>
    <n v="14"/>
    <n v="8"/>
    <n v="2"/>
    <n v="1"/>
    <x v="2"/>
    <s v="High"/>
  </r>
  <r>
    <n v="34"/>
    <x v="1"/>
    <s v="Travel_Rarely"/>
    <n v="1239"/>
    <x v="0"/>
    <n v="13"/>
    <n v="4"/>
    <s v="Medical"/>
    <n v="1"/>
    <n v="1951"/>
    <n v="4"/>
    <x v="1"/>
    <n v="39"/>
    <n v="3"/>
    <n v="3"/>
    <x v="0"/>
    <n v="3"/>
    <s v="Divorced"/>
    <n v="8628"/>
    <n v="22914"/>
    <n v="1"/>
    <s v="Y"/>
    <x v="1"/>
    <n v="18"/>
    <n v="3"/>
    <n v="3"/>
    <n v="80"/>
    <n v="1"/>
    <n v="9"/>
    <n v="2"/>
    <n v="2"/>
    <n v="8"/>
    <n v="7"/>
    <n v="1"/>
    <n v="1"/>
    <x v="2"/>
    <s v="High"/>
  </r>
  <r>
    <n v="26"/>
    <x v="1"/>
    <s v="Travel_Rarely"/>
    <n v="157"/>
    <x v="1"/>
    <n v="1"/>
    <n v="3"/>
    <s v="Medical"/>
    <n v="1"/>
    <n v="1952"/>
    <n v="3"/>
    <x v="1"/>
    <n v="95"/>
    <n v="3"/>
    <n v="1"/>
    <x v="2"/>
    <n v="1"/>
    <s v="Single"/>
    <n v="2867"/>
    <n v="20006"/>
    <n v="0"/>
    <s v="Y"/>
    <x v="1"/>
    <n v="13"/>
    <n v="3"/>
    <n v="4"/>
    <n v="80"/>
    <n v="0"/>
    <n v="8"/>
    <n v="6"/>
    <n v="2"/>
    <n v="7"/>
    <n v="7"/>
    <n v="7"/>
    <n v="6"/>
    <x v="2"/>
    <s v="Low"/>
  </r>
  <r>
    <n v="29"/>
    <x v="1"/>
    <s v="Travel_Rarely"/>
    <n v="136"/>
    <x v="1"/>
    <n v="1"/>
    <n v="3"/>
    <s v="Life Sciences"/>
    <n v="1"/>
    <n v="1954"/>
    <n v="1"/>
    <x v="1"/>
    <n v="89"/>
    <n v="3"/>
    <n v="2"/>
    <x v="4"/>
    <n v="1"/>
    <s v="Married"/>
    <n v="5373"/>
    <n v="6225"/>
    <n v="0"/>
    <s v="Y"/>
    <x v="1"/>
    <n v="12"/>
    <n v="3"/>
    <n v="1"/>
    <n v="80"/>
    <n v="1"/>
    <n v="6"/>
    <n v="5"/>
    <n v="2"/>
    <n v="5"/>
    <n v="3"/>
    <n v="0"/>
    <n v="2"/>
    <x v="2"/>
    <s v="Mid"/>
  </r>
  <r>
    <n v="32"/>
    <x v="1"/>
    <s v="Non-Travel"/>
    <n v="1146"/>
    <x v="1"/>
    <n v="15"/>
    <n v="4"/>
    <s v="Medical"/>
    <n v="1"/>
    <n v="1955"/>
    <n v="3"/>
    <x v="0"/>
    <n v="34"/>
    <n v="3"/>
    <n v="2"/>
    <x v="4"/>
    <n v="4"/>
    <s v="Divorced"/>
    <n v="6667"/>
    <n v="16542"/>
    <n v="5"/>
    <s v="Y"/>
    <x v="1"/>
    <n v="18"/>
    <n v="3"/>
    <n v="2"/>
    <n v="80"/>
    <n v="1"/>
    <n v="9"/>
    <n v="6"/>
    <n v="3"/>
    <n v="5"/>
    <n v="1"/>
    <n v="1"/>
    <n v="2"/>
    <x v="2"/>
    <s v="Mid"/>
  </r>
  <r>
    <n v="31"/>
    <x v="1"/>
    <s v="Travel_Frequently"/>
    <n v="1125"/>
    <x v="1"/>
    <n v="1"/>
    <n v="3"/>
    <s v="Life Sciences"/>
    <n v="1"/>
    <n v="1956"/>
    <n v="4"/>
    <x v="1"/>
    <n v="48"/>
    <n v="1"/>
    <n v="2"/>
    <x v="1"/>
    <n v="1"/>
    <s v="Married"/>
    <n v="5003"/>
    <n v="5771"/>
    <n v="1"/>
    <s v="Y"/>
    <x v="1"/>
    <n v="21"/>
    <n v="4"/>
    <n v="2"/>
    <n v="80"/>
    <n v="0"/>
    <n v="10"/>
    <n v="6"/>
    <n v="3"/>
    <n v="10"/>
    <n v="8"/>
    <n v="8"/>
    <n v="7"/>
    <x v="2"/>
    <s v="Mid"/>
  </r>
  <r>
    <n v="28"/>
    <x v="0"/>
    <s v="Travel_Rarely"/>
    <n v="1404"/>
    <x v="1"/>
    <n v="17"/>
    <n v="3"/>
    <s v="Technical Degree"/>
    <n v="1"/>
    <n v="1960"/>
    <n v="3"/>
    <x v="1"/>
    <n v="32"/>
    <n v="2"/>
    <n v="1"/>
    <x v="2"/>
    <n v="4"/>
    <s v="Divorced"/>
    <n v="2367"/>
    <n v="18779"/>
    <n v="5"/>
    <s v="Y"/>
    <x v="1"/>
    <n v="12"/>
    <n v="3"/>
    <n v="1"/>
    <n v="80"/>
    <n v="1"/>
    <n v="6"/>
    <n v="2"/>
    <n v="2"/>
    <n v="4"/>
    <n v="1"/>
    <n v="0"/>
    <n v="3"/>
    <x v="2"/>
    <s v="Low"/>
  </r>
  <r>
    <n v="38"/>
    <x v="1"/>
    <s v="Travel_Rarely"/>
    <n v="1404"/>
    <x v="0"/>
    <n v="1"/>
    <n v="3"/>
    <s v="Life Sciences"/>
    <n v="1"/>
    <n v="1961"/>
    <n v="1"/>
    <x v="1"/>
    <n v="59"/>
    <n v="2"/>
    <n v="1"/>
    <x v="6"/>
    <n v="1"/>
    <s v="Single"/>
    <n v="2858"/>
    <n v="11473"/>
    <n v="4"/>
    <s v="Y"/>
    <x v="1"/>
    <n v="14"/>
    <n v="3"/>
    <n v="1"/>
    <n v="80"/>
    <n v="0"/>
    <n v="20"/>
    <n v="3"/>
    <n v="2"/>
    <n v="1"/>
    <n v="0"/>
    <n v="0"/>
    <n v="0"/>
    <x v="0"/>
    <s v="Low"/>
  </r>
  <r>
    <n v="35"/>
    <x v="1"/>
    <s v="Travel_Rarely"/>
    <n v="1224"/>
    <x v="0"/>
    <n v="7"/>
    <n v="4"/>
    <s v="Life Sciences"/>
    <n v="1"/>
    <n v="1962"/>
    <n v="3"/>
    <x v="0"/>
    <n v="55"/>
    <n v="3"/>
    <n v="2"/>
    <x v="0"/>
    <n v="4"/>
    <s v="Married"/>
    <n v="5204"/>
    <n v="13586"/>
    <n v="1"/>
    <s v="Y"/>
    <x v="0"/>
    <n v="11"/>
    <n v="3"/>
    <n v="4"/>
    <n v="80"/>
    <n v="0"/>
    <n v="10"/>
    <n v="2"/>
    <n v="3"/>
    <n v="10"/>
    <n v="8"/>
    <n v="0"/>
    <n v="9"/>
    <x v="2"/>
    <s v="Mid"/>
  </r>
  <r>
    <n v="27"/>
    <x v="1"/>
    <s v="Travel_Rarely"/>
    <n v="954"/>
    <x v="0"/>
    <n v="9"/>
    <n v="3"/>
    <s v="Marketing"/>
    <n v="1"/>
    <n v="1965"/>
    <n v="4"/>
    <x v="1"/>
    <n v="44"/>
    <n v="3"/>
    <n v="2"/>
    <x v="0"/>
    <n v="4"/>
    <s v="Single"/>
    <n v="4105"/>
    <n v="5099"/>
    <n v="1"/>
    <s v="Y"/>
    <x v="1"/>
    <n v="14"/>
    <n v="3"/>
    <n v="1"/>
    <n v="80"/>
    <n v="0"/>
    <n v="7"/>
    <n v="5"/>
    <n v="3"/>
    <n v="7"/>
    <n v="7"/>
    <n v="0"/>
    <n v="7"/>
    <x v="2"/>
    <s v="Mid"/>
  </r>
  <r>
    <n v="32"/>
    <x v="1"/>
    <s v="Travel_Rarely"/>
    <n v="1373"/>
    <x v="1"/>
    <n v="5"/>
    <n v="4"/>
    <s v="Life Sciences"/>
    <n v="1"/>
    <n v="1966"/>
    <n v="4"/>
    <x v="1"/>
    <n v="56"/>
    <n v="2"/>
    <n v="2"/>
    <x v="3"/>
    <n v="4"/>
    <s v="Single"/>
    <n v="9679"/>
    <n v="10138"/>
    <n v="8"/>
    <s v="Y"/>
    <x v="1"/>
    <n v="24"/>
    <n v="4"/>
    <n v="2"/>
    <n v="80"/>
    <n v="0"/>
    <n v="8"/>
    <n v="1"/>
    <n v="3"/>
    <n v="1"/>
    <n v="0"/>
    <n v="0"/>
    <n v="0"/>
    <x v="2"/>
    <s v="High"/>
  </r>
  <r>
    <n v="31"/>
    <x v="0"/>
    <s v="Travel_Frequently"/>
    <n v="754"/>
    <x v="0"/>
    <n v="26"/>
    <n v="4"/>
    <s v="Marketing"/>
    <n v="1"/>
    <n v="1967"/>
    <n v="1"/>
    <x v="1"/>
    <n v="63"/>
    <n v="3"/>
    <n v="2"/>
    <x v="0"/>
    <n v="4"/>
    <s v="Married"/>
    <n v="5617"/>
    <n v="21075"/>
    <n v="1"/>
    <s v="Y"/>
    <x v="0"/>
    <n v="11"/>
    <n v="3"/>
    <n v="3"/>
    <n v="80"/>
    <n v="0"/>
    <n v="10"/>
    <n v="4"/>
    <n v="3"/>
    <n v="10"/>
    <n v="7"/>
    <n v="0"/>
    <n v="8"/>
    <x v="2"/>
    <s v="Mid"/>
  </r>
  <r>
    <n v="53"/>
    <x v="0"/>
    <s v="Travel_Rarely"/>
    <n v="1168"/>
    <x v="0"/>
    <n v="24"/>
    <n v="4"/>
    <s v="Life Sciences"/>
    <n v="1"/>
    <n v="1968"/>
    <n v="1"/>
    <x v="1"/>
    <n v="66"/>
    <n v="3"/>
    <n v="3"/>
    <x v="0"/>
    <n v="1"/>
    <s v="Single"/>
    <n v="10448"/>
    <n v="5843"/>
    <n v="6"/>
    <s v="Y"/>
    <x v="0"/>
    <n v="13"/>
    <n v="3"/>
    <n v="2"/>
    <n v="80"/>
    <n v="0"/>
    <n v="15"/>
    <n v="2"/>
    <n v="2"/>
    <n v="2"/>
    <n v="2"/>
    <n v="2"/>
    <n v="2"/>
    <x v="1"/>
    <s v="High"/>
  </r>
  <r>
    <n v="54"/>
    <x v="1"/>
    <s v="Travel_Rarely"/>
    <n v="155"/>
    <x v="1"/>
    <n v="9"/>
    <n v="2"/>
    <s v="Life Sciences"/>
    <n v="1"/>
    <n v="1969"/>
    <n v="1"/>
    <x v="0"/>
    <n v="67"/>
    <n v="3"/>
    <n v="2"/>
    <x v="1"/>
    <n v="3"/>
    <s v="Married"/>
    <n v="2897"/>
    <n v="22474"/>
    <n v="3"/>
    <s v="Y"/>
    <x v="1"/>
    <n v="11"/>
    <n v="3"/>
    <n v="3"/>
    <n v="80"/>
    <n v="2"/>
    <n v="9"/>
    <n v="6"/>
    <n v="2"/>
    <n v="4"/>
    <n v="3"/>
    <n v="2"/>
    <n v="3"/>
    <x v="1"/>
    <s v="Low"/>
  </r>
  <r>
    <n v="33"/>
    <x v="1"/>
    <s v="Travel_Frequently"/>
    <n v="1303"/>
    <x v="1"/>
    <n v="7"/>
    <n v="2"/>
    <s v="Life Sciences"/>
    <n v="1"/>
    <n v="1970"/>
    <n v="4"/>
    <x v="1"/>
    <n v="36"/>
    <n v="3"/>
    <n v="2"/>
    <x v="4"/>
    <n v="3"/>
    <s v="Divorced"/>
    <n v="5968"/>
    <n v="18079"/>
    <n v="1"/>
    <s v="Y"/>
    <x v="1"/>
    <n v="20"/>
    <n v="4"/>
    <n v="3"/>
    <n v="80"/>
    <n v="3"/>
    <n v="9"/>
    <n v="2"/>
    <n v="3"/>
    <n v="9"/>
    <n v="7"/>
    <n v="2"/>
    <n v="8"/>
    <x v="2"/>
    <s v="Mid"/>
  </r>
  <r>
    <n v="43"/>
    <x v="1"/>
    <s v="Travel_Rarely"/>
    <n v="574"/>
    <x v="1"/>
    <n v="11"/>
    <n v="3"/>
    <s v="Life Sciences"/>
    <n v="1"/>
    <n v="1971"/>
    <n v="1"/>
    <x v="1"/>
    <n v="30"/>
    <n v="3"/>
    <n v="3"/>
    <x v="4"/>
    <n v="3"/>
    <s v="Married"/>
    <n v="7510"/>
    <n v="16873"/>
    <n v="1"/>
    <s v="Y"/>
    <x v="1"/>
    <n v="17"/>
    <n v="3"/>
    <n v="2"/>
    <n v="80"/>
    <n v="1"/>
    <n v="10"/>
    <n v="1"/>
    <n v="3"/>
    <n v="10"/>
    <n v="9"/>
    <n v="0"/>
    <n v="9"/>
    <x v="0"/>
    <s v="High"/>
  </r>
  <r>
    <n v="38"/>
    <x v="1"/>
    <s v="Travel_Frequently"/>
    <n v="1444"/>
    <x v="2"/>
    <n v="1"/>
    <n v="4"/>
    <s v="Other"/>
    <n v="1"/>
    <n v="1972"/>
    <n v="4"/>
    <x v="1"/>
    <n v="88"/>
    <n v="3"/>
    <n v="1"/>
    <x v="8"/>
    <n v="2"/>
    <s v="Married"/>
    <n v="2991"/>
    <n v="5224"/>
    <n v="0"/>
    <s v="Y"/>
    <x v="0"/>
    <n v="11"/>
    <n v="3"/>
    <n v="2"/>
    <n v="80"/>
    <n v="1"/>
    <n v="7"/>
    <n v="2"/>
    <n v="3"/>
    <n v="6"/>
    <n v="2"/>
    <n v="1"/>
    <n v="2"/>
    <x v="0"/>
    <s v="Low"/>
  </r>
  <r>
    <n v="55"/>
    <x v="1"/>
    <s v="Travel_Rarely"/>
    <n v="189"/>
    <x v="2"/>
    <n v="26"/>
    <n v="4"/>
    <s v="Human Resources"/>
    <n v="1"/>
    <n v="1973"/>
    <n v="3"/>
    <x v="1"/>
    <n v="71"/>
    <n v="4"/>
    <n v="5"/>
    <x v="5"/>
    <n v="2"/>
    <s v="Married"/>
    <n v="19636"/>
    <n v="25811"/>
    <n v="4"/>
    <s v="Y"/>
    <x v="0"/>
    <n v="18"/>
    <n v="3"/>
    <n v="1"/>
    <n v="80"/>
    <n v="1"/>
    <n v="35"/>
    <n v="0"/>
    <n v="3"/>
    <n v="10"/>
    <n v="9"/>
    <n v="1"/>
    <n v="4"/>
    <x v="1"/>
    <s v="Top"/>
  </r>
  <r>
    <n v="31"/>
    <x v="1"/>
    <s v="Travel_Rarely"/>
    <n v="1276"/>
    <x v="1"/>
    <n v="2"/>
    <n v="1"/>
    <s v="Medical"/>
    <n v="1"/>
    <n v="1974"/>
    <n v="4"/>
    <x v="0"/>
    <n v="59"/>
    <n v="1"/>
    <n v="1"/>
    <x v="2"/>
    <n v="4"/>
    <s v="Divorced"/>
    <n v="1129"/>
    <n v="17536"/>
    <n v="1"/>
    <s v="Y"/>
    <x v="0"/>
    <n v="11"/>
    <n v="3"/>
    <n v="3"/>
    <n v="80"/>
    <n v="3"/>
    <n v="1"/>
    <n v="4"/>
    <n v="3"/>
    <n v="1"/>
    <n v="0"/>
    <n v="0"/>
    <n v="0"/>
    <x v="2"/>
    <s v="Low"/>
  </r>
  <r>
    <n v="39"/>
    <x v="1"/>
    <s v="Travel_Rarely"/>
    <n v="119"/>
    <x v="0"/>
    <n v="15"/>
    <n v="4"/>
    <s v="Marketing"/>
    <n v="1"/>
    <n v="1975"/>
    <n v="2"/>
    <x v="1"/>
    <n v="77"/>
    <n v="3"/>
    <n v="4"/>
    <x v="0"/>
    <n v="1"/>
    <s v="Single"/>
    <n v="13341"/>
    <n v="25098"/>
    <n v="0"/>
    <s v="Y"/>
    <x v="1"/>
    <n v="12"/>
    <n v="3"/>
    <n v="1"/>
    <n v="80"/>
    <n v="0"/>
    <n v="21"/>
    <n v="3"/>
    <n v="3"/>
    <n v="20"/>
    <n v="8"/>
    <n v="11"/>
    <n v="10"/>
    <x v="0"/>
    <s v="Top"/>
  </r>
  <r>
    <n v="42"/>
    <x v="1"/>
    <s v="Non-Travel"/>
    <n v="335"/>
    <x v="1"/>
    <n v="23"/>
    <n v="2"/>
    <s v="Life Sciences"/>
    <n v="1"/>
    <n v="1976"/>
    <n v="4"/>
    <x v="1"/>
    <n v="37"/>
    <n v="2"/>
    <n v="2"/>
    <x v="1"/>
    <n v="3"/>
    <s v="Single"/>
    <n v="4332"/>
    <n v="14811"/>
    <n v="1"/>
    <s v="Y"/>
    <x v="1"/>
    <n v="12"/>
    <n v="3"/>
    <n v="4"/>
    <n v="80"/>
    <n v="0"/>
    <n v="20"/>
    <n v="2"/>
    <n v="3"/>
    <n v="20"/>
    <n v="9"/>
    <n v="3"/>
    <n v="7"/>
    <x v="0"/>
    <s v="Mid"/>
  </r>
  <r>
    <n v="31"/>
    <x v="1"/>
    <s v="Non-Travel"/>
    <n v="697"/>
    <x v="1"/>
    <n v="10"/>
    <n v="3"/>
    <s v="Medical"/>
    <n v="1"/>
    <n v="1979"/>
    <n v="3"/>
    <x v="0"/>
    <n v="40"/>
    <n v="3"/>
    <n v="3"/>
    <x v="7"/>
    <n v="3"/>
    <s v="Married"/>
    <n v="11031"/>
    <n v="26862"/>
    <n v="4"/>
    <s v="Y"/>
    <x v="1"/>
    <n v="20"/>
    <n v="4"/>
    <n v="3"/>
    <n v="80"/>
    <n v="1"/>
    <n v="13"/>
    <n v="2"/>
    <n v="4"/>
    <n v="11"/>
    <n v="7"/>
    <n v="4"/>
    <n v="8"/>
    <x v="2"/>
    <s v="High"/>
  </r>
  <r>
    <n v="54"/>
    <x v="1"/>
    <s v="Travel_Rarely"/>
    <n v="157"/>
    <x v="1"/>
    <n v="10"/>
    <n v="3"/>
    <s v="Medical"/>
    <n v="1"/>
    <n v="1980"/>
    <n v="3"/>
    <x v="0"/>
    <n v="77"/>
    <n v="3"/>
    <n v="2"/>
    <x v="3"/>
    <n v="1"/>
    <s v="Single"/>
    <n v="4440"/>
    <n v="25198"/>
    <n v="6"/>
    <s v="Y"/>
    <x v="0"/>
    <n v="19"/>
    <n v="3"/>
    <n v="4"/>
    <n v="80"/>
    <n v="0"/>
    <n v="9"/>
    <n v="3"/>
    <n v="3"/>
    <n v="5"/>
    <n v="2"/>
    <n v="1"/>
    <n v="4"/>
    <x v="1"/>
    <s v="Mid"/>
  </r>
  <r>
    <n v="24"/>
    <x v="1"/>
    <s v="Travel_Rarely"/>
    <n v="771"/>
    <x v="1"/>
    <n v="1"/>
    <n v="2"/>
    <s v="Life Sciences"/>
    <n v="1"/>
    <n v="1981"/>
    <n v="2"/>
    <x v="1"/>
    <n v="45"/>
    <n v="2"/>
    <n v="2"/>
    <x v="4"/>
    <n v="3"/>
    <s v="Single"/>
    <n v="4617"/>
    <n v="14120"/>
    <n v="1"/>
    <s v="Y"/>
    <x v="1"/>
    <n v="12"/>
    <n v="3"/>
    <n v="2"/>
    <n v="80"/>
    <n v="0"/>
    <n v="4"/>
    <n v="2"/>
    <n v="2"/>
    <n v="4"/>
    <n v="3"/>
    <n v="1"/>
    <n v="2"/>
    <x v="3"/>
    <s v="Mid"/>
  </r>
  <r>
    <n v="23"/>
    <x v="1"/>
    <s v="Travel_Rarely"/>
    <n v="571"/>
    <x v="1"/>
    <n v="12"/>
    <n v="2"/>
    <s v="Other"/>
    <n v="1"/>
    <n v="1982"/>
    <n v="4"/>
    <x v="1"/>
    <n v="78"/>
    <n v="3"/>
    <n v="1"/>
    <x v="2"/>
    <n v="4"/>
    <s v="Single"/>
    <n v="2647"/>
    <n v="13672"/>
    <n v="1"/>
    <s v="Y"/>
    <x v="1"/>
    <n v="13"/>
    <n v="3"/>
    <n v="3"/>
    <n v="80"/>
    <n v="0"/>
    <n v="5"/>
    <n v="6"/>
    <n v="4"/>
    <n v="5"/>
    <n v="2"/>
    <n v="1"/>
    <n v="4"/>
    <x v="3"/>
    <s v="Low"/>
  </r>
  <r>
    <n v="40"/>
    <x v="1"/>
    <s v="Travel_Frequently"/>
    <n v="692"/>
    <x v="1"/>
    <n v="11"/>
    <n v="3"/>
    <s v="Technical Degree"/>
    <n v="1"/>
    <n v="1985"/>
    <n v="4"/>
    <x v="0"/>
    <n v="73"/>
    <n v="3"/>
    <n v="2"/>
    <x v="2"/>
    <n v="3"/>
    <s v="Married"/>
    <n v="6323"/>
    <n v="26849"/>
    <n v="1"/>
    <s v="Y"/>
    <x v="1"/>
    <n v="11"/>
    <n v="3"/>
    <n v="1"/>
    <n v="80"/>
    <n v="1"/>
    <n v="10"/>
    <n v="2"/>
    <n v="4"/>
    <n v="10"/>
    <n v="9"/>
    <n v="9"/>
    <n v="4"/>
    <x v="0"/>
    <s v="Mid"/>
  </r>
  <r>
    <n v="40"/>
    <x v="1"/>
    <s v="Travel_Rarely"/>
    <n v="444"/>
    <x v="0"/>
    <n v="2"/>
    <n v="2"/>
    <s v="Marketing"/>
    <n v="1"/>
    <n v="1986"/>
    <n v="2"/>
    <x v="0"/>
    <n v="92"/>
    <n v="3"/>
    <n v="2"/>
    <x v="0"/>
    <n v="2"/>
    <s v="Married"/>
    <n v="5677"/>
    <n v="4258"/>
    <n v="3"/>
    <s v="Y"/>
    <x v="1"/>
    <n v="14"/>
    <n v="3"/>
    <n v="3"/>
    <n v="80"/>
    <n v="1"/>
    <n v="15"/>
    <n v="4"/>
    <n v="3"/>
    <n v="11"/>
    <n v="8"/>
    <n v="5"/>
    <n v="10"/>
    <x v="0"/>
    <s v="Mid"/>
  </r>
  <r>
    <n v="25"/>
    <x v="1"/>
    <s v="Travel_Rarely"/>
    <n v="309"/>
    <x v="2"/>
    <n v="2"/>
    <n v="3"/>
    <s v="Human Resources"/>
    <n v="1"/>
    <n v="1987"/>
    <n v="3"/>
    <x v="0"/>
    <n v="82"/>
    <n v="3"/>
    <n v="1"/>
    <x v="8"/>
    <n v="2"/>
    <s v="Married"/>
    <n v="2187"/>
    <n v="19655"/>
    <n v="4"/>
    <s v="Y"/>
    <x v="1"/>
    <n v="14"/>
    <n v="3"/>
    <n v="3"/>
    <n v="80"/>
    <n v="0"/>
    <n v="6"/>
    <n v="3"/>
    <n v="3"/>
    <n v="2"/>
    <n v="0"/>
    <n v="1"/>
    <n v="2"/>
    <x v="3"/>
    <s v="Low"/>
  </r>
  <r>
    <n v="30"/>
    <x v="1"/>
    <s v="Travel_Rarely"/>
    <n v="911"/>
    <x v="1"/>
    <n v="1"/>
    <n v="2"/>
    <s v="Medical"/>
    <n v="1"/>
    <n v="1989"/>
    <n v="4"/>
    <x v="1"/>
    <n v="76"/>
    <n v="3"/>
    <n v="1"/>
    <x v="2"/>
    <n v="2"/>
    <s v="Married"/>
    <n v="3748"/>
    <n v="4077"/>
    <n v="1"/>
    <s v="Y"/>
    <x v="1"/>
    <n v="13"/>
    <n v="3"/>
    <n v="3"/>
    <n v="80"/>
    <n v="0"/>
    <n v="12"/>
    <n v="6"/>
    <n v="2"/>
    <n v="12"/>
    <n v="8"/>
    <n v="1"/>
    <n v="7"/>
    <x v="2"/>
    <s v="Mid"/>
  </r>
  <r>
    <n v="25"/>
    <x v="1"/>
    <s v="Travel_Rarely"/>
    <n v="977"/>
    <x v="1"/>
    <n v="2"/>
    <n v="1"/>
    <s v="Other"/>
    <n v="1"/>
    <n v="1992"/>
    <n v="4"/>
    <x v="1"/>
    <n v="57"/>
    <n v="3"/>
    <n v="1"/>
    <x v="2"/>
    <n v="3"/>
    <s v="Divorced"/>
    <n v="3977"/>
    <n v="7298"/>
    <n v="6"/>
    <s v="Y"/>
    <x v="0"/>
    <n v="19"/>
    <n v="3"/>
    <n v="3"/>
    <n v="80"/>
    <n v="1"/>
    <n v="7"/>
    <n v="2"/>
    <n v="2"/>
    <n v="2"/>
    <n v="2"/>
    <n v="0"/>
    <n v="2"/>
    <x v="3"/>
    <s v="Mid"/>
  </r>
  <r>
    <n v="47"/>
    <x v="1"/>
    <s v="Travel_Rarely"/>
    <n v="1180"/>
    <x v="1"/>
    <n v="25"/>
    <n v="3"/>
    <s v="Medical"/>
    <n v="1"/>
    <n v="1993"/>
    <n v="1"/>
    <x v="1"/>
    <n v="84"/>
    <n v="3"/>
    <n v="3"/>
    <x v="4"/>
    <n v="3"/>
    <s v="Single"/>
    <n v="8633"/>
    <n v="13084"/>
    <n v="2"/>
    <s v="Y"/>
    <x v="1"/>
    <n v="23"/>
    <n v="4"/>
    <n v="2"/>
    <n v="80"/>
    <n v="0"/>
    <n v="25"/>
    <n v="3"/>
    <n v="3"/>
    <n v="17"/>
    <n v="14"/>
    <n v="12"/>
    <n v="11"/>
    <x v="1"/>
    <s v="High"/>
  </r>
  <r>
    <n v="33"/>
    <x v="1"/>
    <s v="Non-Travel"/>
    <n v="1313"/>
    <x v="1"/>
    <n v="1"/>
    <n v="2"/>
    <s v="Medical"/>
    <n v="1"/>
    <n v="1994"/>
    <n v="2"/>
    <x v="1"/>
    <n v="59"/>
    <n v="2"/>
    <n v="1"/>
    <x v="2"/>
    <n v="3"/>
    <s v="Divorced"/>
    <n v="2008"/>
    <n v="20439"/>
    <n v="1"/>
    <s v="Y"/>
    <x v="1"/>
    <n v="12"/>
    <n v="3"/>
    <n v="3"/>
    <n v="80"/>
    <n v="3"/>
    <n v="1"/>
    <n v="2"/>
    <n v="2"/>
    <n v="1"/>
    <n v="1"/>
    <n v="0"/>
    <n v="0"/>
    <x v="2"/>
    <s v="Low"/>
  </r>
  <r>
    <n v="38"/>
    <x v="1"/>
    <s v="Travel_Rarely"/>
    <n v="1321"/>
    <x v="0"/>
    <n v="1"/>
    <n v="4"/>
    <s v="Life Sciences"/>
    <n v="1"/>
    <n v="1995"/>
    <n v="4"/>
    <x v="1"/>
    <n v="86"/>
    <n v="3"/>
    <n v="2"/>
    <x v="0"/>
    <n v="2"/>
    <s v="Married"/>
    <n v="4440"/>
    <n v="7636"/>
    <n v="0"/>
    <s v="Y"/>
    <x v="1"/>
    <n v="15"/>
    <n v="3"/>
    <n v="1"/>
    <n v="80"/>
    <n v="2"/>
    <n v="16"/>
    <n v="3"/>
    <n v="3"/>
    <n v="15"/>
    <n v="13"/>
    <n v="5"/>
    <n v="8"/>
    <x v="0"/>
    <s v="Mid"/>
  </r>
  <r>
    <n v="31"/>
    <x v="1"/>
    <s v="Travel_Rarely"/>
    <n v="1154"/>
    <x v="0"/>
    <n v="2"/>
    <n v="2"/>
    <s v="Life Sciences"/>
    <n v="1"/>
    <n v="1996"/>
    <n v="1"/>
    <x v="1"/>
    <n v="54"/>
    <n v="3"/>
    <n v="1"/>
    <x v="6"/>
    <n v="3"/>
    <s v="Married"/>
    <n v="3067"/>
    <n v="6393"/>
    <n v="0"/>
    <s v="Y"/>
    <x v="1"/>
    <n v="19"/>
    <n v="3"/>
    <n v="3"/>
    <n v="80"/>
    <n v="1"/>
    <n v="3"/>
    <n v="1"/>
    <n v="3"/>
    <n v="2"/>
    <n v="2"/>
    <n v="1"/>
    <n v="2"/>
    <x v="2"/>
    <s v="Mid"/>
  </r>
  <r>
    <n v="38"/>
    <x v="1"/>
    <s v="Travel_Frequently"/>
    <n v="508"/>
    <x v="1"/>
    <n v="6"/>
    <n v="4"/>
    <s v="Life Sciences"/>
    <n v="1"/>
    <n v="1997"/>
    <n v="1"/>
    <x v="1"/>
    <n v="72"/>
    <n v="2"/>
    <n v="2"/>
    <x v="3"/>
    <n v="3"/>
    <s v="Married"/>
    <n v="5321"/>
    <n v="14284"/>
    <n v="2"/>
    <s v="Y"/>
    <x v="1"/>
    <n v="11"/>
    <n v="3"/>
    <n v="4"/>
    <n v="80"/>
    <n v="1"/>
    <n v="10"/>
    <n v="1"/>
    <n v="3"/>
    <n v="8"/>
    <n v="3"/>
    <n v="7"/>
    <n v="7"/>
    <x v="0"/>
    <s v="Mid"/>
  </r>
  <r>
    <n v="42"/>
    <x v="1"/>
    <s v="Travel_Rarely"/>
    <n v="557"/>
    <x v="1"/>
    <n v="18"/>
    <n v="4"/>
    <s v="Life Sciences"/>
    <n v="1"/>
    <n v="1998"/>
    <n v="4"/>
    <x v="1"/>
    <n v="35"/>
    <n v="3"/>
    <n v="2"/>
    <x v="1"/>
    <n v="1"/>
    <s v="Divorced"/>
    <n v="5410"/>
    <n v="11189"/>
    <n v="6"/>
    <s v="Y"/>
    <x v="0"/>
    <n v="17"/>
    <n v="3"/>
    <n v="3"/>
    <n v="80"/>
    <n v="1"/>
    <n v="9"/>
    <n v="3"/>
    <n v="2"/>
    <n v="4"/>
    <n v="3"/>
    <n v="1"/>
    <n v="2"/>
    <x v="0"/>
    <s v="Mid"/>
  </r>
  <r>
    <n v="41"/>
    <x v="1"/>
    <s v="Travel_Rarely"/>
    <n v="642"/>
    <x v="1"/>
    <n v="1"/>
    <n v="3"/>
    <s v="Life Sciences"/>
    <n v="1"/>
    <n v="1999"/>
    <n v="4"/>
    <x v="1"/>
    <n v="76"/>
    <n v="3"/>
    <n v="1"/>
    <x v="1"/>
    <n v="4"/>
    <s v="Married"/>
    <n v="2782"/>
    <n v="21412"/>
    <n v="3"/>
    <s v="Y"/>
    <x v="1"/>
    <n v="22"/>
    <n v="4"/>
    <n v="1"/>
    <n v="80"/>
    <n v="1"/>
    <n v="12"/>
    <n v="3"/>
    <n v="3"/>
    <n v="5"/>
    <n v="3"/>
    <n v="1"/>
    <n v="0"/>
    <x v="0"/>
    <s v="Low"/>
  </r>
  <r>
    <n v="47"/>
    <x v="1"/>
    <s v="Non-Travel"/>
    <n v="1162"/>
    <x v="1"/>
    <n v="1"/>
    <n v="1"/>
    <s v="Medical"/>
    <n v="1"/>
    <n v="2000"/>
    <n v="3"/>
    <x v="0"/>
    <n v="98"/>
    <n v="3"/>
    <n v="3"/>
    <x v="7"/>
    <n v="2"/>
    <s v="Married"/>
    <n v="11957"/>
    <n v="17231"/>
    <n v="0"/>
    <s v="Y"/>
    <x v="1"/>
    <n v="18"/>
    <n v="3"/>
    <n v="1"/>
    <n v="80"/>
    <n v="2"/>
    <n v="14"/>
    <n v="3"/>
    <n v="1"/>
    <n v="13"/>
    <n v="8"/>
    <n v="5"/>
    <n v="12"/>
    <x v="1"/>
    <s v="High"/>
  </r>
  <r>
    <n v="35"/>
    <x v="1"/>
    <s v="Travel_Rarely"/>
    <n v="1490"/>
    <x v="1"/>
    <n v="11"/>
    <n v="4"/>
    <s v="Medical"/>
    <n v="1"/>
    <n v="2003"/>
    <n v="4"/>
    <x v="1"/>
    <n v="43"/>
    <n v="3"/>
    <n v="1"/>
    <x v="2"/>
    <n v="3"/>
    <s v="Married"/>
    <n v="2660"/>
    <n v="20232"/>
    <n v="7"/>
    <s v="Y"/>
    <x v="0"/>
    <n v="11"/>
    <n v="3"/>
    <n v="3"/>
    <n v="80"/>
    <n v="1"/>
    <n v="5"/>
    <n v="3"/>
    <n v="3"/>
    <n v="2"/>
    <n v="2"/>
    <n v="2"/>
    <n v="2"/>
    <x v="2"/>
    <s v="Low"/>
  </r>
  <r>
    <n v="22"/>
    <x v="1"/>
    <s v="Travel_Rarely"/>
    <n v="581"/>
    <x v="1"/>
    <n v="1"/>
    <n v="2"/>
    <s v="Life Sciences"/>
    <n v="1"/>
    <n v="2007"/>
    <n v="4"/>
    <x v="1"/>
    <n v="63"/>
    <n v="3"/>
    <n v="1"/>
    <x v="1"/>
    <n v="3"/>
    <s v="Single"/>
    <n v="3375"/>
    <n v="17624"/>
    <n v="0"/>
    <s v="Y"/>
    <x v="1"/>
    <n v="12"/>
    <n v="3"/>
    <n v="4"/>
    <n v="80"/>
    <n v="0"/>
    <n v="4"/>
    <n v="2"/>
    <n v="4"/>
    <n v="3"/>
    <n v="2"/>
    <n v="1"/>
    <n v="2"/>
    <x v="3"/>
    <s v="Mid"/>
  </r>
  <r>
    <n v="35"/>
    <x v="1"/>
    <s v="Travel_Rarely"/>
    <n v="1395"/>
    <x v="1"/>
    <n v="9"/>
    <n v="4"/>
    <s v="Medical"/>
    <n v="1"/>
    <n v="2008"/>
    <n v="2"/>
    <x v="1"/>
    <n v="48"/>
    <n v="3"/>
    <n v="2"/>
    <x v="1"/>
    <n v="3"/>
    <s v="Single"/>
    <n v="5098"/>
    <n v="18698"/>
    <n v="1"/>
    <s v="Y"/>
    <x v="1"/>
    <n v="19"/>
    <n v="3"/>
    <n v="2"/>
    <n v="80"/>
    <n v="0"/>
    <n v="10"/>
    <n v="5"/>
    <n v="3"/>
    <n v="10"/>
    <n v="7"/>
    <n v="0"/>
    <n v="8"/>
    <x v="2"/>
    <s v="Mid"/>
  </r>
  <r>
    <n v="33"/>
    <x v="1"/>
    <s v="Travel_Rarely"/>
    <n v="501"/>
    <x v="1"/>
    <n v="15"/>
    <n v="2"/>
    <s v="Medical"/>
    <n v="1"/>
    <n v="2009"/>
    <n v="2"/>
    <x v="0"/>
    <n v="95"/>
    <n v="3"/>
    <n v="2"/>
    <x v="4"/>
    <n v="4"/>
    <s v="Married"/>
    <n v="4878"/>
    <n v="21653"/>
    <n v="0"/>
    <s v="Y"/>
    <x v="0"/>
    <n v="13"/>
    <n v="3"/>
    <n v="1"/>
    <n v="80"/>
    <n v="1"/>
    <n v="10"/>
    <n v="6"/>
    <n v="3"/>
    <n v="9"/>
    <n v="7"/>
    <n v="8"/>
    <n v="1"/>
    <x v="2"/>
    <s v="Mid"/>
  </r>
  <r>
    <n v="32"/>
    <x v="1"/>
    <s v="Travel_Rarely"/>
    <n v="267"/>
    <x v="1"/>
    <n v="29"/>
    <n v="4"/>
    <s v="Life Sciences"/>
    <n v="1"/>
    <n v="2010"/>
    <n v="3"/>
    <x v="0"/>
    <n v="49"/>
    <n v="2"/>
    <n v="1"/>
    <x v="2"/>
    <n v="2"/>
    <s v="Single"/>
    <n v="2837"/>
    <n v="15919"/>
    <n v="1"/>
    <s v="Y"/>
    <x v="1"/>
    <n v="13"/>
    <n v="3"/>
    <n v="3"/>
    <n v="80"/>
    <n v="0"/>
    <n v="6"/>
    <n v="3"/>
    <n v="3"/>
    <n v="6"/>
    <n v="2"/>
    <n v="4"/>
    <n v="1"/>
    <x v="2"/>
    <s v="Low"/>
  </r>
  <r>
    <n v="40"/>
    <x v="1"/>
    <s v="Travel_Rarely"/>
    <n v="543"/>
    <x v="1"/>
    <n v="1"/>
    <n v="4"/>
    <s v="Life Sciences"/>
    <n v="1"/>
    <n v="2012"/>
    <n v="1"/>
    <x v="1"/>
    <n v="83"/>
    <n v="3"/>
    <n v="1"/>
    <x v="2"/>
    <n v="4"/>
    <s v="Married"/>
    <n v="2406"/>
    <n v="4060"/>
    <n v="8"/>
    <s v="Y"/>
    <x v="1"/>
    <n v="19"/>
    <n v="3"/>
    <n v="3"/>
    <n v="80"/>
    <n v="2"/>
    <n v="8"/>
    <n v="3"/>
    <n v="2"/>
    <n v="1"/>
    <n v="0"/>
    <n v="0"/>
    <n v="0"/>
    <x v="0"/>
    <s v="Low"/>
  </r>
  <r>
    <n v="32"/>
    <x v="1"/>
    <s v="Travel_Rarely"/>
    <n v="234"/>
    <x v="0"/>
    <n v="1"/>
    <n v="4"/>
    <s v="Medical"/>
    <n v="1"/>
    <n v="2013"/>
    <n v="2"/>
    <x v="1"/>
    <n v="68"/>
    <n v="2"/>
    <n v="1"/>
    <x v="6"/>
    <n v="2"/>
    <s v="Married"/>
    <n v="2269"/>
    <n v="18024"/>
    <n v="0"/>
    <s v="Y"/>
    <x v="1"/>
    <n v="14"/>
    <n v="3"/>
    <n v="2"/>
    <n v="80"/>
    <n v="1"/>
    <n v="3"/>
    <n v="2"/>
    <n v="3"/>
    <n v="2"/>
    <n v="2"/>
    <n v="2"/>
    <n v="2"/>
    <x v="2"/>
    <s v="Low"/>
  </r>
  <r>
    <n v="39"/>
    <x v="1"/>
    <s v="Travel_Rarely"/>
    <n v="116"/>
    <x v="1"/>
    <n v="24"/>
    <n v="1"/>
    <s v="Life Sciences"/>
    <n v="1"/>
    <n v="2014"/>
    <n v="1"/>
    <x v="1"/>
    <n v="52"/>
    <n v="3"/>
    <n v="2"/>
    <x v="1"/>
    <n v="4"/>
    <s v="Single"/>
    <n v="4108"/>
    <n v="5340"/>
    <n v="7"/>
    <s v="Y"/>
    <x v="1"/>
    <n v="13"/>
    <n v="3"/>
    <n v="1"/>
    <n v="80"/>
    <n v="0"/>
    <n v="18"/>
    <n v="2"/>
    <n v="3"/>
    <n v="7"/>
    <n v="7"/>
    <n v="1"/>
    <n v="7"/>
    <x v="0"/>
    <s v="Mid"/>
  </r>
  <r>
    <n v="38"/>
    <x v="1"/>
    <s v="Travel_Rarely"/>
    <n v="201"/>
    <x v="1"/>
    <n v="10"/>
    <n v="3"/>
    <s v="Medical"/>
    <n v="1"/>
    <n v="2015"/>
    <n v="2"/>
    <x v="0"/>
    <n v="99"/>
    <n v="1"/>
    <n v="3"/>
    <x v="7"/>
    <n v="3"/>
    <s v="Married"/>
    <n v="13206"/>
    <n v="3376"/>
    <n v="3"/>
    <s v="Y"/>
    <x v="1"/>
    <n v="12"/>
    <n v="3"/>
    <n v="1"/>
    <n v="80"/>
    <n v="1"/>
    <n v="20"/>
    <n v="3"/>
    <n v="3"/>
    <n v="18"/>
    <n v="16"/>
    <n v="1"/>
    <n v="11"/>
    <x v="0"/>
    <s v="Top"/>
  </r>
  <r>
    <n v="32"/>
    <x v="1"/>
    <s v="Travel_Rarely"/>
    <n v="801"/>
    <x v="0"/>
    <n v="1"/>
    <n v="4"/>
    <s v="Marketing"/>
    <n v="1"/>
    <n v="2016"/>
    <n v="3"/>
    <x v="0"/>
    <n v="48"/>
    <n v="3"/>
    <n v="3"/>
    <x v="0"/>
    <n v="4"/>
    <s v="Married"/>
    <n v="10422"/>
    <n v="24032"/>
    <n v="1"/>
    <s v="Y"/>
    <x v="1"/>
    <n v="19"/>
    <n v="3"/>
    <n v="3"/>
    <n v="80"/>
    <n v="2"/>
    <n v="14"/>
    <n v="3"/>
    <n v="3"/>
    <n v="14"/>
    <n v="10"/>
    <n v="5"/>
    <n v="7"/>
    <x v="2"/>
    <s v="High"/>
  </r>
  <r>
    <n v="37"/>
    <x v="1"/>
    <s v="Travel_Rarely"/>
    <n v="161"/>
    <x v="1"/>
    <n v="10"/>
    <n v="3"/>
    <s v="Life Sciences"/>
    <n v="1"/>
    <n v="2017"/>
    <n v="3"/>
    <x v="0"/>
    <n v="42"/>
    <n v="4"/>
    <n v="3"/>
    <x v="7"/>
    <n v="4"/>
    <s v="Married"/>
    <n v="13744"/>
    <n v="15471"/>
    <n v="1"/>
    <s v="Y"/>
    <x v="0"/>
    <n v="25"/>
    <n v="4"/>
    <n v="1"/>
    <n v="80"/>
    <n v="1"/>
    <n v="16"/>
    <n v="2"/>
    <n v="3"/>
    <n v="16"/>
    <n v="11"/>
    <n v="6"/>
    <n v="8"/>
    <x v="0"/>
    <s v="Top"/>
  </r>
  <r>
    <n v="25"/>
    <x v="1"/>
    <s v="Travel_Rarely"/>
    <n v="1382"/>
    <x v="0"/>
    <n v="8"/>
    <n v="2"/>
    <s v="Other"/>
    <n v="1"/>
    <n v="2018"/>
    <n v="1"/>
    <x v="0"/>
    <n v="85"/>
    <n v="3"/>
    <n v="2"/>
    <x v="0"/>
    <n v="3"/>
    <s v="Divorced"/>
    <n v="4907"/>
    <n v="13684"/>
    <n v="0"/>
    <s v="Y"/>
    <x v="0"/>
    <n v="22"/>
    <n v="4"/>
    <n v="2"/>
    <n v="80"/>
    <n v="1"/>
    <n v="6"/>
    <n v="3"/>
    <n v="2"/>
    <n v="5"/>
    <n v="3"/>
    <n v="0"/>
    <n v="4"/>
    <x v="3"/>
    <s v="Mid"/>
  </r>
  <r>
    <n v="52"/>
    <x v="1"/>
    <s v="Non-Travel"/>
    <n v="585"/>
    <x v="0"/>
    <n v="29"/>
    <n v="4"/>
    <s v="Life Sciences"/>
    <n v="1"/>
    <n v="2019"/>
    <n v="1"/>
    <x v="1"/>
    <n v="40"/>
    <n v="3"/>
    <n v="1"/>
    <x v="6"/>
    <n v="4"/>
    <s v="Divorced"/>
    <n v="3482"/>
    <n v="19788"/>
    <n v="2"/>
    <s v="Y"/>
    <x v="1"/>
    <n v="15"/>
    <n v="3"/>
    <n v="2"/>
    <n v="80"/>
    <n v="2"/>
    <n v="16"/>
    <n v="3"/>
    <n v="2"/>
    <n v="9"/>
    <n v="8"/>
    <n v="0"/>
    <n v="0"/>
    <x v="1"/>
    <s v="Mid"/>
  </r>
  <r>
    <n v="44"/>
    <x v="1"/>
    <s v="Travel_Rarely"/>
    <n v="1037"/>
    <x v="1"/>
    <n v="1"/>
    <n v="3"/>
    <s v="Medical"/>
    <n v="1"/>
    <n v="2020"/>
    <n v="2"/>
    <x v="1"/>
    <n v="42"/>
    <n v="3"/>
    <n v="1"/>
    <x v="1"/>
    <n v="4"/>
    <s v="Single"/>
    <n v="2436"/>
    <n v="13422"/>
    <n v="6"/>
    <s v="Y"/>
    <x v="0"/>
    <n v="12"/>
    <n v="3"/>
    <n v="3"/>
    <n v="80"/>
    <n v="0"/>
    <n v="6"/>
    <n v="2"/>
    <n v="3"/>
    <n v="4"/>
    <n v="3"/>
    <n v="1"/>
    <n v="2"/>
    <x v="0"/>
    <s v="Low"/>
  </r>
  <r>
    <n v="21"/>
    <x v="1"/>
    <s v="Travel_Rarely"/>
    <n v="501"/>
    <x v="0"/>
    <n v="5"/>
    <n v="1"/>
    <s v="Medical"/>
    <n v="1"/>
    <n v="2021"/>
    <n v="3"/>
    <x v="1"/>
    <n v="58"/>
    <n v="3"/>
    <n v="1"/>
    <x v="6"/>
    <n v="1"/>
    <s v="Single"/>
    <n v="2380"/>
    <n v="25479"/>
    <n v="1"/>
    <s v="Y"/>
    <x v="0"/>
    <n v="11"/>
    <n v="3"/>
    <n v="4"/>
    <n v="80"/>
    <n v="0"/>
    <n v="2"/>
    <n v="6"/>
    <n v="3"/>
    <n v="2"/>
    <n v="2"/>
    <n v="1"/>
    <n v="2"/>
    <x v="3"/>
    <s v="Low"/>
  </r>
  <r>
    <n v="39"/>
    <x v="1"/>
    <s v="Non-Travel"/>
    <n v="105"/>
    <x v="1"/>
    <n v="9"/>
    <n v="3"/>
    <s v="Life Sciences"/>
    <n v="1"/>
    <n v="2022"/>
    <n v="4"/>
    <x v="1"/>
    <n v="87"/>
    <n v="3"/>
    <n v="5"/>
    <x v="5"/>
    <n v="4"/>
    <s v="Single"/>
    <n v="19431"/>
    <n v="15302"/>
    <n v="2"/>
    <s v="Y"/>
    <x v="1"/>
    <n v="13"/>
    <n v="3"/>
    <n v="3"/>
    <n v="80"/>
    <n v="0"/>
    <n v="21"/>
    <n v="3"/>
    <n v="2"/>
    <n v="6"/>
    <n v="0"/>
    <n v="1"/>
    <n v="3"/>
    <x v="0"/>
    <s v="Top"/>
  </r>
  <r>
    <n v="23"/>
    <x v="0"/>
    <s v="Travel_Frequently"/>
    <n v="638"/>
    <x v="0"/>
    <n v="9"/>
    <n v="3"/>
    <s v="Marketing"/>
    <n v="1"/>
    <n v="2023"/>
    <n v="4"/>
    <x v="1"/>
    <n v="33"/>
    <n v="3"/>
    <n v="1"/>
    <x v="6"/>
    <n v="1"/>
    <s v="Married"/>
    <n v="1790"/>
    <n v="26956"/>
    <n v="1"/>
    <s v="Y"/>
    <x v="1"/>
    <n v="19"/>
    <n v="3"/>
    <n v="1"/>
    <n v="80"/>
    <n v="1"/>
    <n v="1"/>
    <n v="3"/>
    <n v="2"/>
    <n v="1"/>
    <n v="0"/>
    <n v="1"/>
    <n v="0"/>
    <x v="3"/>
    <s v="Low"/>
  </r>
  <r>
    <n v="36"/>
    <x v="1"/>
    <s v="Travel_Rarely"/>
    <n v="557"/>
    <x v="0"/>
    <n v="3"/>
    <n v="3"/>
    <s v="Medical"/>
    <n v="1"/>
    <n v="2024"/>
    <n v="1"/>
    <x v="0"/>
    <n v="94"/>
    <n v="2"/>
    <n v="3"/>
    <x v="0"/>
    <n v="4"/>
    <s v="Married"/>
    <n v="7644"/>
    <n v="12695"/>
    <n v="0"/>
    <s v="Y"/>
    <x v="1"/>
    <n v="19"/>
    <n v="3"/>
    <n v="3"/>
    <n v="80"/>
    <n v="2"/>
    <n v="10"/>
    <n v="2"/>
    <n v="3"/>
    <n v="9"/>
    <n v="7"/>
    <n v="3"/>
    <n v="4"/>
    <x v="0"/>
    <s v="High"/>
  </r>
  <r>
    <n v="36"/>
    <x v="1"/>
    <s v="Travel_Frequently"/>
    <n v="688"/>
    <x v="1"/>
    <n v="4"/>
    <n v="2"/>
    <s v="Life Sciences"/>
    <n v="1"/>
    <n v="2025"/>
    <n v="4"/>
    <x v="0"/>
    <n v="97"/>
    <n v="3"/>
    <n v="2"/>
    <x v="3"/>
    <n v="2"/>
    <s v="Divorced"/>
    <n v="5131"/>
    <n v="9192"/>
    <n v="7"/>
    <s v="Y"/>
    <x v="1"/>
    <n v="13"/>
    <n v="3"/>
    <n v="2"/>
    <n v="80"/>
    <n v="3"/>
    <n v="18"/>
    <n v="3"/>
    <n v="3"/>
    <n v="4"/>
    <n v="2"/>
    <n v="0"/>
    <n v="2"/>
    <x v="0"/>
    <s v="Mid"/>
  </r>
  <r>
    <n v="56"/>
    <x v="1"/>
    <s v="Non-Travel"/>
    <n v="667"/>
    <x v="1"/>
    <n v="1"/>
    <n v="4"/>
    <s v="Life Sciences"/>
    <n v="1"/>
    <n v="2026"/>
    <n v="3"/>
    <x v="1"/>
    <n v="57"/>
    <n v="3"/>
    <n v="2"/>
    <x v="4"/>
    <n v="3"/>
    <s v="Divorced"/>
    <n v="6306"/>
    <n v="26236"/>
    <n v="1"/>
    <s v="Y"/>
    <x v="1"/>
    <n v="21"/>
    <n v="4"/>
    <n v="1"/>
    <n v="80"/>
    <n v="1"/>
    <n v="13"/>
    <n v="2"/>
    <n v="2"/>
    <n v="13"/>
    <n v="12"/>
    <n v="1"/>
    <n v="9"/>
    <x v="1"/>
    <s v="Mid"/>
  </r>
  <r>
    <n v="29"/>
    <x v="0"/>
    <s v="Travel_Rarely"/>
    <n v="1092"/>
    <x v="1"/>
    <n v="1"/>
    <n v="4"/>
    <s v="Medical"/>
    <n v="1"/>
    <n v="2027"/>
    <n v="1"/>
    <x v="1"/>
    <n v="36"/>
    <n v="3"/>
    <n v="1"/>
    <x v="1"/>
    <n v="4"/>
    <s v="Married"/>
    <n v="4787"/>
    <n v="26124"/>
    <n v="9"/>
    <s v="Y"/>
    <x v="0"/>
    <n v="14"/>
    <n v="3"/>
    <n v="2"/>
    <n v="80"/>
    <n v="3"/>
    <n v="4"/>
    <n v="3"/>
    <n v="4"/>
    <n v="2"/>
    <n v="2"/>
    <n v="2"/>
    <n v="2"/>
    <x v="2"/>
    <s v="Mid"/>
  </r>
  <r>
    <n v="42"/>
    <x v="1"/>
    <s v="Travel_Rarely"/>
    <n v="300"/>
    <x v="1"/>
    <n v="2"/>
    <n v="3"/>
    <s v="Life Sciences"/>
    <n v="1"/>
    <n v="2031"/>
    <n v="1"/>
    <x v="1"/>
    <n v="56"/>
    <n v="3"/>
    <n v="5"/>
    <x v="5"/>
    <n v="3"/>
    <s v="Married"/>
    <n v="18880"/>
    <n v="17312"/>
    <n v="5"/>
    <s v="Y"/>
    <x v="1"/>
    <n v="11"/>
    <n v="3"/>
    <n v="1"/>
    <n v="80"/>
    <n v="0"/>
    <n v="24"/>
    <n v="2"/>
    <n v="2"/>
    <n v="22"/>
    <n v="6"/>
    <n v="4"/>
    <n v="14"/>
    <x v="0"/>
    <s v="Top"/>
  </r>
  <r>
    <n v="56"/>
    <x v="0"/>
    <s v="Travel_Rarely"/>
    <n v="310"/>
    <x v="1"/>
    <n v="7"/>
    <n v="2"/>
    <s v="Technical Degree"/>
    <n v="1"/>
    <n v="2032"/>
    <n v="4"/>
    <x v="1"/>
    <n v="72"/>
    <n v="3"/>
    <n v="1"/>
    <x v="2"/>
    <n v="3"/>
    <s v="Married"/>
    <n v="2339"/>
    <n v="3666"/>
    <n v="8"/>
    <s v="Y"/>
    <x v="1"/>
    <n v="11"/>
    <n v="3"/>
    <n v="4"/>
    <n v="80"/>
    <n v="1"/>
    <n v="14"/>
    <n v="4"/>
    <n v="1"/>
    <n v="10"/>
    <n v="9"/>
    <n v="9"/>
    <n v="8"/>
    <x v="1"/>
    <s v="Low"/>
  </r>
  <r>
    <n v="41"/>
    <x v="1"/>
    <s v="Travel_Rarely"/>
    <n v="582"/>
    <x v="1"/>
    <n v="28"/>
    <n v="4"/>
    <s v="Life Sciences"/>
    <n v="1"/>
    <n v="2034"/>
    <n v="1"/>
    <x v="0"/>
    <n v="60"/>
    <n v="2"/>
    <n v="4"/>
    <x v="3"/>
    <n v="2"/>
    <s v="Married"/>
    <n v="13570"/>
    <n v="5640"/>
    <n v="0"/>
    <s v="Y"/>
    <x v="1"/>
    <n v="23"/>
    <n v="4"/>
    <n v="3"/>
    <n v="80"/>
    <n v="1"/>
    <n v="21"/>
    <n v="3"/>
    <n v="3"/>
    <n v="20"/>
    <n v="7"/>
    <n v="0"/>
    <n v="10"/>
    <x v="0"/>
    <s v="Top"/>
  </r>
  <r>
    <n v="34"/>
    <x v="1"/>
    <s v="Travel_Rarely"/>
    <n v="704"/>
    <x v="0"/>
    <n v="28"/>
    <n v="3"/>
    <s v="Marketing"/>
    <n v="1"/>
    <n v="2035"/>
    <n v="4"/>
    <x v="0"/>
    <n v="95"/>
    <n v="2"/>
    <n v="2"/>
    <x v="0"/>
    <n v="3"/>
    <s v="Married"/>
    <n v="6712"/>
    <n v="8978"/>
    <n v="1"/>
    <s v="Y"/>
    <x v="1"/>
    <n v="21"/>
    <n v="4"/>
    <n v="4"/>
    <n v="80"/>
    <n v="2"/>
    <n v="8"/>
    <n v="2"/>
    <n v="3"/>
    <n v="8"/>
    <n v="7"/>
    <n v="1"/>
    <n v="7"/>
    <x v="2"/>
    <s v="Mid"/>
  </r>
  <r>
    <n v="36"/>
    <x v="1"/>
    <s v="Non-Travel"/>
    <n v="301"/>
    <x v="0"/>
    <n v="15"/>
    <n v="4"/>
    <s v="Marketing"/>
    <n v="1"/>
    <n v="2036"/>
    <n v="4"/>
    <x v="1"/>
    <n v="88"/>
    <n v="1"/>
    <n v="2"/>
    <x v="0"/>
    <n v="4"/>
    <s v="Divorced"/>
    <n v="5406"/>
    <n v="10436"/>
    <n v="1"/>
    <s v="Y"/>
    <x v="1"/>
    <n v="24"/>
    <n v="4"/>
    <n v="1"/>
    <n v="80"/>
    <n v="1"/>
    <n v="15"/>
    <n v="4"/>
    <n v="2"/>
    <n v="15"/>
    <n v="12"/>
    <n v="11"/>
    <n v="11"/>
    <x v="0"/>
    <s v="Mid"/>
  </r>
  <r>
    <n v="41"/>
    <x v="1"/>
    <s v="Travel_Rarely"/>
    <n v="930"/>
    <x v="0"/>
    <n v="3"/>
    <n v="3"/>
    <s v="Life Sciences"/>
    <n v="1"/>
    <n v="2037"/>
    <n v="3"/>
    <x v="1"/>
    <n v="57"/>
    <n v="2"/>
    <n v="2"/>
    <x v="0"/>
    <n v="2"/>
    <s v="Divorced"/>
    <n v="8938"/>
    <n v="12227"/>
    <n v="2"/>
    <s v="Y"/>
    <x v="1"/>
    <n v="11"/>
    <n v="3"/>
    <n v="3"/>
    <n v="80"/>
    <n v="1"/>
    <n v="14"/>
    <n v="5"/>
    <n v="3"/>
    <n v="5"/>
    <n v="4"/>
    <n v="0"/>
    <n v="4"/>
    <x v="0"/>
    <s v="High"/>
  </r>
  <r>
    <n v="32"/>
    <x v="1"/>
    <s v="Travel_Rarely"/>
    <n v="529"/>
    <x v="1"/>
    <n v="2"/>
    <n v="3"/>
    <s v="Technical Degree"/>
    <n v="1"/>
    <n v="2038"/>
    <n v="4"/>
    <x v="1"/>
    <n v="78"/>
    <n v="3"/>
    <n v="1"/>
    <x v="1"/>
    <n v="1"/>
    <s v="Single"/>
    <n v="2439"/>
    <n v="11288"/>
    <n v="1"/>
    <s v="Y"/>
    <x v="1"/>
    <n v="14"/>
    <n v="3"/>
    <n v="4"/>
    <n v="80"/>
    <n v="0"/>
    <n v="4"/>
    <n v="4"/>
    <n v="3"/>
    <n v="4"/>
    <n v="2"/>
    <n v="1"/>
    <n v="2"/>
    <x v="2"/>
    <s v="Low"/>
  </r>
  <r>
    <n v="35"/>
    <x v="1"/>
    <s v="Travel_Rarely"/>
    <n v="1146"/>
    <x v="2"/>
    <n v="26"/>
    <n v="4"/>
    <s v="Life Sciences"/>
    <n v="1"/>
    <n v="2040"/>
    <n v="3"/>
    <x v="0"/>
    <n v="31"/>
    <n v="3"/>
    <n v="3"/>
    <x v="8"/>
    <n v="4"/>
    <s v="Single"/>
    <n v="8837"/>
    <n v="16642"/>
    <n v="1"/>
    <s v="Y"/>
    <x v="0"/>
    <n v="16"/>
    <n v="3"/>
    <n v="3"/>
    <n v="80"/>
    <n v="0"/>
    <n v="9"/>
    <n v="2"/>
    <n v="3"/>
    <n v="9"/>
    <n v="0"/>
    <n v="1"/>
    <n v="7"/>
    <x v="2"/>
    <s v="High"/>
  </r>
  <r>
    <n v="38"/>
    <x v="1"/>
    <s v="Travel_Rarely"/>
    <n v="345"/>
    <x v="0"/>
    <n v="10"/>
    <n v="2"/>
    <s v="Life Sciences"/>
    <n v="1"/>
    <n v="2041"/>
    <n v="1"/>
    <x v="0"/>
    <n v="100"/>
    <n v="3"/>
    <n v="2"/>
    <x v="0"/>
    <n v="4"/>
    <s v="Married"/>
    <n v="5343"/>
    <n v="5982"/>
    <n v="1"/>
    <s v="Y"/>
    <x v="1"/>
    <n v="11"/>
    <n v="3"/>
    <n v="3"/>
    <n v="80"/>
    <n v="1"/>
    <n v="10"/>
    <n v="1"/>
    <n v="3"/>
    <n v="10"/>
    <n v="7"/>
    <n v="1"/>
    <n v="9"/>
    <x v="0"/>
    <s v="Mid"/>
  </r>
  <r>
    <n v="50"/>
    <x v="0"/>
    <s v="Travel_Frequently"/>
    <n v="878"/>
    <x v="0"/>
    <n v="1"/>
    <n v="4"/>
    <s v="Life Sciences"/>
    <n v="1"/>
    <n v="2044"/>
    <n v="2"/>
    <x v="1"/>
    <n v="94"/>
    <n v="3"/>
    <n v="2"/>
    <x v="0"/>
    <n v="3"/>
    <s v="Divorced"/>
    <n v="6728"/>
    <n v="14255"/>
    <n v="7"/>
    <s v="Y"/>
    <x v="1"/>
    <n v="12"/>
    <n v="3"/>
    <n v="4"/>
    <n v="80"/>
    <n v="2"/>
    <n v="12"/>
    <n v="3"/>
    <n v="3"/>
    <n v="6"/>
    <n v="3"/>
    <n v="0"/>
    <n v="1"/>
    <x v="1"/>
    <s v="Mid"/>
  </r>
  <r>
    <n v="36"/>
    <x v="1"/>
    <s v="Travel_Rarely"/>
    <n v="1120"/>
    <x v="0"/>
    <n v="11"/>
    <n v="4"/>
    <s v="Marketing"/>
    <n v="1"/>
    <n v="2045"/>
    <n v="2"/>
    <x v="0"/>
    <n v="100"/>
    <n v="2"/>
    <n v="2"/>
    <x v="0"/>
    <n v="4"/>
    <s v="Married"/>
    <n v="6652"/>
    <n v="14369"/>
    <n v="4"/>
    <s v="Y"/>
    <x v="1"/>
    <n v="13"/>
    <n v="3"/>
    <n v="1"/>
    <n v="80"/>
    <n v="1"/>
    <n v="8"/>
    <n v="2"/>
    <n v="2"/>
    <n v="6"/>
    <n v="3"/>
    <n v="0"/>
    <n v="0"/>
    <x v="0"/>
    <s v="Mid"/>
  </r>
  <r>
    <n v="45"/>
    <x v="1"/>
    <s v="Travel_Rarely"/>
    <n v="374"/>
    <x v="0"/>
    <n v="20"/>
    <n v="3"/>
    <s v="Life Sciences"/>
    <n v="1"/>
    <n v="2046"/>
    <n v="4"/>
    <x v="0"/>
    <n v="50"/>
    <n v="3"/>
    <n v="2"/>
    <x v="0"/>
    <n v="3"/>
    <s v="Single"/>
    <n v="4850"/>
    <n v="23333"/>
    <n v="8"/>
    <s v="Y"/>
    <x v="1"/>
    <n v="15"/>
    <n v="3"/>
    <n v="3"/>
    <n v="80"/>
    <n v="0"/>
    <n v="8"/>
    <n v="3"/>
    <n v="3"/>
    <n v="5"/>
    <n v="3"/>
    <n v="0"/>
    <n v="1"/>
    <x v="0"/>
    <s v="Mid"/>
  </r>
  <r>
    <n v="40"/>
    <x v="1"/>
    <s v="Travel_Rarely"/>
    <n v="1322"/>
    <x v="1"/>
    <n v="2"/>
    <n v="4"/>
    <s v="Life Sciences"/>
    <n v="1"/>
    <n v="2048"/>
    <n v="3"/>
    <x v="1"/>
    <n v="52"/>
    <n v="2"/>
    <n v="1"/>
    <x v="1"/>
    <n v="3"/>
    <s v="Single"/>
    <n v="2809"/>
    <n v="2725"/>
    <n v="2"/>
    <s v="Y"/>
    <x v="1"/>
    <n v="14"/>
    <n v="3"/>
    <n v="4"/>
    <n v="80"/>
    <n v="0"/>
    <n v="8"/>
    <n v="2"/>
    <n v="3"/>
    <n v="2"/>
    <n v="2"/>
    <n v="2"/>
    <n v="2"/>
    <x v="0"/>
    <s v="Low"/>
  </r>
  <r>
    <n v="35"/>
    <x v="1"/>
    <s v="Travel_Frequently"/>
    <n v="1199"/>
    <x v="1"/>
    <n v="18"/>
    <n v="4"/>
    <s v="Life Sciences"/>
    <n v="1"/>
    <n v="2049"/>
    <n v="3"/>
    <x v="1"/>
    <n v="80"/>
    <n v="3"/>
    <n v="2"/>
    <x v="4"/>
    <n v="3"/>
    <s v="Married"/>
    <n v="5689"/>
    <n v="24594"/>
    <n v="1"/>
    <s v="Y"/>
    <x v="0"/>
    <n v="14"/>
    <n v="3"/>
    <n v="4"/>
    <n v="80"/>
    <n v="2"/>
    <n v="10"/>
    <n v="2"/>
    <n v="4"/>
    <n v="10"/>
    <n v="2"/>
    <n v="0"/>
    <n v="2"/>
    <x v="2"/>
    <s v="Mid"/>
  </r>
  <r>
    <n v="40"/>
    <x v="1"/>
    <s v="Travel_Rarely"/>
    <n v="1194"/>
    <x v="1"/>
    <n v="2"/>
    <n v="4"/>
    <s v="Medical"/>
    <n v="1"/>
    <n v="2051"/>
    <n v="3"/>
    <x v="0"/>
    <n v="98"/>
    <n v="3"/>
    <n v="1"/>
    <x v="1"/>
    <n v="3"/>
    <s v="Married"/>
    <n v="2001"/>
    <n v="12549"/>
    <n v="2"/>
    <s v="Y"/>
    <x v="1"/>
    <n v="14"/>
    <n v="3"/>
    <n v="2"/>
    <n v="80"/>
    <n v="3"/>
    <n v="20"/>
    <n v="2"/>
    <n v="3"/>
    <n v="5"/>
    <n v="3"/>
    <n v="0"/>
    <n v="2"/>
    <x v="0"/>
    <s v="Low"/>
  </r>
  <r>
    <n v="35"/>
    <x v="1"/>
    <s v="Travel_Rarely"/>
    <n v="287"/>
    <x v="1"/>
    <n v="1"/>
    <n v="4"/>
    <s v="Life Sciences"/>
    <n v="1"/>
    <n v="2052"/>
    <n v="3"/>
    <x v="0"/>
    <n v="62"/>
    <n v="1"/>
    <n v="1"/>
    <x v="1"/>
    <n v="4"/>
    <s v="Married"/>
    <n v="2977"/>
    <n v="8952"/>
    <n v="1"/>
    <s v="Y"/>
    <x v="1"/>
    <n v="12"/>
    <n v="3"/>
    <n v="4"/>
    <n v="80"/>
    <n v="1"/>
    <n v="4"/>
    <n v="5"/>
    <n v="3"/>
    <n v="4"/>
    <n v="3"/>
    <n v="1"/>
    <n v="1"/>
    <x v="2"/>
    <s v="Low"/>
  </r>
  <r>
    <n v="29"/>
    <x v="1"/>
    <s v="Travel_Rarely"/>
    <n v="1378"/>
    <x v="1"/>
    <n v="13"/>
    <n v="2"/>
    <s v="Other"/>
    <n v="1"/>
    <n v="2053"/>
    <n v="4"/>
    <x v="1"/>
    <n v="46"/>
    <n v="2"/>
    <n v="2"/>
    <x v="2"/>
    <n v="2"/>
    <s v="Married"/>
    <n v="4025"/>
    <n v="23679"/>
    <n v="4"/>
    <s v="Y"/>
    <x v="0"/>
    <n v="13"/>
    <n v="3"/>
    <n v="1"/>
    <n v="80"/>
    <n v="1"/>
    <n v="10"/>
    <n v="2"/>
    <n v="3"/>
    <n v="4"/>
    <n v="3"/>
    <n v="0"/>
    <n v="3"/>
    <x v="2"/>
    <s v="Mid"/>
  </r>
  <r>
    <n v="29"/>
    <x v="1"/>
    <s v="Travel_Rarely"/>
    <n v="468"/>
    <x v="1"/>
    <n v="28"/>
    <n v="4"/>
    <s v="Medical"/>
    <n v="1"/>
    <n v="2054"/>
    <n v="4"/>
    <x v="0"/>
    <n v="73"/>
    <n v="2"/>
    <n v="1"/>
    <x v="1"/>
    <n v="1"/>
    <s v="Single"/>
    <n v="3785"/>
    <n v="8489"/>
    <n v="1"/>
    <s v="Y"/>
    <x v="1"/>
    <n v="14"/>
    <n v="3"/>
    <n v="2"/>
    <n v="80"/>
    <n v="0"/>
    <n v="5"/>
    <n v="3"/>
    <n v="1"/>
    <n v="5"/>
    <n v="4"/>
    <n v="0"/>
    <n v="4"/>
    <x v="2"/>
    <s v="Mid"/>
  </r>
  <r>
    <n v="50"/>
    <x v="0"/>
    <s v="Travel_Rarely"/>
    <n v="410"/>
    <x v="0"/>
    <n v="28"/>
    <n v="3"/>
    <s v="Marketing"/>
    <n v="1"/>
    <n v="2055"/>
    <n v="4"/>
    <x v="1"/>
    <n v="39"/>
    <n v="2"/>
    <n v="3"/>
    <x v="0"/>
    <n v="1"/>
    <s v="Divorced"/>
    <n v="10854"/>
    <n v="16586"/>
    <n v="4"/>
    <s v="Y"/>
    <x v="0"/>
    <n v="13"/>
    <n v="3"/>
    <n v="2"/>
    <n v="80"/>
    <n v="1"/>
    <n v="20"/>
    <n v="3"/>
    <n v="3"/>
    <n v="3"/>
    <n v="2"/>
    <n v="2"/>
    <n v="0"/>
    <x v="1"/>
    <s v="High"/>
  </r>
  <r>
    <n v="39"/>
    <x v="1"/>
    <s v="Travel_Rarely"/>
    <n v="722"/>
    <x v="0"/>
    <n v="24"/>
    <n v="1"/>
    <s v="Marketing"/>
    <n v="1"/>
    <n v="2056"/>
    <n v="2"/>
    <x v="0"/>
    <n v="60"/>
    <n v="2"/>
    <n v="4"/>
    <x v="0"/>
    <n v="4"/>
    <s v="Married"/>
    <n v="12031"/>
    <n v="8828"/>
    <n v="0"/>
    <s v="Y"/>
    <x v="1"/>
    <n v="11"/>
    <n v="3"/>
    <n v="1"/>
    <n v="80"/>
    <n v="1"/>
    <n v="21"/>
    <n v="2"/>
    <n v="2"/>
    <n v="20"/>
    <n v="9"/>
    <n v="9"/>
    <n v="6"/>
    <x v="0"/>
    <s v="Top"/>
  </r>
  <r>
    <n v="31"/>
    <x v="1"/>
    <s v="Non-Travel"/>
    <n v="325"/>
    <x v="1"/>
    <n v="5"/>
    <n v="3"/>
    <s v="Medical"/>
    <n v="1"/>
    <n v="2057"/>
    <n v="2"/>
    <x v="1"/>
    <n v="74"/>
    <n v="3"/>
    <n v="2"/>
    <x v="3"/>
    <n v="1"/>
    <s v="Single"/>
    <n v="9936"/>
    <n v="3787"/>
    <n v="0"/>
    <s v="Y"/>
    <x v="1"/>
    <n v="19"/>
    <n v="3"/>
    <n v="2"/>
    <n v="80"/>
    <n v="0"/>
    <n v="10"/>
    <n v="2"/>
    <n v="3"/>
    <n v="9"/>
    <n v="4"/>
    <n v="1"/>
    <n v="7"/>
    <x v="2"/>
    <s v="High"/>
  </r>
  <r>
    <n v="26"/>
    <x v="1"/>
    <s v="Travel_Rarely"/>
    <n v="1167"/>
    <x v="0"/>
    <n v="5"/>
    <n v="3"/>
    <s v="Other"/>
    <n v="1"/>
    <n v="2060"/>
    <n v="4"/>
    <x v="0"/>
    <n v="30"/>
    <n v="2"/>
    <n v="1"/>
    <x v="6"/>
    <n v="3"/>
    <s v="Single"/>
    <n v="2966"/>
    <n v="21378"/>
    <n v="0"/>
    <s v="Y"/>
    <x v="1"/>
    <n v="18"/>
    <n v="3"/>
    <n v="4"/>
    <n v="80"/>
    <n v="0"/>
    <n v="5"/>
    <n v="2"/>
    <n v="3"/>
    <n v="4"/>
    <n v="2"/>
    <n v="0"/>
    <n v="0"/>
    <x v="2"/>
    <s v="Low"/>
  </r>
  <r>
    <n v="36"/>
    <x v="1"/>
    <s v="Travel_Frequently"/>
    <n v="884"/>
    <x v="1"/>
    <n v="23"/>
    <n v="2"/>
    <s v="Medical"/>
    <n v="1"/>
    <n v="2061"/>
    <n v="3"/>
    <x v="1"/>
    <n v="41"/>
    <n v="4"/>
    <n v="2"/>
    <x v="2"/>
    <n v="4"/>
    <s v="Married"/>
    <n v="2571"/>
    <n v="12290"/>
    <n v="4"/>
    <s v="Y"/>
    <x v="1"/>
    <n v="17"/>
    <n v="3"/>
    <n v="3"/>
    <n v="80"/>
    <n v="1"/>
    <n v="17"/>
    <n v="3"/>
    <n v="3"/>
    <n v="5"/>
    <n v="2"/>
    <n v="0"/>
    <n v="3"/>
    <x v="0"/>
    <s v="Low"/>
  </r>
  <r>
    <n v="39"/>
    <x v="1"/>
    <s v="Travel_Rarely"/>
    <n v="613"/>
    <x v="1"/>
    <n v="6"/>
    <n v="1"/>
    <s v="Medical"/>
    <n v="1"/>
    <n v="2062"/>
    <n v="4"/>
    <x v="1"/>
    <n v="42"/>
    <n v="2"/>
    <n v="3"/>
    <x v="4"/>
    <n v="1"/>
    <s v="Married"/>
    <n v="9991"/>
    <n v="21457"/>
    <n v="4"/>
    <s v="Y"/>
    <x v="1"/>
    <n v="15"/>
    <n v="3"/>
    <n v="1"/>
    <n v="80"/>
    <n v="1"/>
    <n v="9"/>
    <n v="5"/>
    <n v="3"/>
    <n v="7"/>
    <n v="7"/>
    <n v="1"/>
    <n v="7"/>
    <x v="0"/>
    <s v="High"/>
  </r>
  <r>
    <n v="27"/>
    <x v="1"/>
    <s v="Travel_Rarely"/>
    <n v="155"/>
    <x v="1"/>
    <n v="4"/>
    <n v="3"/>
    <s v="Life Sciences"/>
    <n v="1"/>
    <n v="2064"/>
    <n v="2"/>
    <x v="1"/>
    <n v="87"/>
    <n v="4"/>
    <n v="2"/>
    <x v="3"/>
    <n v="2"/>
    <s v="Married"/>
    <n v="6142"/>
    <n v="5174"/>
    <n v="1"/>
    <s v="Y"/>
    <x v="0"/>
    <n v="20"/>
    <n v="4"/>
    <n v="2"/>
    <n v="80"/>
    <n v="1"/>
    <n v="6"/>
    <n v="0"/>
    <n v="3"/>
    <n v="6"/>
    <n v="2"/>
    <n v="0"/>
    <n v="3"/>
    <x v="2"/>
    <s v="Mid"/>
  </r>
  <r>
    <n v="49"/>
    <x v="1"/>
    <s v="Travel_Frequently"/>
    <n v="1023"/>
    <x v="0"/>
    <n v="2"/>
    <n v="3"/>
    <s v="Medical"/>
    <n v="1"/>
    <n v="2065"/>
    <n v="4"/>
    <x v="1"/>
    <n v="63"/>
    <n v="2"/>
    <n v="2"/>
    <x v="0"/>
    <n v="2"/>
    <s v="Married"/>
    <n v="5390"/>
    <n v="13243"/>
    <n v="2"/>
    <s v="Y"/>
    <x v="1"/>
    <n v="14"/>
    <n v="3"/>
    <n v="4"/>
    <n v="80"/>
    <n v="0"/>
    <n v="17"/>
    <n v="3"/>
    <n v="2"/>
    <n v="9"/>
    <n v="6"/>
    <n v="0"/>
    <n v="8"/>
    <x v="1"/>
    <s v="Mid"/>
  </r>
  <r>
    <n v="34"/>
    <x v="1"/>
    <s v="Travel_Rarely"/>
    <n v="628"/>
    <x v="1"/>
    <n v="8"/>
    <n v="3"/>
    <s v="Medical"/>
    <n v="1"/>
    <n v="2068"/>
    <n v="2"/>
    <x v="1"/>
    <n v="82"/>
    <n v="4"/>
    <n v="2"/>
    <x v="2"/>
    <n v="3"/>
    <s v="Married"/>
    <n v="4404"/>
    <n v="10228"/>
    <n v="2"/>
    <s v="Y"/>
    <x v="1"/>
    <n v="12"/>
    <n v="3"/>
    <n v="1"/>
    <n v="80"/>
    <n v="0"/>
    <n v="6"/>
    <n v="3"/>
    <n v="4"/>
    <n v="4"/>
    <n v="3"/>
    <n v="1"/>
    <n v="2"/>
    <x v="2"/>
    <s v="Mid"/>
  </r>
  <r>
    <m/>
    <x v="2"/>
    <m/>
    <m/>
    <x v="3"/>
    <m/>
    <m/>
    <m/>
    <m/>
    <m/>
    <m/>
    <x v="2"/>
    <m/>
    <m/>
    <m/>
    <x v="9"/>
    <m/>
    <m/>
    <m/>
    <m/>
    <m/>
    <m/>
    <x v="2"/>
    <m/>
    <m/>
    <m/>
    <m/>
    <m/>
    <m/>
    <m/>
    <m/>
    <m/>
    <m/>
    <m/>
    <m/>
    <x v="4"/>
    <m/>
  </r>
  <r>
    <n v="0"/>
    <x v="2"/>
    <m/>
    <m/>
    <x v="3"/>
    <m/>
    <m/>
    <m/>
    <m/>
    <m/>
    <m/>
    <x v="2"/>
    <m/>
    <m/>
    <m/>
    <x v="9"/>
    <m/>
    <m/>
    <m/>
    <m/>
    <m/>
    <m/>
    <x v="2"/>
    <m/>
    <m/>
    <m/>
    <m/>
    <m/>
    <m/>
    <m/>
    <m/>
    <m/>
    <m/>
    <m/>
    <m/>
    <x v="4"/>
    <m/>
  </r>
  <r>
    <n v="0"/>
    <x v="3"/>
    <n v="0"/>
    <n v="0"/>
    <x v="4"/>
    <n v="0"/>
    <n v="0"/>
    <n v="0"/>
    <n v="0"/>
    <n v="0"/>
    <n v="0"/>
    <x v="3"/>
    <n v="0"/>
    <n v="0"/>
    <n v="0"/>
    <x v="10"/>
    <n v="0"/>
    <n v="0"/>
    <n v="0"/>
    <n v="0"/>
    <n v="0"/>
    <n v="0"/>
    <x v="3"/>
    <n v="0"/>
    <n v="0"/>
    <n v="0"/>
    <n v="0"/>
    <n v="0"/>
    <n v="0"/>
    <n v="0"/>
    <n v="0"/>
    <n v="0"/>
    <n v="0"/>
    <n v="0"/>
    <n v="0"/>
    <x v="4"/>
    <m/>
  </r>
  <r>
    <m/>
    <x v="2"/>
    <m/>
    <m/>
    <x v="3"/>
    <m/>
    <m/>
    <m/>
    <m/>
    <m/>
    <m/>
    <x v="2"/>
    <m/>
    <m/>
    <m/>
    <x v="9"/>
    <m/>
    <m/>
    <m/>
    <m/>
    <m/>
    <m/>
    <x v="2"/>
    <m/>
    <m/>
    <m/>
    <m/>
    <m/>
    <m/>
    <m/>
    <m/>
    <m/>
    <m/>
    <m/>
    <m/>
    <x v="4"/>
    <m/>
  </r>
  <r>
    <m/>
    <x v="2"/>
    <m/>
    <m/>
    <x v="3"/>
    <m/>
    <m/>
    <m/>
    <m/>
    <m/>
    <m/>
    <x v="2"/>
    <m/>
    <m/>
    <m/>
    <x v="9"/>
    <m/>
    <m/>
    <m/>
    <m/>
    <m/>
    <m/>
    <x v="2"/>
    <m/>
    <m/>
    <m/>
    <m/>
    <m/>
    <m/>
    <m/>
    <m/>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F5024B-DFE3-45E3-AFA0-8D261B86A6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8" firstHeaderRow="1" firstDataRow="2" firstDataCol="1"/>
  <pivotFields count="37">
    <pivotField showAll="0"/>
    <pivotField axis="axisCol" showAll="0">
      <items count="5">
        <item h="1" x="3"/>
        <item x="1"/>
        <item x="0"/>
        <item h="1" x="2"/>
        <item t="default"/>
      </items>
    </pivotField>
    <pivotField showAll="0"/>
    <pivotField showAll="0"/>
    <pivotField axis="axisRow" showAll="0">
      <items count="6">
        <item x="4"/>
        <item x="2"/>
        <item x="1"/>
        <item x="0"/>
        <item x="3"/>
        <item t="default"/>
      </items>
    </pivotField>
    <pivotField showAll="0"/>
    <pivotField showAll="0"/>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h="1" x="3"/>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v="3"/>
    </i>
    <i t="grand">
      <x/>
    </i>
  </rowItems>
  <colFields count="1">
    <field x="1"/>
  </colFields>
  <colItems count="3">
    <i>
      <x v="1"/>
    </i>
    <i>
      <x v="2"/>
    </i>
    <i t="grand">
      <x/>
    </i>
  </colItems>
  <dataFields count="1">
    <dataField name="Count of EmployeeNumber" fld="9" subtotal="count" showDataAs="percentOfRow" baseField="4" baseItem="0" numFmtId="10"/>
  </dataFields>
  <chartFormats count="9">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15" format="6" series="1">
      <pivotArea type="data" outline="0" fieldPosition="0">
        <references count="2">
          <reference field="4294967294" count="1" selected="0">
            <x v="0"/>
          </reference>
          <reference field="1" count="1" selected="0">
            <x v="1"/>
          </reference>
        </references>
      </pivotArea>
    </chartFormat>
    <chartFormat chart="15" format="7" series="1">
      <pivotArea type="data" outline="0" fieldPosition="0">
        <references count="2">
          <reference field="4294967294" count="1" selected="0">
            <x v="0"/>
          </reference>
          <reference field="1" count="1" selected="0">
            <x v="2"/>
          </reference>
        </references>
      </pivotArea>
    </chartFormat>
    <chartFormat chart="15" format="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39D175-9141-4EC0-A709-843457395F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rowPageCount="1" colPageCount="1"/>
  <pivotFields count="37">
    <pivotField showAll="0"/>
    <pivotField axis="axisPage" dataField="1" multipleItemSelectionAllowed="1" showAll="0">
      <items count="5">
        <item h="1" x="3"/>
        <item h="1" x="1"/>
        <item x="0"/>
        <item h="1" x="2"/>
        <item t="default"/>
      </items>
    </pivotField>
    <pivotField showAll="0"/>
    <pivotField showAll="0"/>
    <pivotField showAll="0">
      <items count="6">
        <item x="4"/>
        <item x="2"/>
        <item x="1"/>
        <item x="0"/>
        <item x="3"/>
        <item t="default"/>
      </items>
    </pivotField>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h="1" x="3"/>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s>
  <rowFields count="1">
    <field x="35"/>
  </rowFields>
  <rowItems count="5">
    <i>
      <x/>
    </i>
    <i>
      <x v="1"/>
    </i>
    <i>
      <x v="2"/>
    </i>
    <i>
      <x v="3"/>
    </i>
    <i t="grand">
      <x/>
    </i>
  </rowItems>
  <colItems count="1">
    <i/>
  </colItems>
  <pageFields count="1">
    <pageField fld="1" hier="-1"/>
  </pageFields>
  <dataFields count="1">
    <dataField name="Count of Attrition" fld="1" subtotal="count"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DDA2D-BAA0-4B2F-9B55-0868848684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37">
    <pivotField showAll="0"/>
    <pivotField showAll="0"/>
    <pivotField showAll="0"/>
    <pivotField showAll="0"/>
    <pivotField showAll="0">
      <items count="6">
        <item x="4"/>
        <item x="2"/>
        <item x="1"/>
        <item x="0"/>
        <item x="3"/>
        <item t="default"/>
      </items>
    </pivotField>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axis="axisRow" showAll="0" sortType="descending">
      <items count="12">
        <item x="10"/>
        <item x="4"/>
        <item x="8"/>
        <item x="2"/>
        <item x="5"/>
        <item x="3"/>
        <item x="7"/>
        <item x="1"/>
        <item x="0"/>
        <item x="6"/>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h="1" x="3"/>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4"/>
    </i>
    <i>
      <x v="6"/>
    </i>
    <i>
      <x v="1"/>
    </i>
    <i>
      <x v="5"/>
    </i>
    <i>
      <x v="8"/>
    </i>
    <i>
      <x v="2"/>
    </i>
    <i>
      <x v="7"/>
    </i>
    <i>
      <x v="3"/>
    </i>
    <i>
      <x v="9"/>
    </i>
    <i t="grand">
      <x/>
    </i>
  </rowItems>
  <colItems count="1">
    <i/>
  </colItems>
  <dataFields count="1">
    <dataField name="Average of MonthlyIncome" fld="18" subtotal="average" baseField="15" baseItem="0" numFmtId="42"/>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72887-EAD9-44E2-BCD3-FA4F690E95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37">
    <pivotField showAll="0"/>
    <pivotField axis="axisCol" showAll="0">
      <items count="5">
        <item x="3"/>
        <item x="1"/>
        <item x="0"/>
        <item x="2"/>
        <item t="default"/>
      </items>
    </pivotField>
    <pivotField showAll="0"/>
    <pivotField showAll="0"/>
    <pivotField showAll="0">
      <items count="6">
        <item x="4"/>
        <item x="2"/>
        <item x="1"/>
        <item x="0"/>
        <item x="3"/>
        <item t="default"/>
      </items>
    </pivotField>
    <pivotField showAll="0"/>
    <pivotField showAll="0"/>
    <pivotField showAll="0"/>
    <pivotField showAll="0"/>
    <pivotField dataField="1"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h="1" x="3"/>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v="1"/>
    </i>
    <i>
      <x v="2"/>
    </i>
    <i t="grand">
      <x/>
    </i>
  </rowItems>
  <colFields count="1">
    <field x="1"/>
  </colFields>
  <colItems count="3">
    <i>
      <x v="1"/>
    </i>
    <i>
      <x v="2"/>
    </i>
    <i t="grand">
      <x/>
    </i>
  </colItems>
  <dataFields count="1">
    <dataField name="Count of EmployeeNumber" fld="9" subtotal="count" showDataAs="percentOfRow" baseField="22" baseItem="0" numFmtId="10"/>
  </dataFields>
  <chartFormats count="16">
    <chartFormat chart="5" format="0" series="1">
      <pivotArea type="data" outline="0" fieldPosition="0">
        <references count="2">
          <reference field="4294967294" count="1" selected="0">
            <x v="0"/>
          </reference>
          <reference field="1" count="1" selected="0">
            <x v="1"/>
          </reference>
        </references>
      </pivotArea>
    </chartFormat>
    <chartFormat chart="5" format="1" series="1">
      <pivotArea type="data" outline="0" fieldPosition="0">
        <references count="2">
          <reference field="4294967294" count="1" selected="0">
            <x v="0"/>
          </reference>
          <reference field="1" count="1" selected="0">
            <x v="2"/>
          </reference>
        </references>
      </pivotArea>
    </chartFormat>
    <chartFormat chart="7" format="8" series="1">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3">
          <reference field="4294967294" count="1" selected="0">
            <x v="0"/>
          </reference>
          <reference field="1" count="1" selected="0">
            <x v="1"/>
          </reference>
          <reference field="22" count="1" selected="0">
            <x v="1"/>
          </reference>
        </references>
      </pivotArea>
    </chartFormat>
    <chartFormat chart="7" format="10">
      <pivotArea type="data" outline="0" fieldPosition="0">
        <references count="3">
          <reference field="4294967294" count="1" selected="0">
            <x v="0"/>
          </reference>
          <reference field="1" count="1" selected="0">
            <x v="1"/>
          </reference>
          <reference field="22" count="1" selected="0">
            <x v="2"/>
          </reference>
        </references>
      </pivotArea>
    </chartFormat>
    <chartFormat chart="7" format="11" series="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3">
          <reference field="4294967294" count="1" selected="0">
            <x v="0"/>
          </reference>
          <reference field="1" count="1" selected="0">
            <x v="2"/>
          </reference>
          <reference field="22" count="1" selected="0">
            <x v="1"/>
          </reference>
        </references>
      </pivotArea>
    </chartFormat>
    <chartFormat chart="7" format="13">
      <pivotArea type="data" outline="0" fieldPosition="0">
        <references count="3">
          <reference field="4294967294" count="1" selected="0">
            <x v="0"/>
          </reference>
          <reference field="1" count="1" selected="0">
            <x v="2"/>
          </reference>
          <reference field="22" count="1" selected="0">
            <x v="2"/>
          </reference>
        </references>
      </pivotArea>
    </chartFormat>
    <chartFormat chart="7" format="1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pivotArea type="data" outline="0" fieldPosition="0">
        <references count="3">
          <reference field="4294967294" count="1" selected="0">
            <x v="0"/>
          </reference>
          <reference field="1" count="1" selected="0">
            <x v="1"/>
          </reference>
          <reference field="22" count="1" selected="0">
            <x v="1"/>
          </reference>
        </references>
      </pivotArea>
    </chartFormat>
    <chartFormat chart="5" format="5">
      <pivotArea type="data" outline="0" fieldPosition="0">
        <references count="3">
          <reference field="4294967294" count="1" selected="0">
            <x v="0"/>
          </reference>
          <reference field="1" count="1" selected="0">
            <x v="1"/>
          </reference>
          <reference field="22" count="1" selected="0">
            <x v="2"/>
          </reference>
        </references>
      </pivotArea>
    </chartFormat>
    <chartFormat chart="5" format="6">
      <pivotArea type="data" outline="0" fieldPosition="0">
        <references count="3">
          <reference field="4294967294" count="1" selected="0">
            <x v="0"/>
          </reference>
          <reference field="1" count="1" selected="0">
            <x v="2"/>
          </reference>
          <reference field="22" count="1" selected="0">
            <x v="1"/>
          </reference>
        </references>
      </pivotArea>
    </chartFormat>
    <chartFormat chart="5" format="7">
      <pivotArea type="data" outline="0" fieldPosition="0">
        <references count="3">
          <reference field="4294967294" count="1" selected="0">
            <x v="0"/>
          </reference>
          <reference field="1" count="1" selected="0">
            <x v="2"/>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154CDEB-84CC-4599-8126-232B60E5BCE5}" sourceName="Department">
  <pivotTables>
    <pivotTable tabId="10" name="PivotTable5"/>
    <pivotTable tabId="6" name="PivotTable2"/>
    <pivotTable tabId="7" name="PivotTable3"/>
    <pivotTable tabId="11" name="PivotTable6"/>
  </pivotTables>
  <data>
    <tabular pivotCacheId="959580943">
      <items count="5">
        <i x="2" s="1"/>
        <i x="1" s="1"/>
        <i x="0" s="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4C4EC4-745A-4F57-97FD-88DB4F2D477F}" sourceName="Gender">
  <pivotTables>
    <pivotTable tabId="10" name="PivotTable5"/>
    <pivotTable tabId="6" name="PivotTable2"/>
    <pivotTable tabId="7" name="PivotTable3"/>
    <pivotTable tabId="11" name="PivotTable6"/>
  </pivotTables>
  <data>
    <tabular pivotCacheId="959580943">
      <items count="4">
        <i x="0" s="1"/>
        <i x="1" s="1"/>
        <i x="3"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019856B-8546-4E26-B6AA-7A111C0DE591}" sourceName="OverTime">
  <pivotTables>
    <pivotTable tabId="10" name="PivotTable5"/>
    <pivotTable tabId="6" name="PivotTable2"/>
    <pivotTable tabId="7" name="PivotTable3"/>
    <pivotTable tabId="11" name="PivotTable6"/>
  </pivotTables>
  <data>
    <tabular pivotCacheId="959580943">
      <items count="4">
        <i x="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72651E8-31CA-4260-BD26-2C88384F15D6}" cache="Slicer_Department" caption="Department" style="SlicerStyleDark3" rowHeight="234950"/>
  <slicer name="Gender" xr10:uid="{6E9FF2FF-A927-45E4-8ECC-7B370E028DE0}" cache="Slicer_Gender" caption="Gender" style="SlicerStyleOther1" rowHeight="234950"/>
  <slicer name="OverTime" xr10:uid="{1FA2A8F7-2746-4321-8B9E-53313786244D}" cache="Slicer_OverTime" caption="OverTime"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A077-95F3-4CEF-8E8D-6159A6FAF5E7}">
  <sheetPr>
    <tabColor theme="1" tint="0.34998626667073579"/>
  </sheetPr>
  <dimension ref="B2:P11"/>
  <sheetViews>
    <sheetView showGridLines="0" zoomScale="68" zoomScaleNormal="90" workbookViewId="0">
      <selection activeCell="AN38" sqref="AN38"/>
    </sheetView>
  </sheetViews>
  <sheetFormatPr defaultRowHeight="14.4" x14ac:dyDescent="0.3"/>
  <cols>
    <col min="1" max="16384" width="8.88671875" style="10"/>
  </cols>
  <sheetData>
    <row r="2" spans="2:16" x14ac:dyDescent="0.3">
      <c r="B2" s="14">
        <v>1470</v>
      </c>
      <c r="C2" s="12"/>
      <c r="D2" s="12"/>
      <c r="F2" s="15">
        <v>0.16120000000000001</v>
      </c>
      <c r="G2" s="16"/>
      <c r="H2" s="16"/>
      <c r="J2" s="12" t="s">
        <v>85</v>
      </c>
      <c r="K2" s="12"/>
      <c r="L2" s="12"/>
      <c r="N2" s="12">
        <v>7</v>
      </c>
      <c r="O2" s="12"/>
      <c r="P2" s="12"/>
    </row>
    <row r="3" spans="2:16" x14ac:dyDescent="0.3">
      <c r="B3" s="12"/>
      <c r="C3" s="12"/>
      <c r="D3" s="12"/>
      <c r="F3" s="16"/>
      <c r="G3" s="16"/>
      <c r="H3" s="16"/>
      <c r="J3" s="12"/>
      <c r="K3" s="12"/>
      <c r="L3" s="12"/>
      <c r="N3" s="12"/>
      <c r="O3" s="12"/>
      <c r="P3" s="12"/>
    </row>
    <row r="4" spans="2:16" x14ac:dyDescent="0.3">
      <c r="B4" s="12"/>
      <c r="C4" s="12"/>
      <c r="D4" s="12"/>
      <c r="F4" s="16"/>
      <c r="G4" s="16"/>
      <c r="H4" s="16"/>
      <c r="J4" s="12"/>
      <c r="K4" s="12"/>
      <c r="L4" s="12"/>
      <c r="N4" s="12"/>
      <c r="O4" s="12"/>
      <c r="P4" s="12"/>
    </row>
    <row r="5" spans="2:16" x14ac:dyDescent="0.3">
      <c r="B5" s="13" t="s">
        <v>86</v>
      </c>
      <c r="C5" s="13"/>
      <c r="D5" s="13"/>
      <c r="F5" s="17" t="s">
        <v>87</v>
      </c>
      <c r="G5" s="17"/>
      <c r="H5" s="17"/>
      <c r="J5" s="13" t="s">
        <v>88</v>
      </c>
      <c r="K5" s="13"/>
      <c r="L5" s="13"/>
      <c r="N5" s="13" t="s">
        <v>89</v>
      </c>
      <c r="O5" s="13"/>
      <c r="P5" s="13"/>
    </row>
    <row r="11" spans="2:16" x14ac:dyDescent="0.3">
      <c r="H11" s="11"/>
    </row>
  </sheetData>
  <mergeCells count="8">
    <mergeCell ref="N2:P4"/>
    <mergeCell ref="N5:P5"/>
    <mergeCell ref="B2:D4"/>
    <mergeCell ref="B5:D5"/>
    <mergeCell ref="F2:H4"/>
    <mergeCell ref="F5:H5"/>
    <mergeCell ref="J2:L4"/>
    <mergeCell ref="J5: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94BA-CEA3-4C56-8AF8-111C799473B0}">
  <dimension ref="A1:AK1473"/>
  <sheetViews>
    <sheetView workbookViewId="0">
      <pane ySplit="1" topLeftCell="A2" activePane="bottomLeft" state="frozen"/>
      <selection pane="bottomLeft" activeCell="F6" sqref="F6"/>
    </sheetView>
  </sheetViews>
  <sheetFormatPr defaultRowHeight="14.4" x14ac:dyDescent="0.3"/>
  <cols>
    <col min="5" max="5" width="21.77734375" customWidth="1"/>
    <col min="6" max="6" width="15.5546875" customWidth="1"/>
    <col min="16" max="16" width="19.77734375" customWidth="1"/>
    <col min="17" max="17" width="13.44140625" customWidth="1"/>
    <col min="18" max="18" width="11.77734375" customWidth="1"/>
    <col min="19" max="19" width="13.5546875" customWidth="1"/>
    <col min="32" max="32" width="14.554687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_xlfn.IFS(A2&lt;=25,"Under 25",A2&lt;=35,"26–35",A2&lt;=45,"36–45",A2&gt;45,"46+")</f>
        <v>36–45</v>
      </c>
      <c r="AK2" t="str" cm="1">
        <f t="array" ref="AK2">_xlfn.IFS(R2&lt;=3000,"Low",R2&lt;=7000,"Mid",R2&lt;=12000,"High",R2&gt;12000,"Top")</f>
        <v>Top</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_xlfn.IFS(A3&lt;=25,"Under 25",A3&lt;=35,"26–35",A3&lt;=45,"36–45",A3&gt;45,"46+")</f>
        <v>46+</v>
      </c>
      <c r="AK3" t="str" cm="1">
        <f t="array" ref="AK3">_xlfn.IFS(R3&lt;=3000,"Low",R3&lt;=7000,"Mid",R3&lt;=12000,"High",R3&gt;12000,"Top")</f>
        <v>Top</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_xlfn.IFS(A4&lt;=25,"Under 25",A4&lt;=35,"26–35",A4&lt;=45,"36–45",A4&gt;45,"46+")</f>
        <v>36–45</v>
      </c>
      <c r="AK4" t="str" cm="1">
        <f t="array" ref="AK4">_xlfn.IFS(R4&lt;=3000,"Low",R4&lt;=7000,"Mid",R4&lt;=12000,"High",R4&gt;12000,"Top")</f>
        <v>Top</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_xlfn.IFS(A5&lt;=25,"Under 25",A5&lt;=35,"26–35",A5&lt;=45,"36–45",A5&gt;45,"46+")</f>
        <v>26–35</v>
      </c>
      <c r="AK5" t="str" cm="1">
        <f t="array" ref="AK5">_xlfn.IFS(R5&lt;=3000,"Low",R5&lt;=7000,"Mid",R5&lt;=12000,"High",R5&gt;12000,"Top")</f>
        <v>Top</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_xlfn.IFS(A6&lt;=25,"Under 25",A6&lt;=35,"26–35",A6&lt;=45,"36–45",A6&gt;45,"46+")</f>
        <v>26–35</v>
      </c>
      <c r="AK6" t="str" cm="1">
        <f t="array" ref="AK6">_xlfn.IFS(R6&lt;=3000,"Low",R6&lt;=7000,"Mid",R6&lt;=12000,"High",R6&gt;12000,"Top")</f>
        <v>Top</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_xlfn.IFS(A7&lt;=25,"Under 25",A7&lt;=35,"26–35",A7&lt;=45,"36–45",A7&gt;45,"46+")</f>
        <v>26–35</v>
      </c>
      <c r="AK7" t="str" cm="1">
        <f t="array" ref="AK7">_xlfn.IFS(R7&lt;=3000,"Low",R7&lt;=7000,"Mid",R7&lt;=12000,"High",R7&gt;12000,"Top")</f>
        <v>Top</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_xlfn.IFS(A8&lt;=25,"Under 25",A8&lt;=35,"26–35",A8&lt;=45,"36–45",A8&gt;45,"46+")</f>
        <v>46+</v>
      </c>
      <c r="AK8" t="str" cm="1">
        <f t="array" ref="AK8">_xlfn.IFS(R8&lt;=3000,"Low",R8&lt;=7000,"Mid",R8&lt;=12000,"High",R8&gt;12000,"Top")</f>
        <v>Top</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_xlfn.IFS(A9&lt;=25,"Under 25",A9&lt;=35,"26–35",A9&lt;=45,"36–45",A9&gt;45,"46+")</f>
        <v>26–35</v>
      </c>
      <c r="AK9" t="str" cm="1">
        <f t="array" ref="AK9">_xlfn.IFS(R9&lt;=3000,"Low",R9&lt;=7000,"Mid",R9&lt;=12000,"High",R9&gt;12000,"Top")</f>
        <v>Top</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_xlfn.IFS(A10&lt;=25,"Under 25",A10&lt;=35,"26–35",A10&lt;=45,"36–45",A10&gt;45,"46+")</f>
        <v>36–45</v>
      </c>
      <c r="AK10" t="str" cm="1">
        <f t="array" ref="AK10">_xlfn.IFS(R10&lt;=3000,"Low",R10&lt;=7000,"Mid",R10&lt;=12000,"High",R10&gt;12000,"Top")</f>
        <v>Top</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_xlfn.IFS(A11&lt;=25,"Under 25",A11&lt;=35,"26–35",A11&lt;=45,"36–45",A11&gt;45,"46+")</f>
        <v>36–45</v>
      </c>
      <c r="AK11" t="str" cm="1">
        <f t="array" ref="AK11">_xlfn.IFS(R11&lt;=3000,"Low",R11&lt;=7000,"Mid",R11&lt;=12000,"High",R11&gt;12000,"Top")</f>
        <v>Top</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_xlfn.IFS(A12&lt;=25,"Under 25",A12&lt;=35,"26–35",A12&lt;=45,"36–45",A12&gt;45,"46+")</f>
        <v>26–35</v>
      </c>
      <c r="AK12" t="str" cm="1">
        <f t="array" ref="AK12">_xlfn.IFS(R12&lt;=3000,"Low",R12&lt;=7000,"Mid",R12&lt;=12000,"High",R12&gt;12000,"Top")</f>
        <v>Top</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_xlfn.IFS(A13&lt;=25,"Under 25",A13&lt;=35,"26–35",A13&lt;=45,"36–45",A13&gt;45,"46+")</f>
        <v>26–35</v>
      </c>
      <c r="AK13" t="str" cm="1">
        <f t="array" ref="AK13">_xlfn.IFS(R13&lt;=3000,"Low",R13&lt;=7000,"Mid",R13&lt;=12000,"High",R13&gt;12000,"Top")</f>
        <v>Top</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_xlfn.IFS(A14&lt;=25,"Under 25",A14&lt;=35,"26–35",A14&lt;=45,"36–45",A14&gt;45,"46+")</f>
        <v>26–35</v>
      </c>
      <c r="AK14" t="str" cm="1">
        <f t="array" ref="AK14">_xlfn.IFS(R14&lt;=3000,"Low",R14&lt;=7000,"Mid",R14&lt;=12000,"High",R14&gt;12000,"Top")</f>
        <v>Top</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_xlfn.IFS(A15&lt;=25,"Under 25",A15&lt;=35,"26–35",A15&lt;=45,"36–45",A15&gt;45,"46+")</f>
        <v>26–35</v>
      </c>
      <c r="AK15" t="str" cm="1">
        <f t="array" ref="AK15">_xlfn.IFS(R15&lt;=3000,"Low",R15&lt;=7000,"Mid",R15&lt;=12000,"High",R15&gt;12000,"Top")</f>
        <v>Top</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_xlfn.IFS(A16&lt;=25,"Under 25",A16&lt;=35,"26–35",A16&lt;=45,"36–45",A16&gt;45,"46+")</f>
        <v>26–35</v>
      </c>
      <c r="AK16" t="str" cm="1">
        <f t="array" ref="AK16">_xlfn.IFS(R16&lt;=3000,"Low",R16&lt;=7000,"Mid",R16&lt;=12000,"High",R16&gt;12000,"Top")</f>
        <v>Top</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_xlfn.IFS(A17&lt;=25,"Under 25",A17&lt;=35,"26–35",A17&lt;=45,"36–45",A17&gt;45,"46+")</f>
        <v>26–35</v>
      </c>
      <c r="AK17" t="str" cm="1">
        <f t="array" ref="AK17">_xlfn.IFS(R17&lt;=3000,"Low",R17&lt;=7000,"Mid",R17&lt;=12000,"High",R17&gt;12000,"Top")</f>
        <v>Top</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_xlfn.IFS(A18&lt;=25,"Under 25",A18&lt;=35,"26–35",A18&lt;=45,"36–45",A18&gt;45,"46+")</f>
        <v>26–35</v>
      </c>
      <c r="AK18" t="str" cm="1">
        <f t="array" ref="AK18">_xlfn.IFS(R18&lt;=3000,"Low",R18&lt;=7000,"Mid",R18&lt;=12000,"High",R18&gt;12000,"Top")</f>
        <v>Top</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_xlfn.IFS(A19&lt;=25,"Under 25",A19&lt;=35,"26–35",A19&lt;=45,"36–45",A19&gt;45,"46+")</f>
        <v>Under 25</v>
      </c>
      <c r="AK19" t="str" cm="1">
        <f t="array" ref="AK19">_xlfn.IFS(R19&lt;=3000,"Low",R19&lt;=7000,"Mid",R19&lt;=12000,"High",R19&gt;12000,"Top")</f>
        <v>Top</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_xlfn.IFS(A20&lt;=25,"Under 25",A20&lt;=35,"26–35",A20&lt;=45,"36–45",A20&gt;45,"46+")</f>
        <v>46+</v>
      </c>
      <c r="AK20" t="str" cm="1">
        <f t="array" ref="AK20">_xlfn.IFS(R20&lt;=3000,"Low",R20&lt;=7000,"Mid",R20&lt;=12000,"High",R20&gt;12000,"Top")</f>
        <v>Top</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_xlfn.IFS(A21&lt;=25,"Under 25",A21&lt;=35,"26–35",A21&lt;=45,"36–45",A21&gt;45,"46+")</f>
        <v>36–45</v>
      </c>
      <c r="AK21" t="str" cm="1">
        <f t="array" ref="AK21">_xlfn.IFS(R21&lt;=3000,"Low",R21&lt;=7000,"Mid",R21&lt;=12000,"High",R21&gt;12000,"Top")</f>
        <v>Top</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_xlfn.IFS(A22&lt;=25,"Under 25",A22&lt;=35,"26–35",A22&lt;=45,"36–45",A22&gt;45,"46+")</f>
        <v>Under 25</v>
      </c>
      <c r="AK22" t="str" cm="1">
        <f t="array" ref="AK22">_xlfn.IFS(R22&lt;=3000,"Low",R22&lt;=7000,"Mid",R22&lt;=12000,"High",R22&gt;12000,"Top")</f>
        <v>Top</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_xlfn.IFS(A23&lt;=25,"Under 25",A23&lt;=35,"26–35",A23&lt;=45,"36–45",A23&gt;45,"46+")</f>
        <v>36–45</v>
      </c>
      <c r="AK23" t="str" cm="1">
        <f t="array" ref="AK23">_xlfn.IFS(R23&lt;=3000,"Low",R23&lt;=7000,"Mid",R23&lt;=12000,"High",R23&gt;12000,"Top")</f>
        <v>Top</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_xlfn.IFS(A24&lt;=25,"Under 25",A24&lt;=35,"26–35",A24&lt;=45,"36–45",A24&gt;45,"46+")</f>
        <v>26–35</v>
      </c>
      <c r="AK24" t="str" cm="1">
        <f t="array" ref="AK24">_xlfn.IFS(R24&lt;=3000,"Low",R24&lt;=7000,"Mid",R24&lt;=12000,"High",R24&gt;12000,"Top")</f>
        <v>Top</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_xlfn.IFS(A25&lt;=25,"Under 25",A25&lt;=35,"26–35",A25&lt;=45,"36–45",A25&gt;45,"46+")</f>
        <v>Under 25</v>
      </c>
      <c r="AK25" t="str" cm="1">
        <f t="array" ref="AK25">_xlfn.IFS(R25&lt;=3000,"Low",R25&lt;=7000,"Mid",R25&lt;=12000,"High",R25&gt;12000,"Top")</f>
        <v>Top</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_xlfn.IFS(A26&lt;=25,"Under 25",A26&lt;=35,"26–35",A26&lt;=45,"36–45",A26&gt;45,"46+")</f>
        <v>26–35</v>
      </c>
      <c r="AK26" t="str" cm="1">
        <f t="array" ref="AK26">_xlfn.IFS(R26&lt;=3000,"Low",R26&lt;=7000,"Mid",R26&lt;=12000,"High",R26&gt;12000,"Top")</f>
        <v>Top</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_xlfn.IFS(A27&lt;=25,"Under 25",A27&lt;=35,"26–35",A27&lt;=45,"36–45",A27&gt;45,"46+")</f>
        <v>46+</v>
      </c>
      <c r="AK27" t="str" cm="1">
        <f t="array" ref="AK27">_xlfn.IFS(R27&lt;=3000,"Low",R27&lt;=7000,"Mid",R27&lt;=12000,"High",R27&gt;12000,"Top")</f>
        <v>Top</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_xlfn.IFS(A28&lt;=25,"Under 25",A28&lt;=35,"26–35",A28&lt;=45,"36–45",A28&gt;45,"46+")</f>
        <v>26–35</v>
      </c>
      <c r="AK28" t="str" cm="1">
        <f t="array" ref="AK28">_xlfn.IFS(R28&lt;=3000,"Low",R28&lt;=7000,"Mid",R28&lt;=12000,"High",R28&gt;12000,"Top")</f>
        <v>Top</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_xlfn.IFS(A29&lt;=25,"Under 25",A29&lt;=35,"26–35",A29&lt;=45,"36–45",A29&gt;45,"46+")</f>
        <v>36–45</v>
      </c>
      <c r="AK29" t="str" cm="1">
        <f t="array" ref="AK29">_xlfn.IFS(R29&lt;=3000,"Low",R29&lt;=7000,"Mid",R29&lt;=12000,"High",R29&gt;12000,"Top")</f>
        <v>Top</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_xlfn.IFS(A30&lt;=25,"Under 25",A30&lt;=35,"26–35",A30&lt;=45,"36–45",A30&gt;45,"46+")</f>
        <v>36–45</v>
      </c>
      <c r="AK30" t="str" cm="1">
        <f t="array" ref="AK30">_xlfn.IFS(R30&lt;=3000,"Low",R30&lt;=7000,"Mid",R30&lt;=12000,"High",R30&gt;12000,"Top")</f>
        <v>Top</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_xlfn.IFS(A31&lt;=25,"Under 25",A31&lt;=35,"26–35",A31&lt;=45,"36–45",A31&gt;45,"46+")</f>
        <v>46+</v>
      </c>
      <c r="AK31" t="str" cm="1">
        <f t="array" ref="AK31">_xlfn.IFS(R31&lt;=3000,"Low",R31&lt;=7000,"Mid",R31&lt;=12000,"High",R31&gt;12000,"Top")</f>
        <v>Top</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_xlfn.IFS(A32&lt;=25,"Under 25",A32&lt;=35,"26–35",A32&lt;=45,"36–45",A32&gt;45,"46+")</f>
        <v>26–35</v>
      </c>
      <c r="AK32" t="str" cm="1">
        <f t="array" ref="AK32">_xlfn.IFS(R32&lt;=3000,"Low",R32&lt;=7000,"Mid",R32&lt;=12000,"High",R32&gt;12000,"Top")</f>
        <v>Top</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_xlfn.IFS(A33&lt;=25,"Under 25",A33&lt;=35,"26–35",A33&lt;=45,"36–45",A33&gt;45,"46+")</f>
        <v>36–45</v>
      </c>
      <c r="AK33" t="str" cm="1">
        <f t="array" ref="AK33">_xlfn.IFS(R33&lt;=3000,"Low",R33&lt;=7000,"Mid",R33&lt;=12000,"High",R33&gt;12000,"Top")</f>
        <v>Top</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_xlfn.IFS(A34&lt;=25,"Under 25",A34&lt;=35,"26–35",A34&lt;=45,"36–45",A34&gt;45,"46+")</f>
        <v>26–35</v>
      </c>
      <c r="AK34" t="str" cm="1">
        <f t="array" ref="AK34">_xlfn.IFS(R34&lt;=3000,"Low",R34&lt;=7000,"Mid",R34&lt;=12000,"High",R34&gt;12000,"Top")</f>
        <v>Top</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_xlfn.IFS(A35&lt;=25,"Under 25",A35&lt;=35,"26–35",A35&lt;=45,"36–45",A35&gt;45,"46+")</f>
        <v>36–45</v>
      </c>
      <c r="AK35" t="str" cm="1">
        <f t="array" ref="AK35">_xlfn.IFS(R35&lt;=3000,"Low",R35&lt;=7000,"Mid",R35&lt;=12000,"High",R35&gt;12000,"Top")</f>
        <v>Top</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_xlfn.IFS(A36&lt;=25,"Under 25",A36&lt;=35,"26–35",A36&lt;=45,"36–45",A36&gt;45,"46+")</f>
        <v>Under 25</v>
      </c>
      <c r="AK36" t="str" cm="1">
        <f t="array" ref="AK36">_xlfn.IFS(R36&lt;=3000,"Low",R36&lt;=7000,"Mid",R36&lt;=12000,"High",R36&gt;12000,"Top")</f>
        <v>Top</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_xlfn.IFS(A37&lt;=25,"Under 25",A37&lt;=35,"26–35",A37&lt;=45,"36–45",A37&gt;45,"46+")</f>
        <v>36–45</v>
      </c>
      <c r="AK37" t="str" cm="1">
        <f t="array" ref="AK37">_xlfn.IFS(R37&lt;=3000,"Low",R37&lt;=7000,"Mid",R37&lt;=12000,"High",R37&gt;12000,"Top")</f>
        <v>Top</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_xlfn.IFS(A38&lt;=25,"Under 25",A38&lt;=35,"26–35",A38&lt;=45,"36–45",A38&gt;45,"46+")</f>
        <v>46+</v>
      </c>
      <c r="AK38" t="str" cm="1">
        <f t="array" ref="AK38">_xlfn.IFS(R38&lt;=3000,"Low",R38&lt;=7000,"Mid",R38&lt;=12000,"High",R38&gt;12000,"Top")</f>
        <v>Top</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_xlfn.IFS(A39&lt;=25,"Under 25",A39&lt;=35,"26–35",A39&lt;=45,"36–45",A39&gt;45,"46+")</f>
        <v>26–35</v>
      </c>
      <c r="AK39" t="str" cm="1">
        <f t="array" ref="AK39">_xlfn.IFS(R39&lt;=3000,"Low",R39&lt;=7000,"Mid",R39&lt;=12000,"High",R39&gt;12000,"Top")</f>
        <v>Top</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_xlfn.IFS(A40&lt;=25,"Under 25",A40&lt;=35,"26–35",A40&lt;=45,"36–45",A40&gt;45,"46+")</f>
        <v>36–45</v>
      </c>
      <c r="AK40" t="str" cm="1">
        <f t="array" ref="AK40">_xlfn.IFS(R40&lt;=3000,"Low",R40&lt;=7000,"Mid",R40&lt;=12000,"High",R40&gt;12000,"Top")</f>
        <v>Top</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_xlfn.IFS(A41&lt;=25,"Under 25",A41&lt;=35,"26–35",A41&lt;=45,"36–45",A41&gt;45,"46+")</f>
        <v>26–35</v>
      </c>
      <c r="AK41" t="str" cm="1">
        <f t="array" ref="AK41">_xlfn.IFS(R41&lt;=3000,"Low",R41&lt;=7000,"Mid",R41&lt;=12000,"High",R41&gt;12000,"Top")</f>
        <v>Top</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_xlfn.IFS(A42&lt;=25,"Under 25",A42&lt;=35,"26–35",A42&lt;=45,"36–45",A42&gt;45,"46+")</f>
        <v>26–35</v>
      </c>
      <c r="AK42" t="str" cm="1">
        <f t="array" ref="AK42">_xlfn.IFS(R42&lt;=3000,"Low",R42&lt;=7000,"Mid",R42&lt;=12000,"High",R42&gt;12000,"Top")</f>
        <v>Top</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_xlfn.IFS(A43&lt;=25,"Under 25",A43&lt;=35,"26–35",A43&lt;=45,"36–45",A43&gt;45,"46+")</f>
        <v>26–35</v>
      </c>
      <c r="AK43" t="str" cm="1">
        <f t="array" ref="AK43">_xlfn.IFS(R43&lt;=3000,"Low",R43&lt;=7000,"Mid",R43&lt;=12000,"High",R43&gt;12000,"Top")</f>
        <v>Top</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_xlfn.IFS(A44&lt;=25,"Under 25",A44&lt;=35,"26–35",A44&lt;=45,"36–45",A44&gt;45,"46+")</f>
        <v>26–35</v>
      </c>
      <c r="AK44" t="str" cm="1">
        <f t="array" ref="AK44">_xlfn.IFS(R44&lt;=3000,"Low",R44&lt;=7000,"Mid",R44&lt;=12000,"High",R44&gt;12000,"Top")</f>
        <v>Top</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_xlfn.IFS(A45&lt;=25,"Under 25",A45&lt;=35,"26–35",A45&lt;=45,"36–45",A45&gt;45,"46+")</f>
        <v>26–35</v>
      </c>
      <c r="AK45" t="str" cm="1">
        <f t="array" ref="AK45">_xlfn.IFS(R45&lt;=3000,"Low",R45&lt;=7000,"Mid",R45&lt;=12000,"High",R45&gt;12000,"Top")</f>
        <v>Top</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_xlfn.IFS(A46&lt;=25,"Under 25",A46&lt;=35,"26–35",A46&lt;=45,"36–45",A46&gt;45,"46+")</f>
        <v>26–35</v>
      </c>
      <c r="AK46" t="str" cm="1">
        <f t="array" ref="AK46">_xlfn.IFS(R46&lt;=3000,"Low",R46&lt;=7000,"Mid",R46&lt;=12000,"High",R46&gt;12000,"Top")</f>
        <v>Top</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_xlfn.IFS(A47&lt;=25,"Under 25",A47&lt;=35,"26–35",A47&lt;=45,"36–45",A47&gt;45,"46+")</f>
        <v>36–45</v>
      </c>
      <c r="AK47" t="str" cm="1">
        <f t="array" ref="AK47">_xlfn.IFS(R47&lt;=3000,"Low",R47&lt;=7000,"Mid",R47&lt;=12000,"High",R47&gt;12000,"Top")</f>
        <v>Top</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_xlfn.IFS(A48&lt;=25,"Under 25",A48&lt;=35,"26–35",A48&lt;=45,"36–45",A48&gt;45,"46+")</f>
        <v>26–35</v>
      </c>
      <c r="AK48" t="str" cm="1">
        <f t="array" ref="AK48">_xlfn.IFS(R48&lt;=3000,"Low",R48&lt;=7000,"Mid",R48&lt;=12000,"High",R48&gt;12000,"Top")</f>
        <v>Top</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_xlfn.IFS(A49&lt;=25,"Under 25",A49&lt;=35,"26–35",A49&lt;=45,"36–45",A49&gt;45,"46+")</f>
        <v>36–45</v>
      </c>
      <c r="AK49" t="str" cm="1">
        <f t="array" ref="AK49">_xlfn.IFS(R49&lt;=3000,"Low",R49&lt;=7000,"Mid",R49&lt;=12000,"High",R49&gt;12000,"Top")</f>
        <v>Top</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_xlfn.IFS(A50&lt;=25,"Under 25",A50&lt;=35,"26–35",A50&lt;=45,"36–45",A50&gt;45,"46+")</f>
        <v>46+</v>
      </c>
      <c r="AK50" t="str" cm="1">
        <f t="array" ref="AK50">_xlfn.IFS(R50&lt;=3000,"Low",R50&lt;=7000,"Mid",R50&lt;=12000,"High",R50&gt;12000,"Top")</f>
        <v>Top</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_xlfn.IFS(A51&lt;=25,"Under 25",A51&lt;=35,"26–35",A51&lt;=45,"36–45",A51&gt;45,"46+")</f>
        <v>26–35</v>
      </c>
      <c r="AK51" t="str" cm="1">
        <f t="array" ref="AK51">_xlfn.IFS(R51&lt;=3000,"Low",R51&lt;=7000,"Mid",R51&lt;=12000,"High",R51&gt;12000,"Top")</f>
        <v>Top</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_xlfn.IFS(A52&lt;=25,"Under 25",A52&lt;=35,"26–35",A52&lt;=45,"36–45",A52&gt;45,"46+")</f>
        <v>46+</v>
      </c>
      <c r="AK52" t="str" cm="1">
        <f t="array" ref="AK52">_xlfn.IFS(R52&lt;=3000,"Low",R52&lt;=7000,"Mid",R52&lt;=12000,"High",R52&gt;12000,"Top")</f>
        <v>Top</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_xlfn.IFS(A53&lt;=25,"Under 25",A53&lt;=35,"26–35",A53&lt;=45,"36–45",A53&gt;45,"46+")</f>
        <v>26–35</v>
      </c>
      <c r="AK53" t="str" cm="1">
        <f t="array" ref="AK53">_xlfn.IFS(R53&lt;=3000,"Low",R53&lt;=7000,"Mid",R53&lt;=12000,"High",R53&gt;12000,"Top")</f>
        <v>Top</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_xlfn.IFS(A54&lt;=25,"Under 25",A54&lt;=35,"26–35",A54&lt;=45,"36–45",A54&gt;45,"46+")</f>
        <v>36–45</v>
      </c>
      <c r="AK54" t="str" cm="1">
        <f t="array" ref="AK54">_xlfn.IFS(R54&lt;=3000,"Low",R54&lt;=7000,"Mid",R54&lt;=12000,"High",R54&gt;12000,"Top")</f>
        <v>Top</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_xlfn.IFS(A55&lt;=25,"Under 25",A55&lt;=35,"26–35",A55&lt;=45,"36–45",A55&gt;45,"46+")</f>
        <v>26–35</v>
      </c>
      <c r="AK55" t="str" cm="1">
        <f t="array" ref="AK55">_xlfn.IFS(R55&lt;=3000,"Low",R55&lt;=7000,"Mid",R55&lt;=12000,"High",R55&gt;12000,"Top")</f>
        <v>Top</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_xlfn.IFS(A56&lt;=25,"Under 25",A56&lt;=35,"26–35",A56&lt;=45,"36–45",A56&gt;45,"46+")</f>
        <v>26–35</v>
      </c>
      <c r="AK56" t="str" cm="1">
        <f t="array" ref="AK56">_xlfn.IFS(R56&lt;=3000,"Low",R56&lt;=7000,"Mid",R56&lt;=12000,"High",R56&gt;12000,"Top")</f>
        <v>Top</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_xlfn.IFS(A57&lt;=25,"Under 25",A57&lt;=35,"26–35",A57&lt;=45,"36–45",A57&gt;45,"46+")</f>
        <v>26–35</v>
      </c>
      <c r="AK57" t="str" cm="1">
        <f t="array" ref="AK57">_xlfn.IFS(R57&lt;=3000,"Low",R57&lt;=7000,"Mid",R57&lt;=12000,"High",R57&gt;12000,"Top")</f>
        <v>Top</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_xlfn.IFS(A58&lt;=25,"Under 25",A58&lt;=35,"26–35",A58&lt;=45,"36–45",A58&gt;45,"46+")</f>
        <v>26–35</v>
      </c>
      <c r="AK58" t="str" cm="1">
        <f t="array" ref="AK58">_xlfn.IFS(R58&lt;=3000,"Low",R58&lt;=7000,"Mid",R58&lt;=12000,"High",R58&gt;12000,"Top")</f>
        <v>Top</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_xlfn.IFS(A59&lt;=25,"Under 25",A59&lt;=35,"26–35",A59&lt;=45,"36–45",A59&gt;45,"46+")</f>
        <v>26–35</v>
      </c>
      <c r="AK59" t="str" cm="1">
        <f t="array" ref="AK59">_xlfn.IFS(R59&lt;=3000,"Low",R59&lt;=7000,"Mid",R59&lt;=12000,"High",R59&gt;12000,"Top")</f>
        <v>Top</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_xlfn.IFS(A60&lt;=25,"Under 25",A60&lt;=35,"26–35",A60&lt;=45,"36–45",A60&gt;45,"46+")</f>
        <v>26–35</v>
      </c>
      <c r="AK60" t="str" cm="1">
        <f t="array" ref="AK60">_xlfn.IFS(R60&lt;=3000,"Low",R60&lt;=7000,"Mid",R60&lt;=12000,"High",R60&gt;12000,"Top")</f>
        <v>Top</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_xlfn.IFS(A61&lt;=25,"Under 25",A61&lt;=35,"26–35",A61&lt;=45,"36–45",A61&gt;45,"46+")</f>
        <v>36–45</v>
      </c>
      <c r="AK61" t="str" cm="1">
        <f t="array" ref="AK61">_xlfn.IFS(R61&lt;=3000,"Low",R61&lt;=7000,"Mid",R61&lt;=12000,"High",R61&gt;12000,"Top")</f>
        <v>Top</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_xlfn.IFS(A62&lt;=25,"Under 25",A62&lt;=35,"26–35",A62&lt;=45,"36–45",A62&gt;45,"46+")</f>
        <v>26–35</v>
      </c>
      <c r="AK62" t="str" cm="1">
        <f t="array" ref="AK62">_xlfn.IFS(R62&lt;=3000,"Low",R62&lt;=7000,"Mid",R62&lt;=12000,"High",R62&gt;12000,"Top")</f>
        <v>Top</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_xlfn.IFS(A63&lt;=25,"Under 25",A63&lt;=35,"26–35",A63&lt;=45,"36–45",A63&gt;45,"46+")</f>
        <v>36–45</v>
      </c>
      <c r="AK63" t="str" cm="1">
        <f t="array" ref="AK63">_xlfn.IFS(R63&lt;=3000,"Low",R63&lt;=7000,"Mid",R63&lt;=12000,"High",R63&gt;12000,"Top")</f>
        <v>Top</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_xlfn.IFS(A64&lt;=25,"Under 25",A64&lt;=35,"26–35",A64&lt;=45,"36–45",A64&gt;45,"46+")</f>
        <v>46+</v>
      </c>
      <c r="AK64" t="str" cm="1">
        <f t="array" ref="AK64">_xlfn.IFS(R64&lt;=3000,"Low",R64&lt;=7000,"Mid",R64&lt;=12000,"High",R64&gt;12000,"Top")</f>
        <v>Top</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_xlfn.IFS(A65&lt;=25,"Under 25",A65&lt;=35,"26–35",A65&lt;=45,"36–45",A65&gt;45,"46+")</f>
        <v>46+</v>
      </c>
      <c r="AK65" t="str" cm="1">
        <f t="array" ref="AK65">_xlfn.IFS(R65&lt;=3000,"Low",R65&lt;=7000,"Mid",R65&lt;=12000,"High",R65&gt;12000,"Top")</f>
        <v>Top</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_xlfn.IFS(A66&lt;=25,"Under 25",A66&lt;=35,"26–35",A66&lt;=45,"36–45",A66&gt;45,"46+")</f>
        <v>36–45</v>
      </c>
      <c r="AK66" t="str" cm="1">
        <f t="array" ref="AK66">_xlfn.IFS(R66&lt;=3000,"Low",R66&lt;=7000,"Mid",R66&lt;=12000,"High",R66&gt;12000,"Top")</f>
        <v>Top</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_xlfn.IFS(A67&lt;=25,"Under 25",A67&lt;=35,"26–35",A67&lt;=45,"36–45",A67&gt;45,"46+")</f>
        <v>46+</v>
      </c>
      <c r="AK67" t="str" cm="1">
        <f t="array" ref="AK67">_xlfn.IFS(R67&lt;=3000,"Low",R67&lt;=7000,"Mid",R67&lt;=12000,"High",R67&gt;12000,"Top")</f>
        <v>Top</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_xlfn.IFS(A68&lt;=25,"Under 25",A68&lt;=35,"26–35",A68&lt;=45,"36–45",A68&gt;45,"46+")</f>
        <v>36–45</v>
      </c>
      <c r="AK68" t="str" cm="1">
        <f t="array" ref="AK68">_xlfn.IFS(R68&lt;=3000,"Low",R68&lt;=7000,"Mid",R68&lt;=12000,"High",R68&gt;12000,"Top")</f>
        <v>Top</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_xlfn.IFS(A69&lt;=25,"Under 25",A69&lt;=35,"26–35",A69&lt;=45,"36–45",A69&gt;45,"46+")</f>
        <v>36–45</v>
      </c>
      <c r="AK69" t="str" cm="1">
        <f t="array" ref="AK69">_xlfn.IFS(R69&lt;=3000,"Low",R69&lt;=7000,"Mid",R69&lt;=12000,"High",R69&gt;12000,"Top")</f>
        <v>Top</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_xlfn.IFS(A70&lt;=25,"Under 25",A70&lt;=35,"26–35",A70&lt;=45,"36–45",A70&gt;45,"46+")</f>
        <v>26–35</v>
      </c>
      <c r="AK70" t="str" cm="1">
        <f t="array" ref="AK70">_xlfn.IFS(R70&lt;=3000,"Low",R70&lt;=7000,"Mid",R70&lt;=12000,"High",R70&gt;12000,"Top")</f>
        <v>Top</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_xlfn.IFS(A71&lt;=25,"Under 25",A71&lt;=35,"26–35",A71&lt;=45,"36–45",A71&gt;45,"46+")</f>
        <v>36–45</v>
      </c>
      <c r="AK71" t="str" cm="1">
        <f t="array" ref="AK71">_xlfn.IFS(R71&lt;=3000,"Low",R71&lt;=7000,"Mid",R71&lt;=12000,"High",R71&gt;12000,"Top")</f>
        <v>Top</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_xlfn.IFS(A72&lt;=25,"Under 25",A72&lt;=35,"26–35",A72&lt;=45,"36–45",A72&gt;45,"46+")</f>
        <v>46+</v>
      </c>
      <c r="AK72" t="str" cm="1">
        <f t="array" ref="AK72">_xlfn.IFS(R72&lt;=3000,"Low",R72&lt;=7000,"Mid",R72&lt;=12000,"High",R72&gt;12000,"Top")</f>
        <v>Top</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_xlfn.IFS(A73&lt;=25,"Under 25",A73&lt;=35,"26–35",A73&lt;=45,"36–45",A73&gt;45,"46+")</f>
        <v>26–35</v>
      </c>
      <c r="AK73" t="str" cm="1">
        <f t="array" ref="AK73">_xlfn.IFS(R73&lt;=3000,"Low",R73&lt;=7000,"Mid",R73&lt;=12000,"High",R73&gt;12000,"Top")</f>
        <v>Top</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_xlfn.IFS(A74&lt;=25,"Under 25",A74&lt;=35,"26–35",A74&lt;=45,"36–45",A74&gt;45,"46+")</f>
        <v>26–35</v>
      </c>
      <c r="AK74" t="str" cm="1">
        <f t="array" ref="AK74">_xlfn.IFS(R74&lt;=3000,"Low",R74&lt;=7000,"Mid",R74&lt;=12000,"High",R74&gt;12000,"Top")</f>
        <v>Top</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_xlfn.IFS(A75&lt;=25,"Under 25",A75&lt;=35,"26–35",A75&lt;=45,"36–45",A75&gt;45,"46+")</f>
        <v>26–35</v>
      </c>
      <c r="AK75" t="str" cm="1">
        <f t="array" ref="AK75">_xlfn.IFS(R75&lt;=3000,"Low",R75&lt;=7000,"Mid",R75&lt;=12000,"High",R75&gt;12000,"Top")</f>
        <v>Top</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_xlfn.IFS(A76&lt;=25,"Under 25",A76&lt;=35,"26–35",A76&lt;=45,"36–45",A76&gt;45,"46+")</f>
        <v>36–45</v>
      </c>
      <c r="AK76" t="str" cm="1">
        <f t="array" ref="AK76">_xlfn.IFS(R76&lt;=3000,"Low",R76&lt;=7000,"Mid",R76&lt;=12000,"High",R76&gt;12000,"Top")</f>
        <v>Top</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_xlfn.IFS(A77&lt;=25,"Under 25",A77&lt;=35,"26–35",A77&lt;=45,"36–45",A77&gt;45,"46+")</f>
        <v>26–35</v>
      </c>
      <c r="AK77" t="str" cm="1">
        <f t="array" ref="AK77">_xlfn.IFS(R77&lt;=3000,"Low",R77&lt;=7000,"Mid",R77&lt;=12000,"High",R77&gt;12000,"Top")</f>
        <v>Top</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_xlfn.IFS(A78&lt;=25,"Under 25",A78&lt;=35,"26–35",A78&lt;=45,"36–45",A78&gt;45,"46+")</f>
        <v>26–35</v>
      </c>
      <c r="AK78" t="str" cm="1">
        <f t="array" ref="AK78">_xlfn.IFS(R78&lt;=3000,"Low",R78&lt;=7000,"Mid",R78&lt;=12000,"High",R78&gt;12000,"Top")</f>
        <v>Top</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_xlfn.IFS(A79&lt;=25,"Under 25",A79&lt;=35,"26–35",A79&lt;=45,"36–45",A79&gt;45,"46+")</f>
        <v>36–45</v>
      </c>
      <c r="AK79" t="str" cm="1">
        <f t="array" ref="AK79">_xlfn.IFS(R79&lt;=3000,"Low",R79&lt;=7000,"Mid",R79&lt;=12000,"High",R79&gt;12000,"Top")</f>
        <v>Top</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_xlfn.IFS(A80&lt;=25,"Under 25",A80&lt;=35,"26–35",A80&lt;=45,"36–45",A80&gt;45,"46+")</f>
        <v>36–45</v>
      </c>
      <c r="AK80" t="str" cm="1">
        <f t="array" ref="AK80">_xlfn.IFS(R80&lt;=3000,"Low",R80&lt;=7000,"Mid",R80&lt;=12000,"High",R80&gt;12000,"Top")</f>
        <v>Top</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_xlfn.IFS(A81&lt;=25,"Under 25",A81&lt;=35,"26–35",A81&lt;=45,"36–45",A81&gt;45,"46+")</f>
        <v>46+</v>
      </c>
      <c r="AK81" t="str" cm="1">
        <f t="array" ref="AK81">_xlfn.IFS(R81&lt;=3000,"Low",R81&lt;=7000,"Mid",R81&lt;=12000,"High",R81&gt;12000,"Top")</f>
        <v>Top</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_xlfn.IFS(A82&lt;=25,"Under 25",A82&lt;=35,"26–35",A82&lt;=45,"36–45",A82&gt;45,"46+")</f>
        <v>26–35</v>
      </c>
      <c r="AK82" t="str" cm="1">
        <f t="array" ref="AK82">_xlfn.IFS(R82&lt;=3000,"Low",R82&lt;=7000,"Mid",R82&lt;=12000,"High",R82&gt;12000,"Top")</f>
        <v>Top</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_xlfn.IFS(A83&lt;=25,"Under 25",A83&lt;=35,"26–35",A83&lt;=45,"36–45",A83&gt;45,"46+")</f>
        <v>26–35</v>
      </c>
      <c r="AK83" t="str" cm="1">
        <f t="array" ref="AK83">_xlfn.IFS(R83&lt;=3000,"Low",R83&lt;=7000,"Mid",R83&lt;=12000,"High",R83&gt;12000,"Top")</f>
        <v>Top</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_xlfn.IFS(A84&lt;=25,"Under 25",A84&lt;=35,"26–35",A84&lt;=45,"36–45",A84&gt;45,"46+")</f>
        <v>46+</v>
      </c>
      <c r="AK84" t="str" cm="1">
        <f t="array" ref="AK84">_xlfn.IFS(R84&lt;=3000,"Low",R84&lt;=7000,"Mid",R84&lt;=12000,"High",R84&gt;12000,"Top")</f>
        <v>Top</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_xlfn.IFS(A85&lt;=25,"Under 25",A85&lt;=35,"26–35",A85&lt;=45,"36–45",A85&gt;45,"46+")</f>
        <v>36–45</v>
      </c>
      <c r="AK85" t="str" cm="1">
        <f t="array" ref="AK85">_xlfn.IFS(R85&lt;=3000,"Low",R85&lt;=7000,"Mid",R85&lt;=12000,"High",R85&gt;12000,"Top")</f>
        <v>Top</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_xlfn.IFS(A86&lt;=25,"Under 25",A86&lt;=35,"26–35",A86&lt;=45,"36–45",A86&gt;45,"46+")</f>
        <v>26–35</v>
      </c>
      <c r="AK86" t="str" cm="1">
        <f t="array" ref="AK86">_xlfn.IFS(R86&lt;=3000,"Low",R86&lt;=7000,"Mid",R86&lt;=12000,"High",R86&gt;12000,"Top")</f>
        <v>Top</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_xlfn.IFS(A87&lt;=25,"Under 25",A87&lt;=35,"26–35",A87&lt;=45,"36–45",A87&gt;45,"46+")</f>
        <v>46+</v>
      </c>
      <c r="AK87" t="str" cm="1">
        <f t="array" ref="AK87">_xlfn.IFS(R87&lt;=3000,"Low",R87&lt;=7000,"Mid",R87&lt;=12000,"High",R87&gt;12000,"Top")</f>
        <v>Top</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_xlfn.IFS(A88&lt;=25,"Under 25",A88&lt;=35,"26–35",A88&lt;=45,"36–45",A88&gt;45,"46+")</f>
        <v>Under 25</v>
      </c>
      <c r="AK88" t="str" cm="1">
        <f t="array" ref="AK88">_xlfn.IFS(R88&lt;=3000,"Low",R88&lt;=7000,"Mid",R88&lt;=12000,"High",R88&gt;12000,"Top")</f>
        <v>Top</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_xlfn.IFS(A89&lt;=25,"Under 25",A89&lt;=35,"26–35",A89&lt;=45,"36–45",A89&gt;45,"46+")</f>
        <v>46+</v>
      </c>
      <c r="AK89" t="str" cm="1">
        <f t="array" ref="AK89">_xlfn.IFS(R89&lt;=3000,"Low",R89&lt;=7000,"Mid",R89&lt;=12000,"High",R89&gt;12000,"Top")</f>
        <v>Top</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_xlfn.IFS(A90&lt;=25,"Under 25",A90&lt;=35,"26–35",A90&lt;=45,"36–45",A90&gt;45,"46+")</f>
        <v>26–35</v>
      </c>
      <c r="AK90" t="str" cm="1">
        <f t="array" ref="AK90">_xlfn.IFS(R90&lt;=3000,"Low",R90&lt;=7000,"Mid",R90&lt;=12000,"High",R90&gt;12000,"Top")</f>
        <v>Top</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_xlfn.IFS(A91&lt;=25,"Under 25",A91&lt;=35,"26–35",A91&lt;=45,"36–45",A91&gt;45,"46+")</f>
        <v>46+</v>
      </c>
      <c r="AK91" t="str" cm="1">
        <f t="array" ref="AK91">_xlfn.IFS(R91&lt;=3000,"Low",R91&lt;=7000,"Mid",R91&lt;=12000,"High",R91&gt;12000,"Top")</f>
        <v>Top</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_xlfn.IFS(A92&lt;=25,"Under 25",A92&lt;=35,"26–35",A92&lt;=45,"36–45",A92&gt;45,"46+")</f>
        <v>36–45</v>
      </c>
      <c r="AK92" t="str" cm="1">
        <f t="array" ref="AK92">_xlfn.IFS(R92&lt;=3000,"Low",R92&lt;=7000,"Mid",R92&lt;=12000,"High",R92&gt;12000,"Top")</f>
        <v>Top</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_xlfn.IFS(A93&lt;=25,"Under 25",A93&lt;=35,"26–35",A93&lt;=45,"36–45",A93&gt;45,"46+")</f>
        <v>46+</v>
      </c>
      <c r="AK93" t="str" cm="1">
        <f t="array" ref="AK93">_xlfn.IFS(R93&lt;=3000,"Low",R93&lt;=7000,"Mid",R93&lt;=12000,"High",R93&gt;12000,"Top")</f>
        <v>Top</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_xlfn.IFS(A94&lt;=25,"Under 25",A94&lt;=35,"26–35",A94&lt;=45,"36–45",A94&gt;45,"46+")</f>
        <v>26–35</v>
      </c>
      <c r="AK94" t="str" cm="1">
        <f t="array" ref="AK94">_xlfn.IFS(R94&lt;=3000,"Low",R94&lt;=7000,"Mid",R94&lt;=12000,"High",R94&gt;12000,"Top")</f>
        <v>Top</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_xlfn.IFS(A95&lt;=25,"Under 25",A95&lt;=35,"26–35",A95&lt;=45,"36–45",A95&gt;45,"46+")</f>
        <v>46+</v>
      </c>
      <c r="AK95" t="str" cm="1">
        <f t="array" ref="AK95">_xlfn.IFS(R95&lt;=3000,"Low",R95&lt;=7000,"Mid",R95&lt;=12000,"High",R95&gt;12000,"Top")</f>
        <v>Top</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_xlfn.IFS(A96&lt;=25,"Under 25",A96&lt;=35,"26–35",A96&lt;=45,"36–45",A96&gt;45,"46+")</f>
        <v>26–35</v>
      </c>
      <c r="AK96" t="str" cm="1">
        <f t="array" ref="AK96">_xlfn.IFS(R96&lt;=3000,"Low",R96&lt;=7000,"Mid",R96&lt;=12000,"High",R96&gt;12000,"Top")</f>
        <v>Top</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_xlfn.IFS(A97&lt;=25,"Under 25",A97&lt;=35,"26–35",A97&lt;=45,"36–45",A97&gt;45,"46+")</f>
        <v>46+</v>
      </c>
      <c r="AK97" t="str" cm="1">
        <f t="array" ref="AK97">_xlfn.IFS(R97&lt;=3000,"Low",R97&lt;=7000,"Mid",R97&lt;=12000,"High",R97&gt;12000,"Top")</f>
        <v>Top</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_xlfn.IFS(A98&lt;=25,"Under 25",A98&lt;=35,"26–35",A98&lt;=45,"36–45",A98&gt;45,"46+")</f>
        <v>Under 25</v>
      </c>
      <c r="AK98" t="str" cm="1">
        <f t="array" ref="AK98">_xlfn.IFS(R98&lt;=3000,"Low",R98&lt;=7000,"Mid",R98&lt;=12000,"High",R98&gt;12000,"Top")</f>
        <v>Top</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_xlfn.IFS(A99&lt;=25,"Under 25",A99&lt;=35,"26–35",A99&lt;=45,"36–45",A99&gt;45,"46+")</f>
        <v>26–35</v>
      </c>
      <c r="AK99" t="str" cm="1">
        <f t="array" ref="AK99">_xlfn.IFS(R99&lt;=3000,"Low",R99&lt;=7000,"Mid",R99&lt;=12000,"High",R99&gt;12000,"Top")</f>
        <v>Top</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_xlfn.IFS(A100&lt;=25,"Under 25",A100&lt;=35,"26–35",A100&lt;=45,"36–45",A100&gt;45,"46+")</f>
        <v>46+</v>
      </c>
      <c r="AK100" t="str" cm="1">
        <f t="array" ref="AK100">_xlfn.IFS(R100&lt;=3000,"Low",R100&lt;=7000,"Mid",R100&lt;=12000,"High",R100&gt;12000,"Top")</f>
        <v>Top</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_xlfn.IFS(A101&lt;=25,"Under 25",A101&lt;=35,"26–35",A101&lt;=45,"36–45",A101&gt;45,"46+")</f>
        <v>36–45</v>
      </c>
      <c r="AK101" t="str" cm="1">
        <f t="array" ref="AK101">_xlfn.IFS(R101&lt;=3000,"Low",R101&lt;=7000,"Mid",R101&lt;=12000,"High",R101&gt;12000,"Top")</f>
        <v>Top</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_xlfn.IFS(A102&lt;=25,"Under 25",A102&lt;=35,"26–35",A102&lt;=45,"36–45",A102&gt;45,"46+")</f>
        <v>36–45</v>
      </c>
      <c r="AK102" t="str" cm="1">
        <f t="array" ref="AK102">_xlfn.IFS(R102&lt;=3000,"Low",R102&lt;=7000,"Mid",R102&lt;=12000,"High",R102&gt;12000,"Top")</f>
        <v>Top</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_xlfn.IFS(A103&lt;=25,"Under 25",A103&lt;=35,"26–35",A103&lt;=45,"36–45",A103&gt;45,"46+")</f>
        <v>26–35</v>
      </c>
      <c r="AK103" t="str" cm="1">
        <f t="array" ref="AK103">_xlfn.IFS(R103&lt;=3000,"Low",R103&lt;=7000,"Mid",R103&lt;=12000,"High",R103&gt;12000,"Top")</f>
        <v>Top</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_xlfn.IFS(A104&lt;=25,"Under 25",A104&lt;=35,"26–35",A104&lt;=45,"36–45",A104&gt;45,"46+")</f>
        <v>Under 25</v>
      </c>
      <c r="AK104" t="str" cm="1">
        <f t="array" ref="AK104">_xlfn.IFS(R104&lt;=3000,"Low",R104&lt;=7000,"Mid",R104&lt;=12000,"High",R104&gt;12000,"Top")</f>
        <v>Top</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_xlfn.IFS(A105&lt;=25,"Under 25",A105&lt;=35,"26–35",A105&lt;=45,"36–45",A105&gt;45,"46+")</f>
        <v>26–35</v>
      </c>
      <c r="AK105" t="str" cm="1">
        <f t="array" ref="AK105">_xlfn.IFS(R105&lt;=3000,"Low",R105&lt;=7000,"Mid",R105&lt;=12000,"High",R105&gt;12000,"Top")</f>
        <v>Top</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_xlfn.IFS(A106&lt;=25,"Under 25",A106&lt;=35,"26–35",A106&lt;=45,"36–45",A106&gt;45,"46+")</f>
        <v>36–45</v>
      </c>
      <c r="AK106" t="str" cm="1">
        <f t="array" ref="AK106">_xlfn.IFS(R106&lt;=3000,"Low",R106&lt;=7000,"Mid",R106&lt;=12000,"High",R106&gt;12000,"Top")</f>
        <v>Top</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_xlfn.IFS(A107&lt;=25,"Under 25",A107&lt;=35,"26–35",A107&lt;=45,"36–45",A107&gt;45,"46+")</f>
        <v>46+</v>
      </c>
      <c r="AK107" t="str" cm="1">
        <f t="array" ref="AK107">_xlfn.IFS(R107&lt;=3000,"Low",R107&lt;=7000,"Mid",R107&lt;=12000,"High",R107&gt;12000,"Top")</f>
        <v>Top</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_xlfn.IFS(A108&lt;=25,"Under 25",A108&lt;=35,"26–35",A108&lt;=45,"36–45",A108&gt;45,"46+")</f>
        <v>46+</v>
      </c>
      <c r="AK108" t="str" cm="1">
        <f t="array" ref="AK108">_xlfn.IFS(R108&lt;=3000,"Low",R108&lt;=7000,"Mid",R108&lt;=12000,"High",R108&gt;12000,"Top")</f>
        <v>Top</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_xlfn.IFS(A109&lt;=25,"Under 25",A109&lt;=35,"26–35",A109&lt;=45,"36–45",A109&gt;45,"46+")</f>
        <v>Under 25</v>
      </c>
      <c r="AK109" t="str" cm="1">
        <f t="array" ref="AK109">_xlfn.IFS(R109&lt;=3000,"Low",R109&lt;=7000,"Mid",R109&lt;=12000,"High",R109&gt;12000,"Top")</f>
        <v>Top</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_xlfn.IFS(A110&lt;=25,"Under 25",A110&lt;=35,"26–35",A110&lt;=45,"36–45",A110&gt;45,"46+")</f>
        <v>Under 25</v>
      </c>
      <c r="AK110" t="str" cm="1">
        <f t="array" ref="AK110">_xlfn.IFS(R110&lt;=3000,"Low",R110&lt;=7000,"Mid",R110&lt;=12000,"High",R110&gt;12000,"Top")</f>
        <v>Top</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_xlfn.IFS(A111&lt;=25,"Under 25",A111&lt;=35,"26–35",A111&lt;=45,"36–45",A111&gt;45,"46+")</f>
        <v>Under 25</v>
      </c>
      <c r="AK111" t="str" cm="1">
        <f t="array" ref="AK111">_xlfn.IFS(R111&lt;=3000,"Low",R111&lt;=7000,"Mid",R111&lt;=12000,"High",R111&gt;12000,"Top")</f>
        <v>Top</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_xlfn.IFS(A112&lt;=25,"Under 25",A112&lt;=35,"26–35",A112&lt;=45,"36–45",A112&gt;45,"46+")</f>
        <v>46+</v>
      </c>
      <c r="AK112" t="str" cm="1">
        <f t="array" ref="AK112">_xlfn.IFS(R112&lt;=3000,"Low",R112&lt;=7000,"Mid",R112&lt;=12000,"High",R112&gt;12000,"Top")</f>
        <v>Top</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_xlfn.IFS(A113&lt;=25,"Under 25",A113&lt;=35,"26–35",A113&lt;=45,"36–45",A113&gt;45,"46+")</f>
        <v>26–35</v>
      </c>
      <c r="AK113" t="str" cm="1">
        <f t="array" ref="AK113">_xlfn.IFS(R113&lt;=3000,"Low",R113&lt;=7000,"Mid",R113&lt;=12000,"High",R113&gt;12000,"Top")</f>
        <v>Top</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_xlfn.IFS(A114&lt;=25,"Under 25",A114&lt;=35,"26–35",A114&lt;=45,"36–45",A114&gt;45,"46+")</f>
        <v>46+</v>
      </c>
      <c r="AK114" t="str" cm="1">
        <f t="array" ref="AK114">_xlfn.IFS(R114&lt;=3000,"Low",R114&lt;=7000,"Mid",R114&lt;=12000,"High",R114&gt;12000,"Top")</f>
        <v>Top</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_xlfn.IFS(A115&lt;=25,"Under 25",A115&lt;=35,"26–35",A115&lt;=45,"36–45",A115&gt;45,"46+")</f>
        <v>Under 25</v>
      </c>
      <c r="AK115" t="str" cm="1">
        <f t="array" ref="AK115">_xlfn.IFS(R115&lt;=3000,"Low",R115&lt;=7000,"Mid",R115&lt;=12000,"High",R115&gt;12000,"Top")</f>
        <v>Top</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_xlfn.IFS(A116&lt;=25,"Under 25",A116&lt;=35,"26–35",A116&lt;=45,"36–45",A116&gt;45,"46+")</f>
        <v>26–35</v>
      </c>
      <c r="AK116" t="str" cm="1">
        <f t="array" ref="AK116">_xlfn.IFS(R116&lt;=3000,"Low",R116&lt;=7000,"Mid",R116&lt;=12000,"High",R116&gt;12000,"Top")</f>
        <v>Top</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_xlfn.IFS(A117&lt;=25,"Under 25",A117&lt;=35,"26–35",A117&lt;=45,"36–45",A117&gt;45,"46+")</f>
        <v>36–45</v>
      </c>
      <c r="AK117" t="str" cm="1">
        <f t="array" ref="AK117">_xlfn.IFS(R117&lt;=3000,"Low",R117&lt;=7000,"Mid",R117&lt;=12000,"High",R117&gt;12000,"Top")</f>
        <v>Top</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_xlfn.IFS(A118&lt;=25,"Under 25",A118&lt;=35,"26–35",A118&lt;=45,"36–45",A118&gt;45,"46+")</f>
        <v>26–35</v>
      </c>
      <c r="AK118" t="str" cm="1">
        <f t="array" ref="AK118">_xlfn.IFS(R118&lt;=3000,"Low",R118&lt;=7000,"Mid",R118&lt;=12000,"High",R118&gt;12000,"Top")</f>
        <v>Top</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_xlfn.IFS(A119&lt;=25,"Under 25",A119&lt;=35,"26–35",A119&lt;=45,"36–45",A119&gt;45,"46+")</f>
        <v>36–45</v>
      </c>
      <c r="AK119" t="str" cm="1">
        <f t="array" ref="AK119">_xlfn.IFS(R119&lt;=3000,"Low",R119&lt;=7000,"Mid",R119&lt;=12000,"High",R119&gt;12000,"Top")</f>
        <v>Top</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_xlfn.IFS(A120&lt;=25,"Under 25",A120&lt;=35,"26–35",A120&lt;=45,"36–45",A120&gt;45,"46+")</f>
        <v>36–45</v>
      </c>
      <c r="AK120" t="str" cm="1">
        <f t="array" ref="AK120">_xlfn.IFS(R120&lt;=3000,"Low",R120&lt;=7000,"Mid",R120&lt;=12000,"High",R120&gt;12000,"Top")</f>
        <v>Top</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_xlfn.IFS(A121&lt;=25,"Under 25",A121&lt;=35,"26–35",A121&lt;=45,"36–45",A121&gt;45,"46+")</f>
        <v>36–45</v>
      </c>
      <c r="AK121" t="str" cm="1">
        <f t="array" ref="AK121">_xlfn.IFS(R121&lt;=3000,"Low",R121&lt;=7000,"Mid",R121&lt;=12000,"High",R121&gt;12000,"Top")</f>
        <v>Top</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_xlfn.IFS(A122&lt;=25,"Under 25",A122&lt;=35,"26–35",A122&lt;=45,"36–45",A122&gt;45,"46+")</f>
        <v>26–35</v>
      </c>
      <c r="AK122" t="str" cm="1">
        <f t="array" ref="AK122">_xlfn.IFS(R122&lt;=3000,"Low",R122&lt;=7000,"Mid",R122&lt;=12000,"High",R122&gt;12000,"Top")</f>
        <v>Top</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_xlfn.IFS(A123&lt;=25,"Under 25",A123&lt;=35,"26–35",A123&lt;=45,"36–45",A123&gt;45,"46+")</f>
        <v>26–35</v>
      </c>
      <c r="AK123" t="str" cm="1">
        <f t="array" ref="AK123">_xlfn.IFS(R123&lt;=3000,"Low",R123&lt;=7000,"Mid",R123&lt;=12000,"High",R123&gt;12000,"Top")</f>
        <v>Top</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_xlfn.IFS(A124&lt;=25,"Under 25",A124&lt;=35,"26–35",A124&lt;=45,"36–45",A124&gt;45,"46+")</f>
        <v>46+</v>
      </c>
      <c r="AK124" t="str" cm="1">
        <f t="array" ref="AK124">_xlfn.IFS(R124&lt;=3000,"Low",R124&lt;=7000,"Mid",R124&lt;=12000,"High",R124&gt;12000,"Top")</f>
        <v>Top</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_xlfn.IFS(A125&lt;=25,"Under 25",A125&lt;=35,"26–35",A125&lt;=45,"36–45",A125&gt;45,"46+")</f>
        <v>46+</v>
      </c>
      <c r="AK125" t="str" cm="1">
        <f t="array" ref="AK125">_xlfn.IFS(R125&lt;=3000,"Low",R125&lt;=7000,"Mid",R125&lt;=12000,"High",R125&gt;12000,"Top")</f>
        <v>Top</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_xlfn.IFS(A126&lt;=25,"Under 25",A126&lt;=35,"26–35",A126&lt;=45,"36–45",A126&gt;45,"46+")</f>
        <v>26–35</v>
      </c>
      <c r="AK126" t="str" cm="1">
        <f t="array" ref="AK126">_xlfn.IFS(R126&lt;=3000,"Low",R126&lt;=7000,"Mid",R126&lt;=12000,"High",R126&gt;12000,"Top")</f>
        <v>Top</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_xlfn.IFS(A127&lt;=25,"Under 25",A127&lt;=35,"26–35",A127&lt;=45,"36–45",A127&gt;45,"46+")</f>
        <v>26–35</v>
      </c>
      <c r="AK127" t="str" cm="1">
        <f t="array" ref="AK127">_xlfn.IFS(R127&lt;=3000,"Low",R127&lt;=7000,"Mid",R127&lt;=12000,"High",R127&gt;12000,"Top")</f>
        <v>Top</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_xlfn.IFS(A128&lt;=25,"Under 25",A128&lt;=35,"26–35",A128&lt;=45,"36–45",A128&gt;45,"46+")</f>
        <v>46+</v>
      </c>
      <c r="AK128" t="str" cm="1">
        <f t="array" ref="AK128">_xlfn.IFS(R128&lt;=3000,"Low",R128&lt;=7000,"Mid",R128&lt;=12000,"High",R128&gt;12000,"Top")</f>
        <v>Top</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_xlfn.IFS(A129&lt;=25,"Under 25",A129&lt;=35,"26–35",A129&lt;=45,"36–45",A129&gt;45,"46+")</f>
        <v>Under 25</v>
      </c>
      <c r="AK129" t="str" cm="1">
        <f t="array" ref="AK129">_xlfn.IFS(R129&lt;=3000,"Low",R129&lt;=7000,"Mid",R129&lt;=12000,"High",R129&gt;12000,"Top")</f>
        <v>Top</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_xlfn.IFS(A130&lt;=25,"Under 25",A130&lt;=35,"26–35",A130&lt;=45,"36–45",A130&gt;45,"46+")</f>
        <v>Under 25</v>
      </c>
      <c r="AK130" t="str" cm="1">
        <f t="array" ref="AK130">_xlfn.IFS(R130&lt;=3000,"Low",R130&lt;=7000,"Mid",R130&lt;=12000,"High",R130&gt;12000,"Top")</f>
        <v>Top</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_xlfn.IFS(A131&lt;=25,"Under 25",A131&lt;=35,"26–35",A131&lt;=45,"36–45",A131&gt;45,"46+")</f>
        <v>46+</v>
      </c>
      <c r="AK131" t="str" cm="1">
        <f t="array" ref="AK131">_xlfn.IFS(R131&lt;=3000,"Low",R131&lt;=7000,"Mid",R131&lt;=12000,"High",R131&gt;12000,"Top")</f>
        <v>Top</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_xlfn.IFS(A132&lt;=25,"Under 25",A132&lt;=35,"26–35",A132&lt;=45,"36–45",A132&gt;45,"46+")</f>
        <v>36–45</v>
      </c>
      <c r="AK132" t="str" cm="1">
        <f t="array" ref="AK132">_xlfn.IFS(R132&lt;=3000,"Low",R132&lt;=7000,"Mid",R132&lt;=12000,"High",R132&gt;12000,"Top")</f>
        <v>Top</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_xlfn.IFS(A133&lt;=25,"Under 25",A133&lt;=35,"26–35",A133&lt;=45,"36–45",A133&gt;45,"46+")</f>
        <v>46+</v>
      </c>
      <c r="AK133" t="str" cm="1">
        <f t="array" ref="AK133">_xlfn.IFS(R133&lt;=3000,"Low",R133&lt;=7000,"Mid",R133&lt;=12000,"High",R133&gt;12000,"Top")</f>
        <v>Top</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_xlfn.IFS(A134&lt;=25,"Under 25",A134&lt;=35,"26–35",A134&lt;=45,"36–45",A134&gt;45,"46+")</f>
        <v>26–35</v>
      </c>
      <c r="AK134" t="str" cm="1">
        <f t="array" ref="AK134">_xlfn.IFS(R134&lt;=3000,"Low",R134&lt;=7000,"Mid",R134&lt;=12000,"High",R134&gt;12000,"Top")</f>
        <v>Top</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_xlfn.IFS(A135&lt;=25,"Under 25",A135&lt;=35,"26–35",A135&lt;=45,"36–45",A135&gt;45,"46+")</f>
        <v>36–45</v>
      </c>
      <c r="AK135" t="str" cm="1">
        <f t="array" ref="AK135">_xlfn.IFS(R135&lt;=3000,"Low",R135&lt;=7000,"Mid",R135&lt;=12000,"High",R135&gt;12000,"Top")</f>
        <v>Top</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_xlfn.IFS(A136&lt;=25,"Under 25",A136&lt;=35,"26–35",A136&lt;=45,"36–45",A136&gt;45,"46+")</f>
        <v>26–35</v>
      </c>
      <c r="AK136" t="str" cm="1">
        <f t="array" ref="AK136">_xlfn.IFS(R136&lt;=3000,"Low",R136&lt;=7000,"Mid",R136&lt;=12000,"High",R136&gt;12000,"Top")</f>
        <v>Top</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_xlfn.IFS(A137&lt;=25,"Under 25",A137&lt;=35,"26–35",A137&lt;=45,"36–45",A137&gt;45,"46+")</f>
        <v>36–45</v>
      </c>
      <c r="AK137" t="str" cm="1">
        <f t="array" ref="AK137">_xlfn.IFS(R137&lt;=3000,"Low",R137&lt;=7000,"Mid",R137&lt;=12000,"High",R137&gt;12000,"Top")</f>
        <v>Top</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_xlfn.IFS(A138&lt;=25,"Under 25",A138&lt;=35,"26–35",A138&lt;=45,"36–45",A138&gt;45,"46+")</f>
        <v>46+</v>
      </c>
      <c r="AK138" t="str" cm="1">
        <f t="array" ref="AK138">_xlfn.IFS(R138&lt;=3000,"Low",R138&lt;=7000,"Mid",R138&lt;=12000,"High",R138&gt;12000,"Top")</f>
        <v>Top</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_xlfn.IFS(A139&lt;=25,"Under 25",A139&lt;=35,"26–35",A139&lt;=45,"36–45",A139&gt;45,"46+")</f>
        <v>36–45</v>
      </c>
      <c r="AK139" t="str" cm="1">
        <f t="array" ref="AK139">_xlfn.IFS(R139&lt;=3000,"Low",R139&lt;=7000,"Mid",R139&lt;=12000,"High",R139&gt;12000,"Top")</f>
        <v>Top</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_xlfn.IFS(A140&lt;=25,"Under 25",A140&lt;=35,"26–35",A140&lt;=45,"36–45",A140&gt;45,"46+")</f>
        <v>Under 25</v>
      </c>
      <c r="AK140" t="str" cm="1">
        <f t="array" ref="AK140">_xlfn.IFS(R140&lt;=3000,"Low",R140&lt;=7000,"Mid",R140&lt;=12000,"High",R140&gt;12000,"Top")</f>
        <v>Top</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_xlfn.IFS(A141&lt;=25,"Under 25",A141&lt;=35,"26–35",A141&lt;=45,"36–45",A141&gt;45,"46+")</f>
        <v>26–35</v>
      </c>
      <c r="AK141" t="str" cm="1">
        <f t="array" ref="AK141">_xlfn.IFS(R141&lt;=3000,"Low",R141&lt;=7000,"Mid",R141&lt;=12000,"High",R141&gt;12000,"Top")</f>
        <v>Top</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_xlfn.IFS(A142&lt;=25,"Under 25",A142&lt;=35,"26–35",A142&lt;=45,"36–45",A142&gt;45,"46+")</f>
        <v>26–35</v>
      </c>
      <c r="AK142" t="str" cm="1">
        <f t="array" ref="AK142">_xlfn.IFS(R142&lt;=3000,"Low",R142&lt;=7000,"Mid",R142&lt;=12000,"High",R142&gt;12000,"Top")</f>
        <v>Top</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_xlfn.IFS(A143&lt;=25,"Under 25",A143&lt;=35,"26–35",A143&lt;=45,"36–45",A143&gt;45,"46+")</f>
        <v>36–45</v>
      </c>
      <c r="AK143" t="str" cm="1">
        <f t="array" ref="AK143">_xlfn.IFS(R143&lt;=3000,"Low",R143&lt;=7000,"Mid",R143&lt;=12000,"High",R143&gt;12000,"Top")</f>
        <v>Top</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_xlfn.IFS(A144&lt;=25,"Under 25",A144&lt;=35,"26–35",A144&lt;=45,"36–45",A144&gt;45,"46+")</f>
        <v>36–45</v>
      </c>
      <c r="AK144" t="str" cm="1">
        <f t="array" ref="AK144">_xlfn.IFS(R144&lt;=3000,"Low",R144&lt;=7000,"Mid",R144&lt;=12000,"High",R144&gt;12000,"Top")</f>
        <v>Top</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_xlfn.IFS(A145&lt;=25,"Under 25",A145&lt;=35,"26–35",A145&lt;=45,"36–45",A145&gt;45,"46+")</f>
        <v>26–35</v>
      </c>
      <c r="AK145" t="str" cm="1">
        <f t="array" ref="AK145">_xlfn.IFS(R145&lt;=3000,"Low",R145&lt;=7000,"Mid",R145&lt;=12000,"High",R145&gt;12000,"Top")</f>
        <v>Top</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_xlfn.IFS(A146&lt;=25,"Under 25",A146&lt;=35,"26–35",A146&lt;=45,"36–45",A146&gt;45,"46+")</f>
        <v>26–35</v>
      </c>
      <c r="AK146" t="str" cm="1">
        <f t="array" ref="AK146">_xlfn.IFS(R146&lt;=3000,"Low",R146&lt;=7000,"Mid",R146&lt;=12000,"High",R146&gt;12000,"Top")</f>
        <v>Top</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_xlfn.IFS(A147&lt;=25,"Under 25",A147&lt;=35,"26–35",A147&lt;=45,"36–45",A147&gt;45,"46+")</f>
        <v>26–35</v>
      </c>
      <c r="AK147" t="str" cm="1">
        <f t="array" ref="AK147">_xlfn.IFS(R147&lt;=3000,"Low",R147&lt;=7000,"Mid",R147&lt;=12000,"High",R147&gt;12000,"Top")</f>
        <v>Top</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_xlfn.IFS(A148&lt;=25,"Under 25",A148&lt;=35,"26–35",A148&lt;=45,"36–45",A148&gt;45,"46+")</f>
        <v>26–35</v>
      </c>
      <c r="AK148" t="str" cm="1">
        <f t="array" ref="AK148">_xlfn.IFS(R148&lt;=3000,"Low",R148&lt;=7000,"Mid",R148&lt;=12000,"High",R148&gt;12000,"Top")</f>
        <v>Top</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_xlfn.IFS(A149&lt;=25,"Under 25",A149&lt;=35,"26–35",A149&lt;=45,"36–45",A149&gt;45,"46+")</f>
        <v>36–45</v>
      </c>
      <c r="AK149" t="str" cm="1">
        <f t="array" ref="AK149">_xlfn.IFS(R149&lt;=3000,"Low",R149&lt;=7000,"Mid",R149&lt;=12000,"High",R149&gt;12000,"Top")</f>
        <v>Top</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_xlfn.IFS(A150&lt;=25,"Under 25",A150&lt;=35,"26–35",A150&lt;=45,"36–45",A150&gt;45,"46+")</f>
        <v>36–45</v>
      </c>
      <c r="AK150" t="str" cm="1">
        <f t="array" ref="AK150">_xlfn.IFS(R150&lt;=3000,"Low",R150&lt;=7000,"Mid",R150&lt;=12000,"High",R150&gt;12000,"Top")</f>
        <v>Top</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_xlfn.IFS(A151&lt;=25,"Under 25",A151&lt;=35,"26–35",A151&lt;=45,"36–45",A151&gt;45,"46+")</f>
        <v>Under 25</v>
      </c>
      <c r="AK151" t="str" cm="1">
        <f t="array" ref="AK151">_xlfn.IFS(R151&lt;=3000,"Low",R151&lt;=7000,"Mid",R151&lt;=12000,"High",R151&gt;12000,"Top")</f>
        <v>Top</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_xlfn.IFS(A152&lt;=25,"Under 25",A152&lt;=35,"26–35",A152&lt;=45,"36–45",A152&gt;45,"46+")</f>
        <v>36–45</v>
      </c>
      <c r="AK152" t="str" cm="1">
        <f t="array" ref="AK152">_xlfn.IFS(R152&lt;=3000,"Low",R152&lt;=7000,"Mid",R152&lt;=12000,"High",R152&gt;12000,"Top")</f>
        <v>Top</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_xlfn.IFS(A153&lt;=25,"Under 25",A153&lt;=35,"26–35",A153&lt;=45,"36–45",A153&gt;45,"46+")</f>
        <v>26–35</v>
      </c>
      <c r="AK153" t="str" cm="1">
        <f t="array" ref="AK153">_xlfn.IFS(R153&lt;=3000,"Low",R153&lt;=7000,"Mid",R153&lt;=12000,"High",R153&gt;12000,"Top")</f>
        <v>Top</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_xlfn.IFS(A154&lt;=25,"Under 25",A154&lt;=35,"26–35",A154&lt;=45,"36–45",A154&gt;45,"46+")</f>
        <v>46+</v>
      </c>
      <c r="AK154" t="str" cm="1">
        <f t="array" ref="AK154">_xlfn.IFS(R154&lt;=3000,"Low",R154&lt;=7000,"Mid",R154&lt;=12000,"High",R154&gt;12000,"Top")</f>
        <v>Top</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_xlfn.IFS(A155&lt;=25,"Under 25",A155&lt;=35,"26–35",A155&lt;=45,"36–45",A155&gt;45,"46+")</f>
        <v>36–45</v>
      </c>
      <c r="AK155" t="str" cm="1">
        <f t="array" ref="AK155">_xlfn.IFS(R155&lt;=3000,"Low",R155&lt;=7000,"Mid",R155&lt;=12000,"High",R155&gt;12000,"Top")</f>
        <v>Top</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_xlfn.IFS(A156&lt;=25,"Under 25",A156&lt;=35,"26–35",A156&lt;=45,"36–45",A156&gt;45,"46+")</f>
        <v>26–35</v>
      </c>
      <c r="AK156" t="str" cm="1">
        <f t="array" ref="AK156">_xlfn.IFS(R156&lt;=3000,"Low",R156&lt;=7000,"Mid",R156&lt;=12000,"High",R156&gt;12000,"Top")</f>
        <v>Top</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_xlfn.IFS(A157&lt;=25,"Under 25",A157&lt;=35,"26–35",A157&lt;=45,"36–45",A157&gt;45,"46+")</f>
        <v>26–35</v>
      </c>
      <c r="AK157" t="str" cm="1">
        <f t="array" ref="AK157">_xlfn.IFS(R157&lt;=3000,"Low",R157&lt;=7000,"Mid",R157&lt;=12000,"High",R157&gt;12000,"Top")</f>
        <v>Top</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_xlfn.IFS(A158&lt;=25,"Under 25",A158&lt;=35,"26–35",A158&lt;=45,"36–45",A158&gt;45,"46+")</f>
        <v>46+</v>
      </c>
      <c r="AK158" t="str" cm="1">
        <f t="array" ref="AK158">_xlfn.IFS(R158&lt;=3000,"Low",R158&lt;=7000,"Mid",R158&lt;=12000,"High",R158&gt;12000,"Top")</f>
        <v>Top</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_xlfn.IFS(A159&lt;=25,"Under 25",A159&lt;=35,"26–35",A159&lt;=45,"36–45",A159&gt;45,"46+")</f>
        <v>46+</v>
      </c>
      <c r="AK159" t="str" cm="1">
        <f t="array" ref="AK159">_xlfn.IFS(R159&lt;=3000,"Low",R159&lt;=7000,"Mid",R159&lt;=12000,"High",R159&gt;12000,"Top")</f>
        <v>Top</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_xlfn.IFS(A160&lt;=25,"Under 25",A160&lt;=35,"26–35",A160&lt;=45,"36–45",A160&gt;45,"46+")</f>
        <v>36–45</v>
      </c>
      <c r="AK160" t="str" cm="1">
        <f t="array" ref="AK160">_xlfn.IFS(R160&lt;=3000,"Low",R160&lt;=7000,"Mid",R160&lt;=12000,"High",R160&gt;12000,"Top")</f>
        <v>Top</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_xlfn.IFS(A161&lt;=25,"Under 25",A161&lt;=35,"26–35",A161&lt;=45,"36–45",A161&gt;45,"46+")</f>
        <v>26–35</v>
      </c>
      <c r="AK161" t="str" cm="1">
        <f t="array" ref="AK161">_xlfn.IFS(R161&lt;=3000,"Low",R161&lt;=7000,"Mid",R161&lt;=12000,"High",R161&gt;12000,"Top")</f>
        <v>Top</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_xlfn.IFS(A162&lt;=25,"Under 25",A162&lt;=35,"26–35",A162&lt;=45,"36–45",A162&gt;45,"46+")</f>
        <v>Under 25</v>
      </c>
      <c r="AK162" t="str" cm="1">
        <f t="array" ref="AK162">_xlfn.IFS(R162&lt;=3000,"Low",R162&lt;=7000,"Mid",R162&lt;=12000,"High",R162&gt;12000,"Top")</f>
        <v>Top</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_xlfn.IFS(A163&lt;=25,"Under 25",A163&lt;=35,"26–35",A163&lt;=45,"36–45",A163&gt;45,"46+")</f>
        <v>26–35</v>
      </c>
      <c r="AK163" t="str" cm="1">
        <f t="array" ref="AK163">_xlfn.IFS(R163&lt;=3000,"Low",R163&lt;=7000,"Mid",R163&lt;=12000,"High",R163&gt;12000,"Top")</f>
        <v>Top</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_xlfn.IFS(A164&lt;=25,"Under 25",A164&lt;=35,"26–35",A164&lt;=45,"36–45",A164&gt;45,"46+")</f>
        <v>26–35</v>
      </c>
      <c r="AK164" t="str" cm="1">
        <f t="array" ref="AK164">_xlfn.IFS(R164&lt;=3000,"Low",R164&lt;=7000,"Mid",R164&lt;=12000,"High",R164&gt;12000,"Top")</f>
        <v>Top</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_xlfn.IFS(A165&lt;=25,"Under 25",A165&lt;=35,"26–35",A165&lt;=45,"36–45",A165&gt;45,"46+")</f>
        <v>46+</v>
      </c>
      <c r="AK165" t="str" cm="1">
        <f t="array" ref="AK165">_xlfn.IFS(R165&lt;=3000,"Low",R165&lt;=7000,"Mid",R165&lt;=12000,"High",R165&gt;12000,"Top")</f>
        <v>Top</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_xlfn.IFS(A166&lt;=25,"Under 25",A166&lt;=35,"26–35",A166&lt;=45,"36–45",A166&gt;45,"46+")</f>
        <v>26–35</v>
      </c>
      <c r="AK166" t="str" cm="1">
        <f t="array" ref="AK166">_xlfn.IFS(R166&lt;=3000,"Low",R166&lt;=7000,"Mid",R166&lt;=12000,"High",R166&gt;12000,"Top")</f>
        <v>Top</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_xlfn.IFS(A167&lt;=25,"Under 25",A167&lt;=35,"26–35",A167&lt;=45,"36–45",A167&gt;45,"46+")</f>
        <v>46+</v>
      </c>
      <c r="AK167" t="str" cm="1">
        <f t="array" ref="AK167">_xlfn.IFS(R167&lt;=3000,"Low",R167&lt;=7000,"Mid",R167&lt;=12000,"High",R167&gt;12000,"Top")</f>
        <v>Top</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_xlfn.IFS(A168&lt;=25,"Under 25",A168&lt;=35,"26–35",A168&lt;=45,"36–45",A168&gt;45,"46+")</f>
        <v>36–45</v>
      </c>
      <c r="AK168" t="str" cm="1">
        <f t="array" ref="AK168">_xlfn.IFS(R168&lt;=3000,"Low",R168&lt;=7000,"Mid",R168&lt;=12000,"High",R168&gt;12000,"Top")</f>
        <v>Top</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_xlfn.IFS(A169&lt;=25,"Under 25",A169&lt;=35,"26–35",A169&lt;=45,"36–45",A169&gt;45,"46+")</f>
        <v>26–35</v>
      </c>
      <c r="AK169" t="str" cm="1">
        <f t="array" ref="AK169">_xlfn.IFS(R169&lt;=3000,"Low",R169&lt;=7000,"Mid",R169&lt;=12000,"High",R169&gt;12000,"Top")</f>
        <v>Top</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_xlfn.IFS(A170&lt;=25,"Under 25",A170&lt;=35,"26–35",A170&lt;=45,"36–45",A170&gt;45,"46+")</f>
        <v>36–45</v>
      </c>
      <c r="AK170" t="str" cm="1">
        <f t="array" ref="AK170">_xlfn.IFS(R170&lt;=3000,"Low",R170&lt;=7000,"Mid",R170&lt;=12000,"High",R170&gt;12000,"Top")</f>
        <v>Top</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_xlfn.IFS(A171&lt;=25,"Under 25",A171&lt;=35,"26–35",A171&lt;=45,"36–45",A171&gt;45,"46+")</f>
        <v>26–35</v>
      </c>
      <c r="AK171" t="str" cm="1">
        <f t="array" ref="AK171">_xlfn.IFS(R171&lt;=3000,"Low",R171&lt;=7000,"Mid",R171&lt;=12000,"High",R171&gt;12000,"Top")</f>
        <v>Top</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_xlfn.IFS(A172&lt;=25,"Under 25",A172&lt;=35,"26–35",A172&lt;=45,"36–45",A172&gt;45,"46+")</f>
        <v>26–35</v>
      </c>
      <c r="AK172" t="str" cm="1">
        <f t="array" ref="AK172">_xlfn.IFS(R172&lt;=3000,"Low",R172&lt;=7000,"Mid",R172&lt;=12000,"High",R172&gt;12000,"Top")</f>
        <v>Top</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_xlfn.IFS(A173&lt;=25,"Under 25",A173&lt;=35,"26–35",A173&lt;=45,"36–45",A173&gt;45,"46+")</f>
        <v>Under 25</v>
      </c>
      <c r="AK173" t="str" cm="1">
        <f t="array" ref="AK173">_xlfn.IFS(R173&lt;=3000,"Low",R173&lt;=7000,"Mid",R173&lt;=12000,"High",R173&gt;12000,"Top")</f>
        <v>Top</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_xlfn.IFS(A174&lt;=25,"Under 25",A174&lt;=35,"26–35",A174&lt;=45,"36–45",A174&gt;45,"46+")</f>
        <v>36–45</v>
      </c>
      <c r="AK174" t="str" cm="1">
        <f t="array" ref="AK174">_xlfn.IFS(R174&lt;=3000,"Low",R174&lt;=7000,"Mid",R174&lt;=12000,"High",R174&gt;12000,"Top")</f>
        <v>Top</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_xlfn.IFS(A175&lt;=25,"Under 25",A175&lt;=35,"26–35",A175&lt;=45,"36–45",A175&gt;45,"46+")</f>
        <v>26–35</v>
      </c>
      <c r="AK175" t="str" cm="1">
        <f t="array" ref="AK175">_xlfn.IFS(R175&lt;=3000,"Low",R175&lt;=7000,"Mid",R175&lt;=12000,"High",R175&gt;12000,"Top")</f>
        <v>Top</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_xlfn.IFS(A176&lt;=25,"Under 25",A176&lt;=35,"26–35",A176&lt;=45,"36–45",A176&gt;45,"46+")</f>
        <v>36–45</v>
      </c>
      <c r="AK176" t="str" cm="1">
        <f t="array" ref="AK176">_xlfn.IFS(R176&lt;=3000,"Low",R176&lt;=7000,"Mid",R176&lt;=12000,"High",R176&gt;12000,"Top")</f>
        <v>Top</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_xlfn.IFS(A177&lt;=25,"Under 25",A177&lt;=35,"26–35",A177&lt;=45,"36–45",A177&gt;45,"46+")</f>
        <v>46+</v>
      </c>
      <c r="AK177" t="str" cm="1">
        <f t="array" ref="AK177">_xlfn.IFS(R177&lt;=3000,"Low",R177&lt;=7000,"Mid",R177&lt;=12000,"High",R177&gt;12000,"Top")</f>
        <v>Top</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_xlfn.IFS(A178&lt;=25,"Under 25",A178&lt;=35,"26–35",A178&lt;=45,"36–45",A178&gt;45,"46+")</f>
        <v>26–35</v>
      </c>
      <c r="AK178" t="str" cm="1">
        <f t="array" ref="AK178">_xlfn.IFS(R178&lt;=3000,"Low",R178&lt;=7000,"Mid",R178&lt;=12000,"High",R178&gt;12000,"Top")</f>
        <v>Top</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_xlfn.IFS(A179&lt;=25,"Under 25",A179&lt;=35,"26–35",A179&lt;=45,"36–45",A179&gt;45,"46+")</f>
        <v>Under 25</v>
      </c>
      <c r="AK179" t="str" cm="1">
        <f t="array" ref="AK179">_xlfn.IFS(R179&lt;=3000,"Low",R179&lt;=7000,"Mid",R179&lt;=12000,"High",R179&gt;12000,"Top")</f>
        <v>Top</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_xlfn.IFS(A180&lt;=25,"Under 25",A180&lt;=35,"26–35",A180&lt;=45,"36–45",A180&gt;45,"46+")</f>
        <v>46+</v>
      </c>
      <c r="AK180" t="str" cm="1">
        <f t="array" ref="AK180">_xlfn.IFS(R180&lt;=3000,"Low",R180&lt;=7000,"Mid",R180&lt;=12000,"High",R180&gt;12000,"Top")</f>
        <v>Top</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_xlfn.IFS(A181&lt;=25,"Under 25",A181&lt;=35,"26–35",A181&lt;=45,"36–45",A181&gt;45,"46+")</f>
        <v>36–45</v>
      </c>
      <c r="AK181" t="str" cm="1">
        <f t="array" ref="AK181">_xlfn.IFS(R181&lt;=3000,"Low",R181&lt;=7000,"Mid",R181&lt;=12000,"High",R181&gt;12000,"Top")</f>
        <v>Top</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_xlfn.IFS(A182&lt;=25,"Under 25",A182&lt;=35,"26–35",A182&lt;=45,"36–45",A182&gt;45,"46+")</f>
        <v>26–35</v>
      </c>
      <c r="AK182" t="str" cm="1">
        <f t="array" ref="AK182">_xlfn.IFS(R182&lt;=3000,"Low",R182&lt;=7000,"Mid",R182&lt;=12000,"High",R182&gt;12000,"Top")</f>
        <v>Top</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_xlfn.IFS(A183&lt;=25,"Under 25",A183&lt;=35,"26–35",A183&lt;=45,"36–45",A183&gt;45,"46+")</f>
        <v>26–35</v>
      </c>
      <c r="AK183" t="str" cm="1">
        <f t="array" ref="AK183">_xlfn.IFS(R183&lt;=3000,"Low",R183&lt;=7000,"Mid",R183&lt;=12000,"High",R183&gt;12000,"Top")</f>
        <v>Top</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_xlfn.IFS(A184&lt;=25,"Under 25",A184&lt;=35,"26–35",A184&lt;=45,"36–45",A184&gt;45,"46+")</f>
        <v>36–45</v>
      </c>
      <c r="AK184" t="str" cm="1">
        <f t="array" ref="AK184">_xlfn.IFS(R184&lt;=3000,"Low",R184&lt;=7000,"Mid",R184&lt;=12000,"High",R184&gt;12000,"Top")</f>
        <v>Top</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_xlfn.IFS(A185&lt;=25,"Under 25",A185&lt;=35,"26–35",A185&lt;=45,"36–45",A185&gt;45,"46+")</f>
        <v>46+</v>
      </c>
      <c r="AK185" t="str" cm="1">
        <f t="array" ref="AK185">_xlfn.IFS(R185&lt;=3000,"Low",R185&lt;=7000,"Mid",R185&lt;=12000,"High",R185&gt;12000,"Top")</f>
        <v>Top</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_xlfn.IFS(A186&lt;=25,"Under 25",A186&lt;=35,"26–35",A186&lt;=45,"36–45",A186&gt;45,"46+")</f>
        <v>46+</v>
      </c>
      <c r="AK186" t="str" cm="1">
        <f t="array" ref="AK186">_xlfn.IFS(R186&lt;=3000,"Low",R186&lt;=7000,"Mid",R186&lt;=12000,"High",R186&gt;12000,"Top")</f>
        <v>Top</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_xlfn.IFS(A187&lt;=25,"Under 25",A187&lt;=35,"26–35",A187&lt;=45,"36–45",A187&gt;45,"46+")</f>
        <v>26–35</v>
      </c>
      <c r="AK187" t="str" cm="1">
        <f t="array" ref="AK187">_xlfn.IFS(R187&lt;=3000,"Low",R187&lt;=7000,"Mid",R187&lt;=12000,"High",R187&gt;12000,"Top")</f>
        <v>Top</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_xlfn.IFS(A188&lt;=25,"Under 25",A188&lt;=35,"26–35",A188&lt;=45,"36–45",A188&gt;45,"46+")</f>
        <v>36–45</v>
      </c>
      <c r="AK188" t="str" cm="1">
        <f t="array" ref="AK188">_xlfn.IFS(R188&lt;=3000,"Low",R188&lt;=7000,"Mid",R188&lt;=12000,"High",R188&gt;12000,"Top")</f>
        <v>Top</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_xlfn.IFS(A189&lt;=25,"Under 25",A189&lt;=35,"26–35",A189&lt;=45,"36–45",A189&gt;45,"46+")</f>
        <v>46+</v>
      </c>
      <c r="AK189" t="str" cm="1">
        <f t="array" ref="AK189">_xlfn.IFS(R189&lt;=3000,"Low",R189&lt;=7000,"Mid",R189&lt;=12000,"High",R189&gt;12000,"Top")</f>
        <v>Top</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_xlfn.IFS(A190&lt;=25,"Under 25",A190&lt;=35,"26–35",A190&lt;=45,"36–45",A190&gt;45,"46+")</f>
        <v>26–35</v>
      </c>
      <c r="AK190" t="str" cm="1">
        <f t="array" ref="AK190">_xlfn.IFS(R190&lt;=3000,"Low",R190&lt;=7000,"Mid",R190&lt;=12000,"High",R190&gt;12000,"Top")</f>
        <v>Top</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_xlfn.IFS(A191&lt;=25,"Under 25",A191&lt;=35,"26–35",A191&lt;=45,"36–45",A191&gt;45,"46+")</f>
        <v>46+</v>
      </c>
      <c r="AK191" t="str" cm="1">
        <f t="array" ref="AK191">_xlfn.IFS(R191&lt;=3000,"Low",R191&lt;=7000,"Mid",R191&lt;=12000,"High",R191&gt;12000,"Top")</f>
        <v>Top</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_xlfn.IFS(A192&lt;=25,"Under 25",A192&lt;=35,"26–35",A192&lt;=45,"36–45",A192&gt;45,"46+")</f>
        <v>46+</v>
      </c>
      <c r="AK192" t="str" cm="1">
        <f t="array" ref="AK192">_xlfn.IFS(R192&lt;=3000,"Low",R192&lt;=7000,"Mid",R192&lt;=12000,"High",R192&gt;12000,"Top")</f>
        <v>Top</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_xlfn.IFS(A193&lt;=25,"Under 25",A193&lt;=35,"26–35",A193&lt;=45,"36–45",A193&gt;45,"46+")</f>
        <v>26–35</v>
      </c>
      <c r="AK193" t="str" cm="1">
        <f t="array" ref="AK193">_xlfn.IFS(R193&lt;=3000,"Low",R193&lt;=7000,"Mid",R193&lt;=12000,"High",R193&gt;12000,"Top")</f>
        <v>Top</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_xlfn.IFS(A194&lt;=25,"Under 25",A194&lt;=35,"26–35",A194&lt;=45,"36–45",A194&gt;45,"46+")</f>
        <v>26–35</v>
      </c>
      <c r="AK194" t="str" cm="1">
        <f t="array" ref="AK194">_xlfn.IFS(R194&lt;=3000,"Low",R194&lt;=7000,"Mid",R194&lt;=12000,"High",R194&gt;12000,"Top")</f>
        <v>Top</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_xlfn.IFS(A195&lt;=25,"Under 25",A195&lt;=35,"26–35",A195&lt;=45,"36–45",A195&gt;45,"46+")</f>
        <v>36–45</v>
      </c>
      <c r="AK195" t="str" cm="1">
        <f t="array" ref="AK195">_xlfn.IFS(R195&lt;=3000,"Low",R195&lt;=7000,"Mid",R195&lt;=12000,"High",R195&gt;12000,"Top")</f>
        <v>Top</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_xlfn.IFS(A196&lt;=25,"Under 25",A196&lt;=35,"26–35",A196&lt;=45,"36–45",A196&gt;45,"46+")</f>
        <v>36–45</v>
      </c>
      <c r="AK196" t="str" cm="1">
        <f t="array" ref="AK196">_xlfn.IFS(R196&lt;=3000,"Low",R196&lt;=7000,"Mid",R196&lt;=12000,"High",R196&gt;12000,"Top")</f>
        <v>Top</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_xlfn.IFS(A197&lt;=25,"Under 25",A197&lt;=35,"26–35",A197&lt;=45,"36–45",A197&gt;45,"46+")</f>
        <v>36–45</v>
      </c>
      <c r="AK197" t="str" cm="1">
        <f t="array" ref="AK197">_xlfn.IFS(R197&lt;=3000,"Low",R197&lt;=7000,"Mid",R197&lt;=12000,"High",R197&gt;12000,"Top")</f>
        <v>Top</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_xlfn.IFS(A198&lt;=25,"Under 25",A198&lt;=35,"26–35",A198&lt;=45,"36–45",A198&gt;45,"46+")</f>
        <v>26–35</v>
      </c>
      <c r="AK198" t="str" cm="1">
        <f t="array" ref="AK198">_xlfn.IFS(R198&lt;=3000,"Low",R198&lt;=7000,"Mid",R198&lt;=12000,"High",R198&gt;12000,"Top")</f>
        <v>Top</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_xlfn.IFS(A199&lt;=25,"Under 25",A199&lt;=35,"26–35",A199&lt;=45,"36–45",A199&gt;45,"46+")</f>
        <v>36–45</v>
      </c>
      <c r="AK199" t="str" cm="1">
        <f t="array" ref="AK199">_xlfn.IFS(R199&lt;=3000,"Low",R199&lt;=7000,"Mid",R199&lt;=12000,"High",R199&gt;12000,"Top")</f>
        <v>Top</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_xlfn.IFS(A200&lt;=25,"Under 25",A200&lt;=35,"26–35",A200&lt;=45,"36–45",A200&gt;45,"46+")</f>
        <v>36–45</v>
      </c>
      <c r="AK200" t="str" cm="1">
        <f t="array" ref="AK200">_xlfn.IFS(R200&lt;=3000,"Low",R200&lt;=7000,"Mid",R200&lt;=12000,"High",R200&gt;12000,"Top")</f>
        <v>Top</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_xlfn.IFS(A201&lt;=25,"Under 25",A201&lt;=35,"26–35",A201&lt;=45,"36–45",A201&gt;45,"46+")</f>
        <v>36–45</v>
      </c>
      <c r="AK201" t="str" cm="1">
        <f t="array" ref="AK201">_xlfn.IFS(R201&lt;=3000,"Low",R201&lt;=7000,"Mid",R201&lt;=12000,"High",R201&gt;12000,"Top")</f>
        <v>Top</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_xlfn.IFS(A202&lt;=25,"Under 25",A202&lt;=35,"26–35",A202&lt;=45,"36–45",A202&gt;45,"46+")</f>
        <v>26–35</v>
      </c>
      <c r="AK202" t="str" cm="1">
        <f t="array" ref="AK202">_xlfn.IFS(R202&lt;=3000,"Low",R202&lt;=7000,"Mid",R202&lt;=12000,"High",R202&gt;12000,"Top")</f>
        <v>Top</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_xlfn.IFS(A203&lt;=25,"Under 25",A203&lt;=35,"26–35",A203&lt;=45,"36–45",A203&gt;45,"46+")</f>
        <v>46+</v>
      </c>
      <c r="AK203" t="str" cm="1">
        <f t="array" ref="AK203">_xlfn.IFS(R203&lt;=3000,"Low",R203&lt;=7000,"Mid",R203&lt;=12000,"High",R203&gt;12000,"Top")</f>
        <v>Top</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_xlfn.IFS(A204&lt;=25,"Under 25",A204&lt;=35,"26–35",A204&lt;=45,"36–45",A204&gt;45,"46+")</f>
        <v>26–35</v>
      </c>
      <c r="AK204" t="str" cm="1">
        <f t="array" ref="AK204">_xlfn.IFS(R204&lt;=3000,"Low",R204&lt;=7000,"Mid",R204&lt;=12000,"High",R204&gt;12000,"Top")</f>
        <v>Top</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_xlfn.IFS(A205&lt;=25,"Under 25",A205&lt;=35,"26–35",A205&lt;=45,"36–45",A205&gt;45,"46+")</f>
        <v>36–45</v>
      </c>
      <c r="AK205" t="str" cm="1">
        <f t="array" ref="AK205">_xlfn.IFS(R205&lt;=3000,"Low",R205&lt;=7000,"Mid",R205&lt;=12000,"High",R205&gt;12000,"Top")</f>
        <v>Top</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_xlfn.IFS(A206&lt;=25,"Under 25",A206&lt;=35,"26–35",A206&lt;=45,"36–45",A206&gt;45,"46+")</f>
        <v>36–45</v>
      </c>
      <c r="AK206" t="str" cm="1">
        <f t="array" ref="AK206">_xlfn.IFS(R206&lt;=3000,"Low",R206&lt;=7000,"Mid",R206&lt;=12000,"High",R206&gt;12000,"Top")</f>
        <v>Top</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_xlfn.IFS(A207&lt;=25,"Under 25",A207&lt;=35,"26–35",A207&lt;=45,"36–45",A207&gt;45,"46+")</f>
        <v>26–35</v>
      </c>
      <c r="AK207" t="str" cm="1">
        <f t="array" ref="AK207">_xlfn.IFS(R207&lt;=3000,"Low",R207&lt;=7000,"Mid",R207&lt;=12000,"High",R207&gt;12000,"Top")</f>
        <v>Top</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_xlfn.IFS(A208&lt;=25,"Under 25",A208&lt;=35,"26–35",A208&lt;=45,"36–45",A208&gt;45,"46+")</f>
        <v>Under 25</v>
      </c>
      <c r="AK208" t="str" cm="1">
        <f t="array" ref="AK208">_xlfn.IFS(R208&lt;=3000,"Low",R208&lt;=7000,"Mid",R208&lt;=12000,"High",R208&gt;12000,"Top")</f>
        <v>Top</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_xlfn.IFS(A209&lt;=25,"Under 25",A209&lt;=35,"26–35",A209&lt;=45,"36–45",A209&gt;45,"46+")</f>
        <v>36–45</v>
      </c>
      <c r="AK209" t="str" cm="1">
        <f t="array" ref="AK209">_xlfn.IFS(R209&lt;=3000,"Low",R209&lt;=7000,"Mid",R209&lt;=12000,"High",R209&gt;12000,"Top")</f>
        <v>Top</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_xlfn.IFS(A210&lt;=25,"Under 25",A210&lt;=35,"26–35",A210&lt;=45,"36–45",A210&gt;45,"46+")</f>
        <v>36–45</v>
      </c>
      <c r="AK210" t="str" cm="1">
        <f t="array" ref="AK210">_xlfn.IFS(R210&lt;=3000,"Low",R210&lt;=7000,"Mid",R210&lt;=12000,"High",R210&gt;12000,"Top")</f>
        <v>Top</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_xlfn.IFS(A211&lt;=25,"Under 25",A211&lt;=35,"26–35",A211&lt;=45,"36–45",A211&gt;45,"46+")</f>
        <v>46+</v>
      </c>
      <c r="AK211" t="str" cm="1">
        <f t="array" ref="AK211">_xlfn.IFS(R211&lt;=3000,"Low",R211&lt;=7000,"Mid",R211&lt;=12000,"High",R211&gt;12000,"Top")</f>
        <v>Top</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_xlfn.IFS(A212&lt;=25,"Under 25",A212&lt;=35,"26–35",A212&lt;=45,"36–45",A212&gt;45,"46+")</f>
        <v>26–35</v>
      </c>
      <c r="AK212" t="str" cm="1">
        <f t="array" ref="AK212">_xlfn.IFS(R212&lt;=3000,"Low",R212&lt;=7000,"Mid",R212&lt;=12000,"High",R212&gt;12000,"Top")</f>
        <v>Top</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_xlfn.IFS(A213&lt;=25,"Under 25",A213&lt;=35,"26–35",A213&lt;=45,"36–45",A213&gt;45,"46+")</f>
        <v>26–35</v>
      </c>
      <c r="AK213" t="str" cm="1">
        <f t="array" ref="AK213">_xlfn.IFS(R213&lt;=3000,"Low",R213&lt;=7000,"Mid",R213&lt;=12000,"High",R213&gt;12000,"Top")</f>
        <v>Top</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_xlfn.IFS(A214&lt;=25,"Under 25",A214&lt;=35,"26–35",A214&lt;=45,"36–45",A214&gt;45,"46+")</f>
        <v>26–35</v>
      </c>
      <c r="AK214" t="str" cm="1">
        <f t="array" ref="AK214">_xlfn.IFS(R214&lt;=3000,"Low",R214&lt;=7000,"Mid",R214&lt;=12000,"High",R214&gt;12000,"Top")</f>
        <v>Top</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_xlfn.IFS(A215&lt;=25,"Under 25",A215&lt;=35,"26–35",A215&lt;=45,"36–45",A215&gt;45,"46+")</f>
        <v>46+</v>
      </c>
      <c r="AK215" t="str" cm="1">
        <f t="array" ref="AK215">_xlfn.IFS(R215&lt;=3000,"Low",R215&lt;=7000,"Mid",R215&lt;=12000,"High",R215&gt;12000,"Top")</f>
        <v>Top</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_xlfn.IFS(A216&lt;=25,"Under 25",A216&lt;=35,"26–35",A216&lt;=45,"36–45",A216&gt;45,"46+")</f>
        <v>26–35</v>
      </c>
      <c r="AK216" t="str" cm="1">
        <f t="array" ref="AK216">_xlfn.IFS(R216&lt;=3000,"Low",R216&lt;=7000,"Mid",R216&lt;=12000,"High",R216&gt;12000,"Top")</f>
        <v>Top</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_xlfn.IFS(A217&lt;=25,"Under 25",A217&lt;=35,"26–35",A217&lt;=45,"36–45",A217&gt;45,"46+")</f>
        <v>36–45</v>
      </c>
      <c r="AK217" t="str" cm="1">
        <f t="array" ref="AK217">_xlfn.IFS(R217&lt;=3000,"Low",R217&lt;=7000,"Mid",R217&lt;=12000,"High",R217&gt;12000,"Top")</f>
        <v>Top</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_xlfn.IFS(A218&lt;=25,"Under 25",A218&lt;=35,"26–35",A218&lt;=45,"36–45",A218&gt;45,"46+")</f>
        <v>26–35</v>
      </c>
      <c r="AK218" t="str" cm="1">
        <f t="array" ref="AK218">_xlfn.IFS(R218&lt;=3000,"Low",R218&lt;=7000,"Mid",R218&lt;=12000,"High",R218&gt;12000,"Top")</f>
        <v>Top</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_xlfn.IFS(A219&lt;=25,"Under 25",A219&lt;=35,"26–35",A219&lt;=45,"36–45",A219&gt;45,"46+")</f>
        <v>26–35</v>
      </c>
      <c r="AK219" t="str" cm="1">
        <f t="array" ref="AK219">_xlfn.IFS(R219&lt;=3000,"Low",R219&lt;=7000,"Mid",R219&lt;=12000,"High",R219&gt;12000,"Top")</f>
        <v>Top</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_xlfn.IFS(A220&lt;=25,"Under 25",A220&lt;=35,"26–35",A220&lt;=45,"36–45",A220&gt;45,"46+")</f>
        <v>36–45</v>
      </c>
      <c r="AK220" t="str" cm="1">
        <f t="array" ref="AK220">_xlfn.IFS(R220&lt;=3000,"Low",R220&lt;=7000,"Mid",R220&lt;=12000,"High",R220&gt;12000,"Top")</f>
        <v>Top</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_xlfn.IFS(A221&lt;=25,"Under 25",A221&lt;=35,"26–35",A221&lt;=45,"36–45",A221&gt;45,"46+")</f>
        <v>46+</v>
      </c>
      <c r="AK221" t="str" cm="1">
        <f t="array" ref="AK221">_xlfn.IFS(R221&lt;=3000,"Low",R221&lt;=7000,"Mid",R221&lt;=12000,"High",R221&gt;12000,"Top")</f>
        <v>Top</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_xlfn.IFS(A222&lt;=25,"Under 25",A222&lt;=35,"26–35",A222&lt;=45,"36–45",A222&gt;45,"46+")</f>
        <v>36–45</v>
      </c>
      <c r="AK222" t="str" cm="1">
        <f t="array" ref="AK222">_xlfn.IFS(R222&lt;=3000,"Low",R222&lt;=7000,"Mid",R222&lt;=12000,"High",R222&gt;12000,"Top")</f>
        <v>Top</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_xlfn.IFS(A223&lt;=25,"Under 25",A223&lt;=35,"26–35",A223&lt;=45,"36–45",A223&gt;45,"46+")</f>
        <v>26–35</v>
      </c>
      <c r="AK223" t="str" cm="1">
        <f t="array" ref="AK223">_xlfn.IFS(R223&lt;=3000,"Low",R223&lt;=7000,"Mid",R223&lt;=12000,"High",R223&gt;12000,"Top")</f>
        <v>Top</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_xlfn.IFS(A224&lt;=25,"Under 25",A224&lt;=35,"26–35",A224&lt;=45,"36–45",A224&gt;45,"46+")</f>
        <v>36–45</v>
      </c>
      <c r="AK224" t="str" cm="1">
        <f t="array" ref="AK224">_xlfn.IFS(R224&lt;=3000,"Low",R224&lt;=7000,"Mid",R224&lt;=12000,"High",R224&gt;12000,"Top")</f>
        <v>Top</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_xlfn.IFS(A225&lt;=25,"Under 25",A225&lt;=35,"26–35",A225&lt;=45,"36–45",A225&gt;45,"46+")</f>
        <v>36–45</v>
      </c>
      <c r="AK225" t="str" cm="1">
        <f t="array" ref="AK225">_xlfn.IFS(R225&lt;=3000,"Low",R225&lt;=7000,"Mid",R225&lt;=12000,"High",R225&gt;12000,"Top")</f>
        <v>Top</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_xlfn.IFS(A226&lt;=25,"Under 25",A226&lt;=35,"26–35",A226&lt;=45,"36–45",A226&gt;45,"46+")</f>
        <v>26–35</v>
      </c>
      <c r="AK226" t="str" cm="1">
        <f t="array" ref="AK226">_xlfn.IFS(R226&lt;=3000,"Low",R226&lt;=7000,"Mid",R226&lt;=12000,"High",R226&gt;12000,"Top")</f>
        <v>Top</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_xlfn.IFS(A227&lt;=25,"Under 25",A227&lt;=35,"26–35",A227&lt;=45,"36–45",A227&gt;45,"46+")</f>
        <v>46+</v>
      </c>
      <c r="AK227" t="str" cm="1">
        <f t="array" ref="AK227">_xlfn.IFS(R227&lt;=3000,"Low",R227&lt;=7000,"Mid",R227&lt;=12000,"High",R227&gt;12000,"Top")</f>
        <v>Top</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_xlfn.IFS(A228&lt;=25,"Under 25",A228&lt;=35,"26–35",A228&lt;=45,"36–45",A228&gt;45,"46+")</f>
        <v>36–45</v>
      </c>
      <c r="AK228" t="str" cm="1">
        <f t="array" ref="AK228">_xlfn.IFS(R228&lt;=3000,"Low",R228&lt;=7000,"Mid",R228&lt;=12000,"High",R228&gt;12000,"Top")</f>
        <v>Top</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_xlfn.IFS(A229&lt;=25,"Under 25",A229&lt;=35,"26–35",A229&lt;=45,"36–45",A229&gt;45,"46+")</f>
        <v>26–35</v>
      </c>
      <c r="AK229" t="str" cm="1">
        <f t="array" ref="AK229">_xlfn.IFS(R229&lt;=3000,"Low",R229&lt;=7000,"Mid",R229&lt;=12000,"High",R229&gt;12000,"Top")</f>
        <v>Top</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_xlfn.IFS(A230&lt;=25,"Under 25",A230&lt;=35,"26–35",A230&lt;=45,"36–45",A230&gt;45,"46+")</f>
        <v>26–35</v>
      </c>
      <c r="AK230" t="str" cm="1">
        <f t="array" ref="AK230">_xlfn.IFS(R230&lt;=3000,"Low",R230&lt;=7000,"Mid",R230&lt;=12000,"High",R230&gt;12000,"Top")</f>
        <v>Top</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_xlfn.IFS(A231&lt;=25,"Under 25",A231&lt;=35,"26–35",A231&lt;=45,"36–45",A231&gt;45,"46+")</f>
        <v>26–35</v>
      </c>
      <c r="AK231" t="str" cm="1">
        <f t="array" ref="AK231">_xlfn.IFS(R231&lt;=3000,"Low",R231&lt;=7000,"Mid",R231&lt;=12000,"High",R231&gt;12000,"Top")</f>
        <v>Top</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_xlfn.IFS(A232&lt;=25,"Under 25",A232&lt;=35,"26–35",A232&lt;=45,"36–45",A232&gt;45,"46+")</f>
        <v>46+</v>
      </c>
      <c r="AK232" t="str" cm="1">
        <f t="array" ref="AK232">_xlfn.IFS(R232&lt;=3000,"Low",R232&lt;=7000,"Mid",R232&lt;=12000,"High",R232&gt;12000,"Top")</f>
        <v>Top</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_xlfn.IFS(A233&lt;=25,"Under 25",A233&lt;=35,"26–35",A233&lt;=45,"36–45",A233&gt;45,"46+")</f>
        <v>36–45</v>
      </c>
      <c r="AK233" t="str" cm="1">
        <f t="array" ref="AK233">_xlfn.IFS(R233&lt;=3000,"Low",R233&lt;=7000,"Mid",R233&lt;=12000,"High",R233&gt;12000,"Top")</f>
        <v>Top</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_xlfn.IFS(A234&lt;=25,"Under 25",A234&lt;=35,"26–35",A234&lt;=45,"36–45",A234&gt;45,"46+")</f>
        <v>46+</v>
      </c>
      <c r="AK234" t="str" cm="1">
        <f t="array" ref="AK234">_xlfn.IFS(R234&lt;=3000,"Low",R234&lt;=7000,"Mid",R234&lt;=12000,"High",R234&gt;12000,"Top")</f>
        <v>Top</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_xlfn.IFS(A235&lt;=25,"Under 25",A235&lt;=35,"26–35",A235&lt;=45,"36–45",A235&gt;45,"46+")</f>
        <v>46+</v>
      </c>
      <c r="AK235" t="str" cm="1">
        <f t="array" ref="AK235">_xlfn.IFS(R235&lt;=3000,"Low",R235&lt;=7000,"Mid",R235&lt;=12000,"High",R235&gt;12000,"Top")</f>
        <v>Top</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_xlfn.IFS(A236&lt;=25,"Under 25",A236&lt;=35,"26–35",A236&lt;=45,"36–45",A236&gt;45,"46+")</f>
        <v>26–35</v>
      </c>
      <c r="AK236" t="str" cm="1">
        <f t="array" ref="AK236">_xlfn.IFS(R236&lt;=3000,"Low",R236&lt;=7000,"Mid",R236&lt;=12000,"High",R236&gt;12000,"Top")</f>
        <v>Top</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_xlfn.IFS(A237&lt;=25,"Under 25",A237&lt;=35,"26–35",A237&lt;=45,"36–45",A237&gt;45,"46+")</f>
        <v>36–45</v>
      </c>
      <c r="AK237" t="str" cm="1">
        <f t="array" ref="AK237">_xlfn.IFS(R237&lt;=3000,"Low",R237&lt;=7000,"Mid",R237&lt;=12000,"High",R237&gt;12000,"Top")</f>
        <v>Top</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_xlfn.IFS(A238&lt;=25,"Under 25",A238&lt;=35,"26–35",A238&lt;=45,"36–45",A238&gt;45,"46+")</f>
        <v>26–35</v>
      </c>
      <c r="AK238" t="str" cm="1">
        <f t="array" ref="AK238">_xlfn.IFS(R238&lt;=3000,"Low",R238&lt;=7000,"Mid",R238&lt;=12000,"High",R238&gt;12000,"Top")</f>
        <v>Top</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_xlfn.IFS(A239&lt;=25,"Under 25",A239&lt;=35,"26–35",A239&lt;=45,"36–45",A239&gt;45,"46+")</f>
        <v>46+</v>
      </c>
      <c r="AK239" t="str" cm="1">
        <f t="array" ref="AK239">_xlfn.IFS(R239&lt;=3000,"Low",R239&lt;=7000,"Mid",R239&lt;=12000,"High",R239&gt;12000,"Top")</f>
        <v>Top</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_xlfn.IFS(A240&lt;=25,"Under 25",A240&lt;=35,"26–35",A240&lt;=45,"36–45",A240&gt;45,"46+")</f>
        <v>26–35</v>
      </c>
      <c r="AK240" t="str" cm="1">
        <f t="array" ref="AK240">_xlfn.IFS(R240&lt;=3000,"Low",R240&lt;=7000,"Mid",R240&lt;=12000,"High",R240&gt;12000,"Top")</f>
        <v>Top</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_xlfn.IFS(A241&lt;=25,"Under 25",A241&lt;=35,"26–35",A241&lt;=45,"36–45",A241&gt;45,"46+")</f>
        <v>26–35</v>
      </c>
      <c r="AK241" t="str" cm="1">
        <f t="array" ref="AK241">_xlfn.IFS(R241&lt;=3000,"Low",R241&lt;=7000,"Mid",R241&lt;=12000,"High",R241&gt;12000,"Top")</f>
        <v>Top</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_xlfn.IFS(A242&lt;=25,"Under 25",A242&lt;=35,"26–35",A242&lt;=45,"36–45",A242&gt;45,"46+")</f>
        <v>36–45</v>
      </c>
      <c r="AK242" t="str" cm="1">
        <f t="array" ref="AK242">_xlfn.IFS(R242&lt;=3000,"Low",R242&lt;=7000,"Mid",R242&lt;=12000,"High",R242&gt;12000,"Top")</f>
        <v>Top</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_xlfn.IFS(A243&lt;=25,"Under 25",A243&lt;=35,"26–35",A243&lt;=45,"36–45",A243&gt;45,"46+")</f>
        <v>26–35</v>
      </c>
      <c r="AK243" t="str" cm="1">
        <f t="array" ref="AK243">_xlfn.IFS(R243&lt;=3000,"Low",R243&lt;=7000,"Mid",R243&lt;=12000,"High",R243&gt;12000,"Top")</f>
        <v>Top</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_xlfn.IFS(A244&lt;=25,"Under 25",A244&lt;=35,"26–35",A244&lt;=45,"36–45",A244&gt;45,"46+")</f>
        <v>36–45</v>
      </c>
      <c r="AK244" t="str" cm="1">
        <f t="array" ref="AK244">_xlfn.IFS(R244&lt;=3000,"Low",R244&lt;=7000,"Mid",R244&lt;=12000,"High",R244&gt;12000,"Top")</f>
        <v>Top</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_xlfn.IFS(A245&lt;=25,"Under 25",A245&lt;=35,"26–35",A245&lt;=45,"36–45",A245&gt;45,"46+")</f>
        <v>36–45</v>
      </c>
      <c r="AK245" t="str" cm="1">
        <f t="array" ref="AK245">_xlfn.IFS(R245&lt;=3000,"Low",R245&lt;=7000,"Mid",R245&lt;=12000,"High",R245&gt;12000,"Top")</f>
        <v>Top</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_xlfn.IFS(A246&lt;=25,"Under 25",A246&lt;=35,"26–35",A246&lt;=45,"36–45",A246&gt;45,"46+")</f>
        <v>36–45</v>
      </c>
      <c r="AK246" t="str" cm="1">
        <f t="array" ref="AK246">_xlfn.IFS(R246&lt;=3000,"Low",R246&lt;=7000,"Mid",R246&lt;=12000,"High",R246&gt;12000,"Top")</f>
        <v>Top</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_xlfn.IFS(A247&lt;=25,"Under 25",A247&lt;=35,"26–35",A247&lt;=45,"36–45",A247&gt;45,"46+")</f>
        <v>26–35</v>
      </c>
      <c r="AK247" t="str" cm="1">
        <f t="array" ref="AK247">_xlfn.IFS(R247&lt;=3000,"Low",R247&lt;=7000,"Mid",R247&lt;=12000,"High",R247&gt;12000,"Top")</f>
        <v>Top</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_xlfn.IFS(A248&lt;=25,"Under 25",A248&lt;=35,"26–35",A248&lt;=45,"36–45",A248&gt;45,"46+")</f>
        <v>26–35</v>
      </c>
      <c r="AK248" t="str" cm="1">
        <f t="array" ref="AK248">_xlfn.IFS(R248&lt;=3000,"Low",R248&lt;=7000,"Mid",R248&lt;=12000,"High",R248&gt;12000,"Top")</f>
        <v>Top</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_xlfn.IFS(A249&lt;=25,"Under 25",A249&lt;=35,"26–35",A249&lt;=45,"36–45",A249&gt;45,"46+")</f>
        <v>26–35</v>
      </c>
      <c r="AK249" t="str" cm="1">
        <f t="array" ref="AK249">_xlfn.IFS(R249&lt;=3000,"Low",R249&lt;=7000,"Mid",R249&lt;=12000,"High",R249&gt;12000,"Top")</f>
        <v>Top</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_xlfn.IFS(A250&lt;=25,"Under 25",A250&lt;=35,"26–35",A250&lt;=45,"36–45",A250&gt;45,"46+")</f>
        <v>36–45</v>
      </c>
      <c r="AK250" t="str" cm="1">
        <f t="array" ref="AK250">_xlfn.IFS(R250&lt;=3000,"Low",R250&lt;=7000,"Mid",R250&lt;=12000,"High",R250&gt;12000,"Top")</f>
        <v>Top</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_xlfn.IFS(A251&lt;=25,"Under 25",A251&lt;=35,"26–35",A251&lt;=45,"36–45",A251&gt;45,"46+")</f>
        <v>36–45</v>
      </c>
      <c r="AK251" t="str" cm="1">
        <f t="array" ref="AK251">_xlfn.IFS(R251&lt;=3000,"Low",R251&lt;=7000,"Mid",R251&lt;=12000,"High",R251&gt;12000,"Top")</f>
        <v>Top</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_xlfn.IFS(A252&lt;=25,"Under 25",A252&lt;=35,"26–35",A252&lt;=45,"36–45",A252&gt;45,"46+")</f>
        <v>36–45</v>
      </c>
      <c r="AK252" t="str" cm="1">
        <f t="array" ref="AK252">_xlfn.IFS(R252&lt;=3000,"Low",R252&lt;=7000,"Mid",R252&lt;=12000,"High",R252&gt;12000,"Top")</f>
        <v>Top</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_xlfn.IFS(A253&lt;=25,"Under 25",A253&lt;=35,"26–35",A253&lt;=45,"36–45",A253&gt;45,"46+")</f>
        <v>36–45</v>
      </c>
      <c r="AK253" t="str" cm="1">
        <f t="array" ref="AK253">_xlfn.IFS(R253&lt;=3000,"Low",R253&lt;=7000,"Mid",R253&lt;=12000,"High",R253&gt;12000,"Top")</f>
        <v>Top</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_xlfn.IFS(A254&lt;=25,"Under 25",A254&lt;=35,"26–35",A254&lt;=45,"36–45",A254&gt;45,"46+")</f>
        <v>26–35</v>
      </c>
      <c r="AK254" t="str" cm="1">
        <f t="array" ref="AK254">_xlfn.IFS(R254&lt;=3000,"Low",R254&lt;=7000,"Mid",R254&lt;=12000,"High",R254&gt;12000,"Top")</f>
        <v>Top</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_xlfn.IFS(A255&lt;=25,"Under 25",A255&lt;=35,"26–35",A255&lt;=45,"36–45",A255&gt;45,"46+")</f>
        <v>36–45</v>
      </c>
      <c r="AK255" t="str" cm="1">
        <f t="array" ref="AK255">_xlfn.IFS(R255&lt;=3000,"Low",R255&lt;=7000,"Mid",R255&lt;=12000,"High",R255&gt;12000,"Top")</f>
        <v>Top</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_xlfn.IFS(A256&lt;=25,"Under 25",A256&lt;=35,"26–35",A256&lt;=45,"36–45",A256&gt;45,"46+")</f>
        <v>26–35</v>
      </c>
      <c r="AK256" t="str" cm="1">
        <f t="array" ref="AK256">_xlfn.IFS(R256&lt;=3000,"Low",R256&lt;=7000,"Mid",R256&lt;=12000,"High",R256&gt;12000,"Top")</f>
        <v>Top</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_xlfn.IFS(A257&lt;=25,"Under 25",A257&lt;=35,"26–35",A257&lt;=45,"36–45",A257&gt;45,"46+")</f>
        <v>Under 25</v>
      </c>
      <c r="AK257" t="str" cm="1">
        <f t="array" ref="AK257">_xlfn.IFS(R257&lt;=3000,"Low",R257&lt;=7000,"Mid",R257&lt;=12000,"High",R257&gt;12000,"Top")</f>
        <v>Top</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_xlfn.IFS(A258&lt;=25,"Under 25",A258&lt;=35,"26–35",A258&lt;=45,"36–45",A258&gt;45,"46+")</f>
        <v>36–45</v>
      </c>
      <c r="AK258" t="str" cm="1">
        <f t="array" ref="AK258">_xlfn.IFS(R258&lt;=3000,"Low",R258&lt;=7000,"Mid",R258&lt;=12000,"High",R258&gt;12000,"Top")</f>
        <v>Top</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_xlfn.IFS(A259&lt;=25,"Under 25",A259&lt;=35,"26–35",A259&lt;=45,"36–45",A259&gt;45,"46+")</f>
        <v>36–45</v>
      </c>
      <c r="AK259" t="str" cm="1">
        <f t="array" ref="AK259">_xlfn.IFS(R259&lt;=3000,"Low",R259&lt;=7000,"Mid",R259&lt;=12000,"High",R259&gt;12000,"Top")</f>
        <v>Top</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_xlfn.IFS(A260&lt;=25,"Under 25",A260&lt;=35,"26–35",A260&lt;=45,"36–45",A260&gt;45,"46+")</f>
        <v>46+</v>
      </c>
      <c r="AK260" t="str" cm="1">
        <f t="array" ref="AK260">_xlfn.IFS(R260&lt;=3000,"Low",R260&lt;=7000,"Mid",R260&lt;=12000,"High",R260&gt;12000,"Top")</f>
        <v>Top</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_xlfn.IFS(A261&lt;=25,"Under 25",A261&lt;=35,"26–35",A261&lt;=45,"36–45",A261&gt;45,"46+")</f>
        <v>26–35</v>
      </c>
      <c r="AK261" t="str" cm="1">
        <f t="array" ref="AK261">_xlfn.IFS(R261&lt;=3000,"Low",R261&lt;=7000,"Mid",R261&lt;=12000,"High",R261&gt;12000,"Top")</f>
        <v>Top</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_xlfn.IFS(A262&lt;=25,"Under 25",A262&lt;=35,"26–35",A262&lt;=45,"36–45",A262&gt;45,"46+")</f>
        <v>26–35</v>
      </c>
      <c r="AK262" t="str" cm="1">
        <f t="array" ref="AK262">_xlfn.IFS(R262&lt;=3000,"Low",R262&lt;=7000,"Mid",R262&lt;=12000,"High",R262&gt;12000,"Top")</f>
        <v>Top</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_xlfn.IFS(A263&lt;=25,"Under 25",A263&lt;=35,"26–35",A263&lt;=45,"36–45",A263&gt;45,"46+")</f>
        <v>36–45</v>
      </c>
      <c r="AK263" t="str" cm="1">
        <f t="array" ref="AK263">_xlfn.IFS(R263&lt;=3000,"Low",R263&lt;=7000,"Mid",R263&lt;=12000,"High",R263&gt;12000,"Top")</f>
        <v>Top</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_xlfn.IFS(A264&lt;=25,"Under 25",A264&lt;=35,"26–35",A264&lt;=45,"36–45",A264&gt;45,"46+")</f>
        <v>26–35</v>
      </c>
      <c r="AK264" t="str" cm="1">
        <f t="array" ref="AK264">_xlfn.IFS(R264&lt;=3000,"Low",R264&lt;=7000,"Mid",R264&lt;=12000,"High",R264&gt;12000,"Top")</f>
        <v>Top</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_xlfn.IFS(A265&lt;=25,"Under 25",A265&lt;=35,"26–35",A265&lt;=45,"36–45",A265&gt;45,"46+")</f>
        <v>46+</v>
      </c>
      <c r="AK265" t="str" cm="1">
        <f t="array" ref="AK265">_xlfn.IFS(R265&lt;=3000,"Low",R265&lt;=7000,"Mid",R265&lt;=12000,"High",R265&gt;12000,"Top")</f>
        <v>Top</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_xlfn.IFS(A266&lt;=25,"Under 25",A266&lt;=35,"26–35",A266&lt;=45,"36–45",A266&gt;45,"46+")</f>
        <v>26–35</v>
      </c>
      <c r="AK266" t="str" cm="1">
        <f t="array" ref="AK266">_xlfn.IFS(R266&lt;=3000,"Low",R266&lt;=7000,"Mid",R266&lt;=12000,"High",R266&gt;12000,"Top")</f>
        <v>Top</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_xlfn.IFS(A267&lt;=25,"Under 25",A267&lt;=35,"26–35",A267&lt;=45,"36–45",A267&gt;45,"46+")</f>
        <v>26–35</v>
      </c>
      <c r="AK267" t="str" cm="1">
        <f t="array" ref="AK267">_xlfn.IFS(R267&lt;=3000,"Low",R267&lt;=7000,"Mid",R267&lt;=12000,"High",R267&gt;12000,"Top")</f>
        <v>Top</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_xlfn.IFS(A268&lt;=25,"Under 25",A268&lt;=35,"26–35",A268&lt;=45,"36–45",A268&gt;45,"46+")</f>
        <v>26–35</v>
      </c>
      <c r="AK268" t="str" cm="1">
        <f t="array" ref="AK268">_xlfn.IFS(R268&lt;=3000,"Low",R268&lt;=7000,"Mid",R268&lt;=12000,"High",R268&gt;12000,"Top")</f>
        <v>Top</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_xlfn.IFS(A269&lt;=25,"Under 25",A269&lt;=35,"26–35",A269&lt;=45,"36–45",A269&gt;45,"46+")</f>
        <v>Under 25</v>
      </c>
      <c r="AK269" t="str" cm="1">
        <f t="array" ref="AK269">_xlfn.IFS(R269&lt;=3000,"Low",R269&lt;=7000,"Mid",R269&lt;=12000,"High",R269&gt;12000,"Top")</f>
        <v>Top</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_xlfn.IFS(A270&lt;=25,"Under 25",A270&lt;=35,"26–35",A270&lt;=45,"36–45",A270&gt;45,"46+")</f>
        <v>36–45</v>
      </c>
      <c r="AK270" t="str" cm="1">
        <f t="array" ref="AK270">_xlfn.IFS(R270&lt;=3000,"Low",R270&lt;=7000,"Mid",R270&lt;=12000,"High",R270&gt;12000,"Top")</f>
        <v>Top</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_xlfn.IFS(A271&lt;=25,"Under 25",A271&lt;=35,"26–35",A271&lt;=45,"36–45",A271&gt;45,"46+")</f>
        <v>36–45</v>
      </c>
      <c r="AK271" t="str" cm="1">
        <f t="array" ref="AK271">_xlfn.IFS(R271&lt;=3000,"Low",R271&lt;=7000,"Mid",R271&lt;=12000,"High",R271&gt;12000,"Top")</f>
        <v>Top</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_xlfn.IFS(A272&lt;=25,"Under 25",A272&lt;=35,"26–35",A272&lt;=45,"36–45",A272&gt;45,"46+")</f>
        <v>46+</v>
      </c>
      <c r="AK272" t="str" cm="1">
        <f t="array" ref="AK272">_xlfn.IFS(R272&lt;=3000,"Low",R272&lt;=7000,"Mid",R272&lt;=12000,"High",R272&gt;12000,"Top")</f>
        <v>Top</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_xlfn.IFS(A273&lt;=25,"Under 25",A273&lt;=35,"26–35",A273&lt;=45,"36–45",A273&gt;45,"46+")</f>
        <v>46+</v>
      </c>
      <c r="AK273" t="str" cm="1">
        <f t="array" ref="AK273">_xlfn.IFS(R273&lt;=3000,"Low",R273&lt;=7000,"Mid",R273&lt;=12000,"High",R273&gt;12000,"Top")</f>
        <v>Top</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_xlfn.IFS(A274&lt;=25,"Under 25",A274&lt;=35,"26–35",A274&lt;=45,"36–45",A274&gt;45,"46+")</f>
        <v>26–35</v>
      </c>
      <c r="AK274" t="str" cm="1">
        <f t="array" ref="AK274">_xlfn.IFS(R274&lt;=3000,"Low",R274&lt;=7000,"Mid",R274&lt;=12000,"High",R274&gt;12000,"Top")</f>
        <v>Top</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_xlfn.IFS(A275&lt;=25,"Under 25",A275&lt;=35,"26–35",A275&lt;=45,"36–45",A275&gt;45,"46+")</f>
        <v>36–45</v>
      </c>
      <c r="AK275" t="str" cm="1">
        <f t="array" ref="AK275">_xlfn.IFS(R275&lt;=3000,"Low",R275&lt;=7000,"Mid",R275&lt;=12000,"High",R275&gt;12000,"Top")</f>
        <v>Top</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_xlfn.IFS(A276&lt;=25,"Under 25",A276&lt;=35,"26–35",A276&lt;=45,"36–45",A276&gt;45,"46+")</f>
        <v>Under 25</v>
      </c>
      <c r="AK276" t="str" cm="1">
        <f t="array" ref="AK276">_xlfn.IFS(R276&lt;=3000,"Low",R276&lt;=7000,"Mid",R276&lt;=12000,"High",R276&gt;12000,"Top")</f>
        <v>Top</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_xlfn.IFS(A277&lt;=25,"Under 25",A277&lt;=35,"26–35",A277&lt;=45,"36–45",A277&gt;45,"46+")</f>
        <v>36–45</v>
      </c>
      <c r="AK277" t="str" cm="1">
        <f t="array" ref="AK277">_xlfn.IFS(R277&lt;=3000,"Low",R277&lt;=7000,"Mid",R277&lt;=12000,"High",R277&gt;12000,"Top")</f>
        <v>Top</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_xlfn.IFS(A278&lt;=25,"Under 25",A278&lt;=35,"26–35",A278&lt;=45,"36–45",A278&gt;45,"46+")</f>
        <v>26–35</v>
      </c>
      <c r="AK278" t="str" cm="1">
        <f t="array" ref="AK278">_xlfn.IFS(R278&lt;=3000,"Low",R278&lt;=7000,"Mid",R278&lt;=12000,"High",R278&gt;12000,"Top")</f>
        <v>Top</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_xlfn.IFS(A279&lt;=25,"Under 25",A279&lt;=35,"26–35",A279&lt;=45,"36–45",A279&gt;45,"46+")</f>
        <v>36–45</v>
      </c>
      <c r="AK279" t="str" cm="1">
        <f t="array" ref="AK279">_xlfn.IFS(R279&lt;=3000,"Low",R279&lt;=7000,"Mid",R279&lt;=12000,"High",R279&gt;12000,"Top")</f>
        <v>Top</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_xlfn.IFS(A280&lt;=25,"Under 25",A280&lt;=35,"26–35",A280&lt;=45,"36–45",A280&gt;45,"46+")</f>
        <v>26–35</v>
      </c>
      <c r="AK280" t="str" cm="1">
        <f t="array" ref="AK280">_xlfn.IFS(R280&lt;=3000,"Low",R280&lt;=7000,"Mid",R280&lt;=12000,"High",R280&gt;12000,"Top")</f>
        <v>Top</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_xlfn.IFS(A281&lt;=25,"Under 25",A281&lt;=35,"26–35",A281&lt;=45,"36–45",A281&gt;45,"46+")</f>
        <v>46+</v>
      </c>
      <c r="AK281" t="str" cm="1">
        <f t="array" ref="AK281">_xlfn.IFS(R281&lt;=3000,"Low",R281&lt;=7000,"Mid",R281&lt;=12000,"High",R281&gt;12000,"Top")</f>
        <v>Top</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_xlfn.IFS(A282&lt;=25,"Under 25",A282&lt;=35,"26–35",A282&lt;=45,"36–45",A282&gt;45,"46+")</f>
        <v>46+</v>
      </c>
      <c r="AK282" t="str" cm="1">
        <f t="array" ref="AK282">_xlfn.IFS(R282&lt;=3000,"Low",R282&lt;=7000,"Mid",R282&lt;=12000,"High",R282&gt;12000,"Top")</f>
        <v>Top</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_xlfn.IFS(A283&lt;=25,"Under 25",A283&lt;=35,"26–35",A283&lt;=45,"36–45",A283&gt;45,"46+")</f>
        <v>36–45</v>
      </c>
      <c r="AK283" t="str" cm="1">
        <f t="array" ref="AK283">_xlfn.IFS(R283&lt;=3000,"Low",R283&lt;=7000,"Mid",R283&lt;=12000,"High",R283&gt;12000,"Top")</f>
        <v>Top</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_xlfn.IFS(A284&lt;=25,"Under 25",A284&lt;=35,"26–35",A284&lt;=45,"36–45",A284&gt;45,"46+")</f>
        <v>26–35</v>
      </c>
      <c r="AK284" t="str" cm="1">
        <f t="array" ref="AK284">_xlfn.IFS(R284&lt;=3000,"Low",R284&lt;=7000,"Mid",R284&lt;=12000,"High",R284&gt;12000,"Top")</f>
        <v>Top</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_xlfn.IFS(A285&lt;=25,"Under 25",A285&lt;=35,"26–35",A285&lt;=45,"36–45",A285&gt;45,"46+")</f>
        <v>46+</v>
      </c>
      <c r="AK285" t="str" cm="1">
        <f t="array" ref="AK285">_xlfn.IFS(R285&lt;=3000,"Low",R285&lt;=7000,"Mid",R285&lt;=12000,"High",R285&gt;12000,"Top")</f>
        <v>Top</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_xlfn.IFS(A286&lt;=25,"Under 25",A286&lt;=35,"26–35",A286&lt;=45,"36–45",A286&gt;45,"46+")</f>
        <v>26–35</v>
      </c>
      <c r="AK286" t="str" cm="1">
        <f t="array" ref="AK286">_xlfn.IFS(R286&lt;=3000,"Low",R286&lt;=7000,"Mid",R286&lt;=12000,"High",R286&gt;12000,"Top")</f>
        <v>Top</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_xlfn.IFS(A287&lt;=25,"Under 25",A287&lt;=35,"26–35",A287&lt;=45,"36–45",A287&gt;45,"46+")</f>
        <v>36–45</v>
      </c>
      <c r="AK287" t="str" cm="1">
        <f t="array" ref="AK287">_xlfn.IFS(R287&lt;=3000,"Low",R287&lt;=7000,"Mid",R287&lt;=12000,"High",R287&gt;12000,"Top")</f>
        <v>Top</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_xlfn.IFS(A288&lt;=25,"Under 25",A288&lt;=35,"26–35",A288&lt;=45,"36–45",A288&gt;45,"46+")</f>
        <v>36–45</v>
      </c>
      <c r="AK288" t="str" cm="1">
        <f t="array" ref="AK288">_xlfn.IFS(R288&lt;=3000,"Low",R288&lt;=7000,"Mid",R288&lt;=12000,"High",R288&gt;12000,"Top")</f>
        <v>Top</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_xlfn.IFS(A289&lt;=25,"Under 25",A289&lt;=35,"26–35",A289&lt;=45,"36–45",A289&gt;45,"46+")</f>
        <v>36–45</v>
      </c>
      <c r="AK289" t="str" cm="1">
        <f t="array" ref="AK289">_xlfn.IFS(R289&lt;=3000,"Low",R289&lt;=7000,"Mid",R289&lt;=12000,"High",R289&gt;12000,"Top")</f>
        <v>Top</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_xlfn.IFS(A290&lt;=25,"Under 25",A290&lt;=35,"26–35",A290&lt;=45,"36–45",A290&gt;45,"46+")</f>
        <v>26–35</v>
      </c>
      <c r="AK290" t="str" cm="1">
        <f t="array" ref="AK290">_xlfn.IFS(R290&lt;=3000,"Low",R290&lt;=7000,"Mid",R290&lt;=12000,"High",R290&gt;12000,"Top")</f>
        <v>Top</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_xlfn.IFS(A291&lt;=25,"Under 25",A291&lt;=35,"26–35",A291&lt;=45,"36–45",A291&gt;45,"46+")</f>
        <v>26–35</v>
      </c>
      <c r="AK291" t="str" cm="1">
        <f t="array" ref="AK291">_xlfn.IFS(R291&lt;=3000,"Low",R291&lt;=7000,"Mid",R291&lt;=12000,"High",R291&gt;12000,"Top")</f>
        <v>Top</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_xlfn.IFS(A292&lt;=25,"Under 25",A292&lt;=35,"26–35",A292&lt;=45,"36–45",A292&gt;45,"46+")</f>
        <v>46+</v>
      </c>
      <c r="AK292" t="str" cm="1">
        <f t="array" ref="AK292">_xlfn.IFS(R292&lt;=3000,"Low",R292&lt;=7000,"Mid",R292&lt;=12000,"High",R292&gt;12000,"Top")</f>
        <v>Top</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_xlfn.IFS(A293&lt;=25,"Under 25",A293&lt;=35,"26–35",A293&lt;=45,"36–45",A293&gt;45,"46+")</f>
        <v>36–45</v>
      </c>
      <c r="AK293" t="str" cm="1">
        <f t="array" ref="AK293">_xlfn.IFS(R293&lt;=3000,"Low",R293&lt;=7000,"Mid",R293&lt;=12000,"High",R293&gt;12000,"Top")</f>
        <v>Top</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_xlfn.IFS(A294&lt;=25,"Under 25",A294&lt;=35,"26–35",A294&lt;=45,"36–45",A294&gt;45,"46+")</f>
        <v>26–35</v>
      </c>
      <c r="AK294" t="str" cm="1">
        <f t="array" ref="AK294">_xlfn.IFS(R294&lt;=3000,"Low",R294&lt;=7000,"Mid",R294&lt;=12000,"High",R294&gt;12000,"Top")</f>
        <v>Top</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_xlfn.IFS(A295&lt;=25,"Under 25",A295&lt;=35,"26–35",A295&lt;=45,"36–45",A295&gt;45,"46+")</f>
        <v>26–35</v>
      </c>
      <c r="AK295" t="str" cm="1">
        <f t="array" ref="AK295">_xlfn.IFS(R295&lt;=3000,"Low",R295&lt;=7000,"Mid",R295&lt;=12000,"High",R295&gt;12000,"Top")</f>
        <v>Top</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_xlfn.IFS(A296&lt;=25,"Under 25",A296&lt;=35,"26–35",A296&lt;=45,"36–45",A296&gt;45,"46+")</f>
        <v>36–45</v>
      </c>
      <c r="AK296" t="str" cm="1">
        <f t="array" ref="AK296">_xlfn.IFS(R296&lt;=3000,"Low",R296&lt;=7000,"Mid",R296&lt;=12000,"High",R296&gt;12000,"Top")</f>
        <v>Top</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_xlfn.IFS(A297&lt;=25,"Under 25",A297&lt;=35,"26–35",A297&lt;=45,"36–45",A297&gt;45,"46+")</f>
        <v>36–45</v>
      </c>
      <c r="AK297" t="str" cm="1">
        <f t="array" ref="AK297">_xlfn.IFS(R297&lt;=3000,"Low",R297&lt;=7000,"Mid",R297&lt;=12000,"High",R297&gt;12000,"Top")</f>
        <v>Top</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_xlfn.IFS(A298&lt;=25,"Under 25",A298&lt;=35,"26–35",A298&lt;=45,"36–45",A298&gt;45,"46+")</f>
        <v>Under 25</v>
      </c>
      <c r="AK298" t="str" cm="1">
        <f t="array" ref="AK298">_xlfn.IFS(R298&lt;=3000,"Low",R298&lt;=7000,"Mid",R298&lt;=12000,"High",R298&gt;12000,"Top")</f>
        <v>Top</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_xlfn.IFS(A299&lt;=25,"Under 25",A299&lt;=35,"26–35",A299&lt;=45,"36–45",A299&gt;45,"46+")</f>
        <v>26–35</v>
      </c>
      <c r="AK299" t="str" cm="1">
        <f t="array" ref="AK299">_xlfn.IFS(R299&lt;=3000,"Low",R299&lt;=7000,"Mid",R299&lt;=12000,"High",R299&gt;12000,"Top")</f>
        <v>Top</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_xlfn.IFS(A300&lt;=25,"Under 25",A300&lt;=35,"26–35",A300&lt;=45,"36–45",A300&gt;45,"46+")</f>
        <v>36–45</v>
      </c>
      <c r="AK300" t="str" cm="1">
        <f t="array" ref="AK300">_xlfn.IFS(R300&lt;=3000,"Low",R300&lt;=7000,"Mid",R300&lt;=12000,"High",R300&gt;12000,"Top")</f>
        <v>Top</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_xlfn.IFS(A301&lt;=25,"Under 25",A301&lt;=35,"26–35",A301&lt;=45,"36–45",A301&gt;45,"46+")</f>
        <v>46+</v>
      </c>
      <c r="AK301" t="str" cm="1">
        <f t="array" ref="AK301">_xlfn.IFS(R301&lt;=3000,"Low",R301&lt;=7000,"Mid",R301&lt;=12000,"High",R301&gt;12000,"Top")</f>
        <v>Top</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_xlfn.IFS(A302&lt;=25,"Under 25",A302&lt;=35,"26–35",A302&lt;=45,"36–45",A302&gt;45,"46+")</f>
        <v>36–45</v>
      </c>
      <c r="AK302" t="str" cm="1">
        <f t="array" ref="AK302">_xlfn.IFS(R302&lt;=3000,"Low",R302&lt;=7000,"Mid",R302&lt;=12000,"High",R302&gt;12000,"Top")</f>
        <v>Top</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_xlfn.IFS(A303&lt;=25,"Under 25",A303&lt;=35,"26–35",A303&lt;=45,"36–45",A303&gt;45,"46+")</f>
        <v>Under 25</v>
      </c>
      <c r="AK303" t="str" cm="1">
        <f t="array" ref="AK303">_xlfn.IFS(R303&lt;=3000,"Low",R303&lt;=7000,"Mid",R303&lt;=12000,"High",R303&gt;12000,"Top")</f>
        <v>Top</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_xlfn.IFS(A304&lt;=25,"Under 25",A304&lt;=35,"26–35",A304&lt;=45,"36–45",A304&gt;45,"46+")</f>
        <v>26–35</v>
      </c>
      <c r="AK304" t="str" cm="1">
        <f t="array" ref="AK304">_xlfn.IFS(R304&lt;=3000,"Low",R304&lt;=7000,"Mid",R304&lt;=12000,"High",R304&gt;12000,"Top")</f>
        <v>Top</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_xlfn.IFS(A305&lt;=25,"Under 25",A305&lt;=35,"26–35",A305&lt;=45,"36–45",A305&gt;45,"46+")</f>
        <v>26–35</v>
      </c>
      <c r="AK305" t="str" cm="1">
        <f t="array" ref="AK305">_xlfn.IFS(R305&lt;=3000,"Low",R305&lt;=7000,"Mid",R305&lt;=12000,"High",R305&gt;12000,"Top")</f>
        <v>Top</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_xlfn.IFS(A306&lt;=25,"Under 25",A306&lt;=35,"26–35",A306&lt;=45,"36–45",A306&gt;45,"46+")</f>
        <v>36–45</v>
      </c>
      <c r="AK306" t="str" cm="1">
        <f t="array" ref="AK306">_xlfn.IFS(R306&lt;=3000,"Low",R306&lt;=7000,"Mid",R306&lt;=12000,"High",R306&gt;12000,"Top")</f>
        <v>Top</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_xlfn.IFS(A307&lt;=25,"Under 25",A307&lt;=35,"26–35",A307&lt;=45,"36–45",A307&gt;45,"46+")</f>
        <v>36–45</v>
      </c>
      <c r="AK307" t="str" cm="1">
        <f t="array" ref="AK307">_xlfn.IFS(R307&lt;=3000,"Low",R307&lt;=7000,"Mid",R307&lt;=12000,"High",R307&gt;12000,"Top")</f>
        <v>Top</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_xlfn.IFS(A308&lt;=25,"Under 25",A308&lt;=35,"26–35",A308&lt;=45,"36–45",A308&gt;45,"46+")</f>
        <v>26–35</v>
      </c>
      <c r="AK308" t="str" cm="1">
        <f t="array" ref="AK308">_xlfn.IFS(R308&lt;=3000,"Low",R308&lt;=7000,"Mid",R308&lt;=12000,"High",R308&gt;12000,"Top")</f>
        <v>Top</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_xlfn.IFS(A309&lt;=25,"Under 25",A309&lt;=35,"26–35",A309&lt;=45,"36–45",A309&gt;45,"46+")</f>
        <v>36–45</v>
      </c>
      <c r="AK309" t="str" cm="1">
        <f t="array" ref="AK309">_xlfn.IFS(R309&lt;=3000,"Low",R309&lt;=7000,"Mid",R309&lt;=12000,"High",R309&gt;12000,"Top")</f>
        <v>Top</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_xlfn.IFS(A310&lt;=25,"Under 25",A310&lt;=35,"26–35",A310&lt;=45,"36–45",A310&gt;45,"46+")</f>
        <v>46+</v>
      </c>
      <c r="AK310" t="str" cm="1">
        <f t="array" ref="AK310">_xlfn.IFS(R310&lt;=3000,"Low",R310&lt;=7000,"Mid",R310&lt;=12000,"High",R310&gt;12000,"Top")</f>
        <v>Top</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_xlfn.IFS(A311&lt;=25,"Under 25",A311&lt;=35,"26–35",A311&lt;=45,"36–45",A311&gt;45,"46+")</f>
        <v>26–35</v>
      </c>
      <c r="AK311" t="str" cm="1">
        <f t="array" ref="AK311">_xlfn.IFS(R311&lt;=3000,"Low",R311&lt;=7000,"Mid",R311&lt;=12000,"High",R311&gt;12000,"Top")</f>
        <v>Top</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_xlfn.IFS(A312&lt;=25,"Under 25",A312&lt;=35,"26–35",A312&lt;=45,"36–45",A312&gt;45,"46+")</f>
        <v>26–35</v>
      </c>
      <c r="AK312" t="str" cm="1">
        <f t="array" ref="AK312">_xlfn.IFS(R312&lt;=3000,"Low",R312&lt;=7000,"Mid",R312&lt;=12000,"High",R312&gt;12000,"Top")</f>
        <v>Top</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_xlfn.IFS(A313&lt;=25,"Under 25",A313&lt;=35,"26–35",A313&lt;=45,"36–45",A313&gt;45,"46+")</f>
        <v>36–45</v>
      </c>
      <c r="AK313" t="str" cm="1">
        <f t="array" ref="AK313">_xlfn.IFS(R313&lt;=3000,"Low",R313&lt;=7000,"Mid",R313&lt;=12000,"High",R313&gt;12000,"Top")</f>
        <v>Top</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_xlfn.IFS(A314&lt;=25,"Under 25",A314&lt;=35,"26–35",A314&lt;=45,"36–45",A314&gt;45,"46+")</f>
        <v>26–35</v>
      </c>
      <c r="AK314" t="str" cm="1">
        <f t="array" ref="AK314">_xlfn.IFS(R314&lt;=3000,"Low",R314&lt;=7000,"Mid",R314&lt;=12000,"High",R314&gt;12000,"Top")</f>
        <v>Top</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_xlfn.IFS(A315&lt;=25,"Under 25",A315&lt;=35,"26–35",A315&lt;=45,"36–45",A315&gt;45,"46+")</f>
        <v>26–35</v>
      </c>
      <c r="AK315" t="str" cm="1">
        <f t="array" ref="AK315">_xlfn.IFS(R315&lt;=3000,"Low",R315&lt;=7000,"Mid",R315&lt;=12000,"High",R315&gt;12000,"Top")</f>
        <v>Top</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_xlfn.IFS(A316&lt;=25,"Under 25",A316&lt;=35,"26–35",A316&lt;=45,"36–45",A316&gt;45,"46+")</f>
        <v>36–45</v>
      </c>
      <c r="AK316" t="str" cm="1">
        <f t="array" ref="AK316">_xlfn.IFS(R316&lt;=3000,"Low",R316&lt;=7000,"Mid",R316&lt;=12000,"High",R316&gt;12000,"Top")</f>
        <v>Top</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_xlfn.IFS(A317&lt;=25,"Under 25",A317&lt;=35,"26–35",A317&lt;=45,"36–45",A317&gt;45,"46+")</f>
        <v>36–45</v>
      </c>
      <c r="AK317" t="str" cm="1">
        <f t="array" ref="AK317">_xlfn.IFS(R317&lt;=3000,"Low",R317&lt;=7000,"Mid",R317&lt;=12000,"High",R317&gt;12000,"Top")</f>
        <v>Top</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_xlfn.IFS(A318&lt;=25,"Under 25",A318&lt;=35,"26–35",A318&lt;=45,"36–45",A318&gt;45,"46+")</f>
        <v>46+</v>
      </c>
      <c r="AK318" t="str" cm="1">
        <f t="array" ref="AK318">_xlfn.IFS(R318&lt;=3000,"Low",R318&lt;=7000,"Mid",R318&lt;=12000,"High",R318&gt;12000,"Top")</f>
        <v>Top</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_xlfn.IFS(A319&lt;=25,"Under 25",A319&lt;=35,"26–35",A319&lt;=45,"36–45",A319&gt;45,"46+")</f>
        <v>46+</v>
      </c>
      <c r="AK319" t="str" cm="1">
        <f t="array" ref="AK319">_xlfn.IFS(R319&lt;=3000,"Low",R319&lt;=7000,"Mid",R319&lt;=12000,"High",R319&gt;12000,"Top")</f>
        <v>Top</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_xlfn.IFS(A320&lt;=25,"Under 25",A320&lt;=35,"26–35",A320&lt;=45,"36–45",A320&gt;45,"46+")</f>
        <v>26–35</v>
      </c>
      <c r="AK320" t="str" cm="1">
        <f t="array" ref="AK320">_xlfn.IFS(R320&lt;=3000,"Low",R320&lt;=7000,"Mid",R320&lt;=12000,"High",R320&gt;12000,"Top")</f>
        <v>Top</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_xlfn.IFS(A321&lt;=25,"Under 25",A321&lt;=35,"26–35",A321&lt;=45,"36–45",A321&gt;45,"46+")</f>
        <v>26–35</v>
      </c>
      <c r="AK321" t="str" cm="1">
        <f t="array" ref="AK321">_xlfn.IFS(R321&lt;=3000,"Low",R321&lt;=7000,"Mid",R321&lt;=12000,"High",R321&gt;12000,"Top")</f>
        <v>Top</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_xlfn.IFS(A322&lt;=25,"Under 25",A322&lt;=35,"26–35",A322&lt;=45,"36–45",A322&gt;45,"46+")</f>
        <v>26–35</v>
      </c>
      <c r="AK322" t="str" cm="1">
        <f t="array" ref="AK322">_xlfn.IFS(R322&lt;=3000,"Low",R322&lt;=7000,"Mid",R322&lt;=12000,"High",R322&gt;12000,"Top")</f>
        <v>Top</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_xlfn.IFS(A323&lt;=25,"Under 25",A323&lt;=35,"26–35",A323&lt;=45,"36–45",A323&gt;45,"46+")</f>
        <v>26–35</v>
      </c>
      <c r="AK323" t="str" cm="1">
        <f t="array" ref="AK323">_xlfn.IFS(R323&lt;=3000,"Low",R323&lt;=7000,"Mid",R323&lt;=12000,"High",R323&gt;12000,"Top")</f>
        <v>Top</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_xlfn.IFS(A324&lt;=25,"Under 25",A324&lt;=35,"26–35",A324&lt;=45,"36–45",A324&gt;45,"46+")</f>
        <v>26–35</v>
      </c>
      <c r="AK324" t="str" cm="1">
        <f t="array" ref="AK324">_xlfn.IFS(R324&lt;=3000,"Low",R324&lt;=7000,"Mid",R324&lt;=12000,"High",R324&gt;12000,"Top")</f>
        <v>Top</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_xlfn.IFS(A325&lt;=25,"Under 25",A325&lt;=35,"26–35",A325&lt;=45,"36–45",A325&gt;45,"46+")</f>
        <v>26–35</v>
      </c>
      <c r="AK325" t="str" cm="1">
        <f t="array" ref="AK325">_xlfn.IFS(R325&lt;=3000,"Low",R325&lt;=7000,"Mid",R325&lt;=12000,"High",R325&gt;12000,"Top")</f>
        <v>Top</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_xlfn.IFS(A326&lt;=25,"Under 25",A326&lt;=35,"26–35",A326&lt;=45,"36–45",A326&gt;45,"46+")</f>
        <v>26–35</v>
      </c>
      <c r="AK326" t="str" cm="1">
        <f t="array" ref="AK326">_xlfn.IFS(R326&lt;=3000,"Low",R326&lt;=7000,"Mid",R326&lt;=12000,"High",R326&gt;12000,"Top")</f>
        <v>Top</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_xlfn.IFS(A327&lt;=25,"Under 25",A327&lt;=35,"26–35",A327&lt;=45,"36–45",A327&gt;45,"46+")</f>
        <v>26–35</v>
      </c>
      <c r="AK327" t="str" cm="1">
        <f t="array" ref="AK327">_xlfn.IFS(R327&lt;=3000,"Low",R327&lt;=7000,"Mid",R327&lt;=12000,"High",R327&gt;12000,"Top")</f>
        <v>Top</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_xlfn.IFS(A328&lt;=25,"Under 25",A328&lt;=35,"26–35",A328&lt;=45,"36–45",A328&gt;45,"46+")</f>
        <v>36–45</v>
      </c>
      <c r="AK328" t="str" cm="1">
        <f t="array" ref="AK328">_xlfn.IFS(R328&lt;=3000,"Low",R328&lt;=7000,"Mid",R328&lt;=12000,"High",R328&gt;12000,"Top")</f>
        <v>Top</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_xlfn.IFS(A329&lt;=25,"Under 25",A329&lt;=35,"26–35",A329&lt;=45,"36–45",A329&gt;45,"46+")</f>
        <v>36–45</v>
      </c>
      <c r="AK329" t="str" cm="1">
        <f t="array" ref="AK329">_xlfn.IFS(R329&lt;=3000,"Low",R329&lt;=7000,"Mid",R329&lt;=12000,"High",R329&gt;12000,"Top")</f>
        <v>Top</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_xlfn.IFS(A330&lt;=25,"Under 25",A330&lt;=35,"26–35",A330&lt;=45,"36–45",A330&gt;45,"46+")</f>
        <v>26–35</v>
      </c>
      <c r="AK330" t="str" cm="1">
        <f t="array" ref="AK330">_xlfn.IFS(R330&lt;=3000,"Low",R330&lt;=7000,"Mid",R330&lt;=12000,"High",R330&gt;12000,"Top")</f>
        <v>Top</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_xlfn.IFS(A331&lt;=25,"Under 25",A331&lt;=35,"26–35",A331&lt;=45,"36–45",A331&gt;45,"46+")</f>
        <v>46+</v>
      </c>
      <c r="AK331" t="str" cm="1">
        <f t="array" ref="AK331">_xlfn.IFS(R331&lt;=3000,"Low",R331&lt;=7000,"Mid",R331&lt;=12000,"High",R331&gt;12000,"Top")</f>
        <v>Top</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_xlfn.IFS(A332&lt;=25,"Under 25",A332&lt;=35,"26–35",A332&lt;=45,"36–45",A332&gt;45,"46+")</f>
        <v>36–45</v>
      </c>
      <c r="AK332" t="str" cm="1">
        <f t="array" ref="AK332">_xlfn.IFS(R332&lt;=3000,"Low",R332&lt;=7000,"Mid",R332&lt;=12000,"High",R332&gt;12000,"Top")</f>
        <v>Top</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_xlfn.IFS(A333&lt;=25,"Under 25",A333&lt;=35,"26–35",A333&lt;=45,"36–45",A333&gt;45,"46+")</f>
        <v>26–35</v>
      </c>
      <c r="AK333" t="str" cm="1">
        <f t="array" ref="AK333">_xlfn.IFS(R333&lt;=3000,"Low",R333&lt;=7000,"Mid",R333&lt;=12000,"High",R333&gt;12000,"Top")</f>
        <v>Top</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_xlfn.IFS(A334&lt;=25,"Under 25",A334&lt;=35,"26–35",A334&lt;=45,"36–45",A334&gt;45,"46+")</f>
        <v>46+</v>
      </c>
      <c r="AK334" t="str" cm="1">
        <f t="array" ref="AK334">_xlfn.IFS(R334&lt;=3000,"Low",R334&lt;=7000,"Mid",R334&lt;=12000,"High",R334&gt;12000,"Top")</f>
        <v>Top</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_xlfn.IFS(A335&lt;=25,"Under 25",A335&lt;=35,"26–35",A335&lt;=45,"36–45",A335&gt;45,"46+")</f>
        <v>36–45</v>
      </c>
      <c r="AK335" t="str" cm="1">
        <f t="array" ref="AK335">_xlfn.IFS(R335&lt;=3000,"Low",R335&lt;=7000,"Mid",R335&lt;=12000,"High",R335&gt;12000,"Top")</f>
        <v>Top</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_xlfn.IFS(A336&lt;=25,"Under 25",A336&lt;=35,"26–35",A336&lt;=45,"36–45",A336&gt;45,"46+")</f>
        <v>36–45</v>
      </c>
      <c r="AK336" t="str" cm="1">
        <f t="array" ref="AK336">_xlfn.IFS(R336&lt;=3000,"Low",R336&lt;=7000,"Mid",R336&lt;=12000,"High",R336&gt;12000,"Top")</f>
        <v>Top</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_xlfn.IFS(A337&lt;=25,"Under 25",A337&lt;=35,"26–35",A337&lt;=45,"36–45",A337&gt;45,"46+")</f>
        <v>36–45</v>
      </c>
      <c r="AK337" t="str" cm="1">
        <f t="array" ref="AK337">_xlfn.IFS(R337&lt;=3000,"Low",R337&lt;=7000,"Mid",R337&lt;=12000,"High",R337&gt;12000,"Top")</f>
        <v>Top</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_xlfn.IFS(A338&lt;=25,"Under 25",A338&lt;=35,"26–35",A338&lt;=45,"36–45",A338&gt;45,"46+")</f>
        <v>26–35</v>
      </c>
      <c r="AK338" t="str" cm="1">
        <f t="array" ref="AK338">_xlfn.IFS(R338&lt;=3000,"Low",R338&lt;=7000,"Mid",R338&lt;=12000,"High",R338&gt;12000,"Top")</f>
        <v>Top</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_xlfn.IFS(A339&lt;=25,"Under 25",A339&lt;=35,"26–35",A339&lt;=45,"36–45",A339&gt;45,"46+")</f>
        <v>26–35</v>
      </c>
      <c r="AK339" t="str" cm="1">
        <f t="array" ref="AK339">_xlfn.IFS(R339&lt;=3000,"Low",R339&lt;=7000,"Mid",R339&lt;=12000,"High",R339&gt;12000,"Top")</f>
        <v>Top</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_xlfn.IFS(A340&lt;=25,"Under 25",A340&lt;=35,"26–35",A340&lt;=45,"36–45",A340&gt;45,"46+")</f>
        <v>26–35</v>
      </c>
      <c r="AK340" t="str" cm="1">
        <f t="array" ref="AK340">_xlfn.IFS(R340&lt;=3000,"Low",R340&lt;=7000,"Mid",R340&lt;=12000,"High",R340&gt;12000,"Top")</f>
        <v>Top</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_xlfn.IFS(A341&lt;=25,"Under 25",A341&lt;=35,"26–35",A341&lt;=45,"36–45",A341&gt;45,"46+")</f>
        <v>26–35</v>
      </c>
      <c r="AK341" t="str" cm="1">
        <f t="array" ref="AK341">_xlfn.IFS(R341&lt;=3000,"Low",R341&lt;=7000,"Mid",R341&lt;=12000,"High",R341&gt;12000,"Top")</f>
        <v>Top</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_xlfn.IFS(A342&lt;=25,"Under 25",A342&lt;=35,"26–35",A342&lt;=45,"36–45",A342&gt;45,"46+")</f>
        <v>36–45</v>
      </c>
      <c r="AK342" t="str" cm="1">
        <f t="array" ref="AK342">_xlfn.IFS(R342&lt;=3000,"Low",R342&lt;=7000,"Mid",R342&lt;=12000,"High",R342&gt;12000,"Top")</f>
        <v>Top</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_xlfn.IFS(A343&lt;=25,"Under 25",A343&lt;=35,"26–35",A343&lt;=45,"36–45",A343&gt;45,"46+")</f>
        <v>36–45</v>
      </c>
      <c r="AK343" t="str" cm="1">
        <f t="array" ref="AK343">_xlfn.IFS(R343&lt;=3000,"Low",R343&lt;=7000,"Mid",R343&lt;=12000,"High",R343&gt;12000,"Top")</f>
        <v>Top</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_xlfn.IFS(A344&lt;=25,"Under 25",A344&lt;=35,"26–35",A344&lt;=45,"36–45",A344&gt;45,"46+")</f>
        <v>26–35</v>
      </c>
      <c r="AK344" t="str" cm="1">
        <f t="array" ref="AK344">_xlfn.IFS(R344&lt;=3000,"Low",R344&lt;=7000,"Mid",R344&lt;=12000,"High",R344&gt;12000,"Top")</f>
        <v>Top</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_xlfn.IFS(A345&lt;=25,"Under 25",A345&lt;=35,"26–35",A345&lt;=45,"36–45",A345&gt;45,"46+")</f>
        <v>26–35</v>
      </c>
      <c r="AK345" t="str" cm="1">
        <f t="array" ref="AK345">_xlfn.IFS(R345&lt;=3000,"Low",R345&lt;=7000,"Mid",R345&lt;=12000,"High",R345&gt;12000,"Top")</f>
        <v>Top</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_xlfn.IFS(A346&lt;=25,"Under 25",A346&lt;=35,"26–35",A346&lt;=45,"36–45",A346&gt;45,"46+")</f>
        <v>26–35</v>
      </c>
      <c r="AK346" t="str" cm="1">
        <f t="array" ref="AK346">_xlfn.IFS(R346&lt;=3000,"Low",R346&lt;=7000,"Mid",R346&lt;=12000,"High",R346&gt;12000,"Top")</f>
        <v>Top</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_xlfn.IFS(A347&lt;=25,"Under 25",A347&lt;=35,"26–35",A347&lt;=45,"36–45",A347&gt;45,"46+")</f>
        <v>Under 25</v>
      </c>
      <c r="AK347" t="str" cm="1">
        <f t="array" ref="AK347">_xlfn.IFS(R347&lt;=3000,"Low",R347&lt;=7000,"Mid",R347&lt;=12000,"High",R347&gt;12000,"Top")</f>
        <v>Top</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_xlfn.IFS(A348&lt;=25,"Under 25",A348&lt;=35,"26–35",A348&lt;=45,"36–45",A348&gt;45,"46+")</f>
        <v>36–45</v>
      </c>
      <c r="AK348" t="str" cm="1">
        <f t="array" ref="AK348">_xlfn.IFS(R348&lt;=3000,"Low",R348&lt;=7000,"Mid",R348&lt;=12000,"High",R348&gt;12000,"Top")</f>
        <v>Top</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_xlfn.IFS(A349&lt;=25,"Under 25",A349&lt;=35,"26–35",A349&lt;=45,"36–45",A349&gt;45,"46+")</f>
        <v>46+</v>
      </c>
      <c r="AK349" t="str" cm="1">
        <f t="array" ref="AK349">_xlfn.IFS(R349&lt;=3000,"Low",R349&lt;=7000,"Mid",R349&lt;=12000,"High",R349&gt;12000,"Top")</f>
        <v>Top</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_xlfn.IFS(A350&lt;=25,"Under 25",A350&lt;=35,"26–35",A350&lt;=45,"36–45",A350&gt;45,"46+")</f>
        <v>36–45</v>
      </c>
      <c r="AK350" t="str" cm="1">
        <f t="array" ref="AK350">_xlfn.IFS(R350&lt;=3000,"Low",R350&lt;=7000,"Mid",R350&lt;=12000,"High",R350&gt;12000,"Top")</f>
        <v>Top</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_xlfn.IFS(A351&lt;=25,"Under 25",A351&lt;=35,"26–35",A351&lt;=45,"36–45",A351&gt;45,"46+")</f>
        <v>26–35</v>
      </c>
      <c r="AK351" t="str" cm="1">
        <f t="array" ref="AK351">_xlfn.IFS(R351&lt;=3000,"Low",R351&lt;=7000,"Mid",R351&lt;=12000,"High",R351&gt;12000,"Top")</f>
        <v>Top</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_xlfn.IFS(A352&lt;=25,"Under 25",A352&lt;=35,"26–35",A352&lt;=45,"36–45",A352&gt;45,"46+")</f>
        <v>36–45</v>
      </c>
      <c r="AK352" t="str" cm="1">
        <f t="array" ref="AK352">_xlfn.IFS(R352&lt;=3000,"Low",R352&lt;=7000,"Mid",R352&lt;=12000,"High",R352&gt;12000,"Top")</f>
        <v>Top</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_xlfn.IFS(A353&lt;=25,"Under 25",A353&lt;=35,"26–35",A353&lt;=45,"36–45",A353&gt;45,"46+")</f>
        <v>26–35</v>
      </c>
      <c r="AK353" t="str" cm="1">
        <f t="array" ref="AK353">_xlfn.IFS(R353&lt;=3000,"Low",R353&lt;=7000,"Mid",R353&lt;=12000,"High",R353&gt;12000,"Top")</f>
        <v>Top</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_xlfn.IFS(A354&lt;=25,"Under 25",A354&lt;=35,"26–35",A354&lt;=45,"36–45",A354&gt;45,"46+")</f>
        <v>46+</v>
      </c>
      <c r="AK354" t="str" cm="1">
        <f t="array" ref="AK354">_xlfn.IFS(R354&lt;=3000,"Low",R354&lt;=7000,"Mid",R354&lt;=12000,"High",R354&gt;12000,"Top")</f>
        <v>Top</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_xlfn.IFS(A355&lt;=25,"Under 25",A355&lt;=35,"26–35",A355&lt;=45,"36–45",A355&gt;45,"46+")</f>
        <v>36–45</v>
      </c>
      <c r="AK355" t="str" cm="1">
        <f t="array" ref="AK355">_xlfn.IFS(R355&lt;=3000,"Low",R355&lt;=7000,"Mid",R355&lt;=12000,"High",R355&gt;12000,"Top")</f>
        <v>Top</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_xlfn.IFS(A356&lt;=25,"Under 25",A356&lt;=35,"26–35",A356&lt;=45,"36–45",A356&gt;45,"46+")</f>
        <v>26–35</v>
      </c>
      <c r="AK356" t="str" cm="1">
        <f t="array" ref="AK356">_xlfn.IFS(R356&lt;=3000,"Low",R356&lt;=7000,"Mid",R356&lt;=12000,"High",R356&gt;12000,"Top")</f>
        <v>Top</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_xlfn.IFS(A357&lt;=25,"Under 25",A357&lt;=35,"26–35",A357&lt;=45,"36–45",A357&gt;45,"46+")</f>
        <v>26–35</v>
      </c>
      <c r="AK357" t="str" cm="1">
        <f t="array" ref="AK357">_xlfn.IFS(R357&lt;=3000,"Low",R357&lt;=7000,"Mid",R357&lt;=12000,"High",R357&gt;12000,"Top")</f>
        <v>Top</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_xlfn.IFS(A358&lt;=25,"Under 25",A358&lt;=35,"26–35",A358&lt;=45,"36–45",A358&gt;45,"46+")</f>
        <v>36–45</v>
      </c>
      <c r="AK358" t="str" cm="1">
        <f t="array" ref="AK358">_xlfn.IFS(R358&lt;=3000,"Low",R358&lt;=7000,"Mid",R358&lt;=12000,"High",R358&gt;12000,"Top")</f>
        <v>Top</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_xlfn.IFS(A359&lt;=25,"Under 25",A359&lt;=35,"26–35",A359&lt;=45,"36–45",A359&gt;45,"46+")</f>
        <v>Under 25</v>
      </c>
      <c r="AK359" t="str" cm="1">
        <f t="array" ref="AK359">_xlfn.IFS(R359&lt;=3000,"Low",R359&lt;=7000,"Mid",R359&lt;=12000,"High",R359&gt;12000,"Top")</f>
        <v>Top</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_xlfn.IFS(A360&lt;=25,"Under 25",A360&lt;=35,"26–35",A360&lt;=45,"36–45",A360&gt;45,"46+")</f>
        <v>36–45</v>
      </c>
      <c r="AK360" t="str" cm="1">
        <f t="array" ref="AK360">_xlfn.IFS(R360&lt;=3000,"Low",R360&lt;=7000,"Mid",R360&lt;=12000,"High",R360&gt;12000,"Top")</f>
        <v>Top</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_xlfn.IFS(A361&lt;=25,"Under 25",A361&lt;=35,"26–35",A361&lt;=45,"36–45",A361&gt;45,"46+")</f>
        <v>36–45</v>
      </c>
      <c r="AK361" t="str" cm="1">
        <f t="array" ref="AK361">_xlfn.IFS(R361&lt;=3000,"Low",R361&lt;=7000,"Mid",R361&lt;=12000,"High",R361&gt;12000,"Top")</f>
        <v>Top</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_xlfn.IFS(A362&lt;=25,"Under 25",A362&lt;=35,"26–35",A362&lt;=45,"36–45",A362&gt;45,"46+")</f>
        <v>46+</v>
      </c>
      <c r="AK362" t="str" cm="1">
        <f t="array" ref="AK362">_xlfn.IFS(R362&lt;=3000,"Low",R362&lt;=7000,"Mid",R362&lt;=12000,"High",R362&gt;12000,"Top")</f>
        <v>Top</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_xlfn.IFS(A363&lt;=25,"Under 25",A363&lt;=35,"26–35",A363&lt;=45,"36–45",A363&gt;45,"46+")</f>
        <v>36–45</v>
      </c>
      <c r="AK363" t="str" cm="1">
        <f t="array" ref="AK363">_xlfn.IFS(R363&lt;=3000,"Low",R363&lt;=7000,"Mid",R363&lt;=12000,"High",R363&gt;12000,"Top")</f>
        <v>Top</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_xlfn.IFS(A364&lt;=25,"Under 25",A364&lt;=35,"26–35",A364&lt;=45,"36–45",A364&gt;45,"46+")</f>
        <v>Under 25</v>
      </c>
      <c r="AK364" t="str" cm="1">
        <f t="array" ref="AK364">_xlfn.IFS(R364&lt;=3000,"Low",R364&lt;=7000,"Mid",R364&lt;=12000,"High",R364&gt;12000,"Top")</f>
        <v>Top</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_xlfn.IFS(A365&lt;=25,"Under 25",A365&lt;=35,"26–35",A365&lt;=45,"36–45",A365&gt;45,"46+")</f>
        <v>26–35</v>
      </c>
      <c r="AK365" t="str" cm="1">
        <f t="array" ref="AK365">_xlfn.IFS(R365&lt;=3000,"Low",R365&lt;=7000,"Mid",R365&lt;=12000,"High",R365&gt;12000,"Top")</f>
        <v>Top</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_xlfn.IFS(A366&lt;=25,"Under 25",A366&lt;=35,"26–35",A366&lt;=45,"36–45",A366&gt;45,"46+")</f>
        <v>36–45</v>
      </c>
      <c r="AK366" t="str" cm="1">
        <f t="array" ref="AK366">_xlfn.IFS(R366&lt;=3000,"Low",R366&lt;=7000,"Mid",R366&lt;=12000,"High",R366&gt;12000,"Top")</f>
        <v>Top</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_xlfn.IFS(A367&lt;=25,"Under 25",A367&lt;=35,"26–35",A367&lt;=45,"36–45",A367&gt;45,"46+")</f>
        <v>46+</v>
      </c>
      <c r="AK367" t="str" cm="1">
        <f t="array" ref="AK367">_xlfn.IFS(R367&lt;=3000,"Low",R367&lt;=7000,"Mid",R367&lt;=12000,"High",R367&gt;12000,"Top")</f>
        <v>Top</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_xlfn.IFS(A368&lt;=25,"Under 25",A368&lt;=35,"26–35",A368&lt;=45,"36–45",A368&gt;45,"46+")</f>
        <v>36–45</v>
      </c>
      <c r="AK368" t="str" cm="1">
        <f t="array" ref="AK368">_xlfn.IFS(R368&lt;=3000,"Low",R368&lt;=7000,"Mid",R368&lt;=12000,"High",R368&gt;12000,"Top")</f>
        <v>Top</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_xlfn.IFS(A369&lt;=25,"Under 25",A369&lt;=35,"26–35",A369&lt;=45,"36–45",A369&gt;45,"46+")</f>
        <v>46+</v>
      </c>
      <c r="AK369" t="str" cm="1">
        <f t="array" ref="AK369">_xlfn.IFS(R369&lt;=3000,"Low",R369&lt;=7000,"Mid",R369&lt;=12000,"High",R369&gt;12000,"Top")</f>
        <v>Top</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_xlfn.IFS(A370&lt;=25,"Under 25",A370&lt;=35,"26–35",A370&lt;=45,"36–45",A370&gt;45,"46+")</f>
        <v>36–45</v>
      </c>
      <c r="AK370" t="str" cm="1">
        <f t="array" ref="AK370">_xlfn.IFS(R370&lt;=3000,"Low",R370&lt;=7000,"Mid",R370&lt;=12000,"High",R370&gt;12000,"Top")</f>
        <v>Top</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_xlfn.IFS(A371&lt;=25,"Under 25",A371&lt;=35,"26–35",A371&lt;=45,"36–45",A371&gt;45,"46+")</f>
        <v>26–35</v>
      </c>
      <c r="AK371" t="str" cm="1">
        <f t="array" ref="AK371">_xlfn.IFS(R371&lt;=3000,"Low",R371&lt;=7000,"Mid",R371&lt;=12000,"High",R371&gt;12000,"Top")</f>
        <v>Top</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_xlfn.IFS(A372&lt;=25,"Under 25",A372&lt;=35,"26–35",A372&lt;=45,"36–45",A372&gt;45,"46+")</f>
        <v>Under 25</v>
      </c>
      <c r="AK372" t="str" cm="1">
        <f t="array" ref="AK372">_xlfn.IFS(R372&lt;=3000,"Low",R372&lt;=7000,"Mid",R372&lt;=12000,"High",R372&gt;12000,"Top")</f>
        <v>Top</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_xlfn.IFS(A373&lt;=25,"Under 25",A373&lt;=35,"26–35",A373&lt;=45,"36–45",A373&gt;45,"46+")</f>
        <v>26–35</v>
      </c>
      <c r="AK373" t="str" cm="1">
        <f t="array" ref="AK373">_xlfn.IFS(R373&lt;=3000,"Low",R373&lt;=7000,"Mid",R373&lt;=12000,"High",R373&gt;12000,"Top")</f>
        <v>Top</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_xlfn.IFS(A374&lt;=25,"Under 25",A374&lt;=35,"26–35",A374&lt;=45,"36–45",A374&gt;45,"46+")</f>
        <v>26–35</v>
      </c>
      <c r="AK374" t="str" cm="1">
        <f t="array" ref="AK374">_xlfn.IFS(R374&lt;=3000,"Low",R374&lt;=7000,"Mid",R374&lt;=12000,"High",R374&gt;12000,"Top")</f>
        <v>Top</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_xlfn.IFS(A375&lt;=25,"Under 25",A375&lt;=35,"26–35",A375&lt;=45,"36–45",A375&gt;45,"46+")</f>
        <v>26–35</v>
      </c>
      <c r="AK375" t="str" cm="1">
        <f t="array" ref="AK375">_xlfn.IFS(R375&lt;=3000,"Low",R375&lt;=7000,"Mid",R375&lt;=12000,"High",R375&gt;12000,"Top")</f>
        <v>Top</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_xlfn.IFS(A376&lt;=25,"Under 25",A376&lt;=35,"26–35",A376&lt;=45,"36–45",A376&gt;45,"46+")</f>
        <v>26–35</v>
      </c>
      <c r="AK376" t="str" cm="1">
        <f t="array" ref="AK376">_xlfn.IFS(R376&lt;=3000,"Low",R376&lt;=7000,"Mid",R376&lt;=12000,"High",R376&gt;12000,"Top")</f>
        <v>Top</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_xlfn.IFS(A377&lt;=25,"Under 25",A377&lt;=35,"26–35",A377&lt;=45,"36–45",A377&gt;45,"46+")</f>
        <v>46+</v>
      </c>
      <c r="AK377" t="str" cm="1">
        <f t="array" ref="AK377">_xlfn.IFS(R377&lt;=3000,"Low",R377&lt;=7000,"Mid",R377&lt;=12000,"High",R377&gt;12000,"Top")</f>
        <v>Top</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_xlfn.IFS(A378&lt;=25,"Under 25",A378&lt;=35,"26–35",A378&lt;=45,"36–45",A378&gt;45,"46+")</f>
        <v>46+</v>
      </c>
      <c r="AK378" t="str" cm="1">
        <f t="array" ref="AK378">_xlfn.IFS(R378&lt;=3000,"Low",R378&lt;=7000,"Mid",R378&lt;=12000,"High",R378&gt;12000,"Top")</f>
        <v>Top</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_xlfn.IFS(A379&lt;=25,"Under 25",A379&lt;=35,"26–35",A379&lt;=45,"36–45",A379&gt;45,"46+")</f>
        <v>36–45</v>
      </c>
      <c r="AK379" t="str" cm="1">
        <f t="array" ref="AK379">_xlfn.IFS(R379&lt;=3000,"Low",R379&lt;=7000,"Mid",R379&lt;=12000,"High",R379&gt;12000,"Top")</f>
        <v>Top</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_xlfn.IFS(A380&lt;=25,"Under 25",A380&lt;=35,"26–35",A380&lt;=45,"36–45",A380&gt;45,"46+")</f>
        <v>26–35</v>
      </c>
      <c r="AK380" t="str" cm="1">
        <f t="array" ref="AK380">_xlfn.IFS(R380&lt;=3000,"Low",R380&lt;=7000,"Mid",R380&lt;=12000,"High",R380&gt;12000,"Top")</f>
        <v>Top</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_xlfn.IFS(A381&lt;=25,"Under 25",A381&lt;=35,"26–35",A381&lt;=45,"36–45",A381&gt;45,"46+")</f>
        <v>46+</v>
      </c>
      <c r="AK381" t="str" cm="1">
        <f t="array" ref="AK381">_xlfn.IFS(R381&lt;=3000,"Low",R381&lt;=7000,"Mid",R381&lt;=12000,"High",R381&gt;12000,"Top")</f>
        <v>Top</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_xlfn.IFS(A382&lt;=25,"Under 25",A382&lt;=35,"26–35",A382&lt;=45,"36–45",A382&gt;45,"46+")</f>
        <v>Under 25</v>
      </c>
      <c r="AK382" t="str" cm="1">
        <f t="array" ref="AK382">_xlfn.IFS(R382&lt;=3000,"Low",R382&lt;=7000,"Mid",R382&lt;=12000,"High",R382&gt;12000,"Top")</f>
        <v>Top</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_xlfn.IFS(A383&lt;=25,"Under 25",A383&lt;=35,"26–35",A383&lt;=45,"36–45",A383&gt;45,"46+")</f>
        <v>26–35</v>
      </c>
      <c r="AK383" t="str" cm="1">
        <f t="array" ref="AK383">_xlfn.IFS(R383&lt;=3000,"Low",R383&lt;=7000,"Mid",R383&lt;=12000,"High",R383&gt;12000,"Top")</f>
        <v>Top</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_xlfn.IFS(A384&lt;=25,"Under 25",A384&lt;=35,"26–35",A384&lt;=45,"36–45",A384&gt;45,"46+")</f>
        <v>26–35</v>
      </c>
      <c r="AK384" t="str" cm="1">
        <f t="array" ref="AK384">_xlfn.IFS(R384&lt;=3000,"Low",R384&lt;=7000,"Mid",R384&lt;=12000,"High",R384&gt;12000,"Top")</f>
        <v>Top</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_xlfn.IFS(A385&lt;=25,"Under 25",A385&lt;=35,"26–35",A385&lt;=45,"36–45",A385&gt;45,"46+")</f>
        <v>Under 25</v>
      </c>
      <c r="AK385" t="str" cm="1">
        <f t="array" ref="AK385">_xlfn.IFS(R385&lt;=3000,"Low",R385&lt;=7000,"Mid",R385&lt;=12000,"High",R385&gt;12000,"Top")</f>
        <v>Top</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_xlfn.IFS(A386&lt;=25,"Under 25",A386&lt;=35,"26–35",A386&lt;=45,"36–45",A386&gt;45,"46+")</f>
        <v>36–45</v>
      </c>
      <c r="AK386" t="str" cm="1">
        <f t="array" ref="AK386">_xlfn.IFS(R386&lt;=3000,"Low",R386&lt;=7000,"Mid",R386&lt;=12000,"High",R386&gt;12000,"Top")</f>
        <v>Top</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_xlfn.IFS(A387&lt;=25,"Under 25",A387&lt;=35,"26–35",A387&lt;=45,"36–45",A387&gt;45,"46+")</f>
        <v>26–35</v>
      </c>
      <c r="AK387" t="str" cm="1">
        <f t="array" ref="AK387">_xlfn.IFS(R387&lt;=3000,"Low",R387&lt;=7000,"Mid",R387&lt;=12000,"High",R387&gt;12000,"Top")</f>
        <v>Top</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_xlfn.IFS(A388&lt;=25,"Under 25",A388&lt;=35,"26–35",A388&lt;=45,"36–45",A388&gt;45,"46+")</f>
        <v>36–45</v>
      </c>
      <c r="AK388" t="str" cm="1">
        <f t="array" ref="AK388">_xlfn.IFS(R388&lt;=3000,"Low",R388&lt;=7000,"Mid",R388&lt;=12000,"High",R388&gt;12000,"Top")</f>
        <v>Top</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_xlfn.IFS(A389&lt;=25,"Under 25",A389&lt;=35,"26–35",A389&lt;=45,"36–45",A389&gt;45,"46+")</f>
        <v>36–45</v>
      </c>
      <c r="AK389" t="str" cm="1">
        <f t="array" ref="AK389">_xlfn.IFS(R389&lt;=3000,"Low",R389&lt;=7000,"Mid",R389&lt;=12000,"High",R389&gt;12000,"Top")</f>
        <v>Top</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_xlfn.IFS(A390&lt;=25,"Under 25",A390&lt;=35,"26–35",A390&lt;=45,"36–45",A390&gt;45,"46+")</f>
        <v>36–45</v>
      </c>
      <c r="AK390" t="str" cm="1">
        <f t="array" ref="AK390">_xlfn.IFS(R390&lt;=3000,"Low",R390&lt;=7000,"Mid",R390&lt;=12000,"High",R390&gt;12000,"Top")</f>
        <v>Top</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_xlfn.IFS(A391&lt;=25,"Under 25",A391&lt;=35,"26–35",A391&lt;=45,"36–45",A391&gt;45,"46+")</f>
        <v>36–45</v>
      </c>
      <c r="AK391" t="str" cm="1">
        <f t="array" ref="AK391">_xlfn.IFS(R391&lt;=3000,"Low",R391&lt;=7000,"Mid",R391&lt;=12000,"High",R391&gt;12000,"Top")</f>
        <v>Top</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_xlfn.IFS(A392&lt;=25,"Under 25",A392&lt;=35,"26–35",A392&lt;=45,"36–45",A392&gt;45,"46+")</f>
        <v>36–45</v>
      </c>
      <c r="AK392" t="str" cm="1">
        <f t="array" ref="AK392">_xlfn.IFS(R392&lt;=3000,"Low",R392&lt;=7000,"Mid",R392&lt;=12000,"High",R392&gt;12000,"Top")</f>
        <v>Top</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_xlfn.IFS(A393&lt;=25,"Under 25",A393&lt;=35,"26–35",A393&lt;=45,"36–45",A393&gt;45,"46+")</f>
        <v>36–45</v>
      </c>
      <c r="AK393" t="str" cm="1">
        <f t="array" ref="AK393">_xlfn.IFS(R393&lt;=3000,"Low",R393&lt;=7000,"Mid",R393&lt;=12000,"High",R393&gt;12000,"Top")</f>
        <v>Top</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_xlfn.IFS(A394&lt;=25,"Under 25",A394&lt;=35,"26–35",A394&lt;=45,"36–45",A394&gt;45,"46+")</f>
        <v>46+</v>
      </c>
      <c r="AK394" t="str" cm="1">
        <f t="array" ref="AK394">_xlfn.IFS(R394&lt;=3000,"Low",R394&lt;=7000,"Mid",R394&lt;=12000,"High",R394&gt;12000,"Top")</f>
        <v>Top</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_xlfn.IFS(A395&lt;=25,"Under 25",A395&lt;=35,"26–35",A395&lt;=45,"36–45",A395&gt;45,"46+")</f>
        <v>26–35</v>
      </c>
      <c r="AK395" t="str" cm="1">
        <f t="array" ref="AK395">_xlfn.IFS(R395&lt;=3000,"Low",R395&lt;=7000,"Mid",R395&lt;=12000,"High",R395&gt;12000,"Top")</f>
        <v>Top</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_xlfn.IFS(A396&lt;=25,"Under 25",A396&lt;=35,"26–35",A396&lt;=45,"36–45",A396&gt;45,"46+")</f>
        <v>26–35</v>
      </c>
      <c r="AK396" t="str" cm="1">
        <f t="array" ref="AK396">_xlfn.IFS(R396&lt;=3000,"Low",R396&lt;=7000,"Mid",R396&lt;=12000,"High",R396&gt;12000,"Top")</f>
        <v>Top</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_xlfn.IFS(A397&lt;=25,"Under 25",A397&lt;=35,"26–35",A397&lt;=45,"36–45",A397&gt;45,"46+")</f>
        <v>36–45</v>
      </c>
      <c r="AK397" t="str" cm="1">
        <f t="array" ref="AK397">_xlfn.IFS(R397&lt;=3000,"Low",R397&lt;=7000,"Mid",R397&lt;=12000,"High",R397&gt;12000,"Top")</f>
        <v>Top</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_xlfn.IFS(A398&lt;=25,"Under 25",A398&lt;=35,"26–35",A398&lt;=45,"36–45",A398&gt;45,"46+")</f>
        <v>36–45</v>
      </c>
      <c r="AK398" t="str" cm="1">
        <f t="array" ref="AK398">_xlfn.IFS(R398&lt;=3000,"Low",R398&lt;=7000,"Mid",R398&lt;=12000,"High",R398&gt;12000,"Top")</f>
        <v>Top</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_xlfn.IFS(A399&lt;=25,"Under 25",A399&lt;=35,"26–35",A399&lt;=45,"36–45",A399&gt;45,"46+")</f>
        <v>Under 25</v>
      </c>
      <c r="AK399" t="str" cm="1">
        <f t="array" ref="AK399">_xlfn.IFS(R399&lt;=3000,"Low",R399&lt;=7000,"Mid",R399&lt;=12000,"High",R399&gt;12000,"Top")</f>
        <v>Top</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_xlfn.IFS(A400&lt;=25,"Under 25",A400&lt;=35,"26–35",A400&lt;=45,"36–45",A400&gt;45,"46+")</f>
        <v>36–45</v>
      </c>
      <c r="AK400" t="str" cm="1">
        <f t="array" ref="AK400">_xlfn.IFS(R400&lt;=3000,"Low",R400&lt;=7000,"Mid",R400&lt;=12000,"High",R400&gt;12000,"Top")</f>
        <v>Top</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_xlfn.IFS(A401&lt;=25,"Under 25",A401&lt;=35,"26–35",A401&lt;=45,"36–45",A401&gt;45,"46+")</f>
        <v>26–35</v>
      </c>
      <c r="AK401" t="str" cm="1">
        <f t="array" ref="AK401">_xlfn.IFS(R401&lt;=3000,"Low",R401&lt;=7000,"Mid",R401&lt;=12000,"High",R401&gt;12000,"Top")</f>
        <v>Top</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_xlfn.IFS(A402&lt;=25,"Under 25",A402&lt;=35,"26–35",A402&lt;=45,"36–45",A402&gt;45,"46+")</f>
        <v>36–45</v>
      </c>
      <c r="AK402" t="str" cm="1">
        <f t="array" ref="AK402">_xlfn.IFS(R402&lt;=3000,"Low",R402&lt;=7000,"Mid",R402&lt;=12000,"High",R402&gt;12000,"Top")</f>
        <v>Top</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_xlfn.IFS(A403&lt;=25,"Under 25",A403&lt;=35,"26–35",A403&lt;=45,"36–45",A403&gt;45,"46+")</f>
        <v>46+</v>
      </c>
      <c r="AK403" t="str" cm="1">
        <f t="array" ref="AK403">_xlfn.IFS(R403&lt;=3000,"Low",R403&lt;=7000,"Mid",R403&lt;=12000,"High",R403&gt;12000,"Top")</f>
        <v>Top</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_xlfn.IFS(A404&lt;=25,"Under 25",A404&lt;=35,"26–35",A404&lt;=45,"36–45",A404&gt;45,"46+")</f>
        <v>26–35</v>
      </c>
      <c r="AK404" t="str" cm="1">
        <f t="array" ref="AK404">_xlfn.IFS(R404&lt;=3000,"Low",R404&lt;=7000,"Mid",R404&lt;=12000,"High",R404&gt;12000,"Top")</f>
        <v>Top</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_xlfn.IFS(A405&lt;=25,"Under 25",A405&lt;=35,"26–35",A405&lt;=45,"36–45",A405&gt;45,"46+")</f>
        <v>36–45</v>
      </c>
      <c r="AK405" t="str" cm="1">
        <f t="array" ref="AK405">_xlfn.IFS(R405&lt;=3000,"Low",R405&lt;=7000,"Mid",R405&lt;=12000,"High",R405&gt;12000,"Top")</f>
        <v>Top</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_xlfn.IFS(A406&lt;=25,"Under 25",A406&lt;=35,"26–35",A406&lt;=45,"36–45",A406&gt;45,"46+")</f>
        <v>26–35</v>
      </c>
      <c r="AK406" t="str" cm="1">
        <f t="array" ref="AK406">_xlfn.IFS(R406&lt;=3000,"Low",R406&lt;=7000,"Mid",R406&lt;=12000,"High",R406&gt;12000,"Top")</f>
        <v>Top</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_xlfn.IFS(A407&lt;=25,"Under 25",A407&lt;=35,"26–35",A407&lt;=45,"36–45",A407&gt;45,"46+")</f>
        <v>Under 25</v>
      </c>
      <c r="AK407" t="str" cm="1">
        <f t="array" ref="AK407">_xlfn.IFS(R407&lt;=3000,"Low",R407&lt;=7000,"Mid",R407&lt;=12000,"High",R407&gt;12000,"Top")</f>
        <v>Top</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_xlfn.IFS(A408&lt;=25,"Under 25",A408&lt;=35,"26–35",A408&lt;=45,"36–45",A408&gt;45,"46+")</f>
        <v>46+</v>
      </c>
      <c r="AK408" t="str" cm="1">
        <f t="array" ref="AK408">_xlfn.IFS(R408&lt;=3000,"Low",R408&lt;=7000,"Mid",R408&lt;=12000,"High",R408&gt;12000,"Top")</f>
        <v>Top</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_xlfn.IFS(A409&lt;=25,"Under 25",A409&lt;=35,"26–35",A409&lt;=45,"36–45",A409&gt;45,"46+")</f>
        <v>36–45</v>
      </c>
      <c r="AK409" t="str" cm="1">
        <f t="array" ref="AK409">_xlfn.IFS(R409&lt;=3000,"Low",R409&lt;=7000,"Mid",R409&lt;=12000,"High",R409&gt;12000,"Top")</f>
        <v>Top</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_xlfn.IFS(A410&lt;=25,"Under 25",A410&lt;=35,"26–35",A410&lt;=45,"36–45",A410&gt;45,"46+")</f>
        <v>46+</v>
      </c>
      <c r="AK410" t="str" cm="1">
        <f t="array" ref="AK410">_xlfn.IFS(R410&lt;=3000,"Low",R410&lt;=7000,"Mid",R410&lt;=12000,"High",R410&gt;12000,"Top")</f>
        <v>Top</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_xlfn.IFS(A411&lt;=25,"Under 25",A411&lt;=35,"26–35",A411&lt;=45,"36–45",A411&gt;45,"46+")</f>
        <v>36–45</v>
      </c>
      <c r="AK411" t="str" cm="1">
        <f t="array" ref="AK411">_xlfn.IFS(R411&lt;=3000,"Low",R411&lt;=7000,"Mid",R411&lt;=12000,"High",R411&gt;12000,"Top")</f>
        <v>Top</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_xlfn.IFS(A412&lt;=25,"Under 25",A412&lt;=35,"26–35",A412&lt;=45,"36–45",A412&gt;45,"46+")</f>
        <v>26–35</v>
      </c>
      <c r="AK412" t="str" cm="1">
        <f t="array" ref="AK412">_xlfn.IFS(R412&lt;=3000,"Low",R412&lt;=7000,"Mid",R412&lt;=12000,"High",R412&gt;12000,"Top")</f>
        <v>Top</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_xlfn.IFS(A413&lt;=25,"Under 25",A413&lt;=35,"26–35",A413&lt;=45,"36–45",A413&gt;45,"46+")</f>
        <v>46+</v>
      </c>
      <c r="AK413" t="str" cm="1">
        <f t="array" ref="AK413">_xlfn.IFS(R413&lt;=3000,"Low",R413&lt;=7000,"Mid",R413&lt;=12000,"High",R413&gt;12000,"Top")</f>
        <v>Top</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_xlfn.IFS(A414&lt;=25,"Under 25",A414&lt;=35,"26–35",A414&lt;=45,"36–45",A414&gt;45,"46+")</f>
        <v>46+</v>
      </c>
      <c r="AK414" t="str" cm="1">
        <f t="array" ref="AK414">_xlfn.IFS(R414&lt;=3000,"Low",R414&lt;=7000,"Mid",R414&lt;=12000,"High",R414&gt;12000,"Top")</f>
        <v>Top</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_xlfn.IFS(A415&lt;=25,"Under 25",A415&lt;=35,"26–35",A415&lt;=45,"36–45",A415&gt;45,"46+")</f>
        <v>36–45</v>
      </c>
      <c r="AK415" t="str" cm="1">
        <f t="array" ref="AK415">_xlfn.IFS(R415&lt;=3000,"Low",R415&lt;=7000,"Mid",R415&lt;=12000,"High",R415&gt;12000,"Top")</f>
        <v>Top</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_xlfn.IFS(A416&lt;=25,"Under 25",A416&lt;=35,"26–35",A416&lt;=45,"36–45",A416&gt;45,"46+")</f>
        <v>Under 25</v>
      </c>
      <c r="AK416" t="str" cm="1">
        <f t="array" ref="AK416">_xlfn.IFS(R416&lt;=3000,"Low",R416&lt;=7000,"Mid",R416&lt;=12000,"High",R416&gt;12000,"Top")</f>
        <v>Top</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_xlfn.IFS(A417&lt;=25,"Under 25",A417&lt;=35,"26–35",A417&lt;=45,"36–45",A417&gt;45,"46+")</f>
        <v>26–35</v>
      </c>
      <c r="AK417" t="str" cm="1">
        <f t="array" ref="AK417">_xlfn.IFS(R417&lt;=3000,"Low",R417&lt;=7000,"Mid",R417&lt;=12000,"High",R417&gt;12000,"Top")</f>
        <v>Top</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_xlfn.IFS(A418&lt;=25,"Under 25",A418&lt;=35,"26–35",A418&lt;=45,"36–45",A418&gt;45,"46+")</f>
        <v>36–45</v>
      </c>
      <c r="AK418" t="str" cm="1">
        <f t="array" ref="AK418">_xlfn.IFS(R418&lt;=3000,"Low",R418&lt;=7000,"Mid",R418&lt;=12000,"High",R418&gt;12000,"Top")</f>
        <v>Top</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_xlfn.IFS(A419&lt;=25,"Under 25",A419&lt;=35,"26–35",A419&lt;=45,"36–45",A419&gt;45,"46+")</f>
        <v>36–45</v>
      </c>
      <c r="AK419" t="str" cm="1">
        <f t="array" ref="AK419">_xlfn.IFS(R419&lt;=3000,"Low",R419&lt;=7000,"Mid",R419&lt;=12000,"High",R419&gt;12000,"Top")</f>
        <v>Top</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_xlfn.IFS(A420&lt;=25,"Under 25",A420&lt;=35,"26–35",A420&lt;=45,"36–45",A420&gt;45,"46+")</f>
        <v>26–35</v>
      </c>
      <c r="AK420" t="str" cm="1">
        <f t="array" ref="AK420">_xlfn.IFS(R420&lt;=3000,"Low",R420&lt;=7000,"Mid",R420&lt;=12000,"High",R420&gt;12000,"Top")</f>
        <v>Top</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_xlfn.IFS(A421&lt;=25,"Under 25",A421&lt;=35,"26–35",A421&lt;=45,"36–45",A421&gt;45,"46+")</f>
        <v>26–35</v>
      </c>
      <c r="AK421" t="str" cm="1">
        <f t="array" ref="AK421">_xlfn.IFS(R421&lt;=3000,"Low",R421&lt;=7000,"Mid",R421&lt;=12000,"High",R421&gt;12000,"Top")</f>
        <v>Top</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_xlfn.IFS(A422&lt;=25,"Under 25",A422&lt;=35,"26–35",A422&lt;=45,"36–45",A422&gt;45,"46+")</f>
        <v>26–35</v>
      </c>
      <c r="AK422" t="str" cm="1">
        <f t="array" ref="AK422">_xlfn.IFS(R422&lt;=3000,"Low",R422&lt;=7000,"Mid",R422&lt;=12000,"High",R422&gt;12000,"Top")</f>
        <v>Top</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_xlfn.IFS(A423&lt;=25,"Under 25",A423&lt;=35,"26–35",A423&lt;=45,"36–45",A423&gt;45,"46+")</f>
        <v>26–35</v>
      </c>
      <c r="AK423" t="str" cm="1">
        <f t="array" ref="AK423">_xlfn.IFS(R423&lt;=3000,"Low",R423&lt;=7000,"Mid",R423&lt;=12000,"High",R423&gt;12000,"Top")</f>
        <v>Top</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_xlfn.IFS(A424&lt;=25,"Under 25",A424&lt;=35,"26–35",A424&lt;=45,"36–45",A424&gt;45,"46+")</f>
        <v>Under 25</v>
      </c>
      <c r="AK424" t="str" cm="1">
        <f t="array" ref="AK424">_xlfn.IFS(R424&lt;=3000,"Low",R424&lt;=7000,"Mid",R424&lt;=12000,"High",R424&gt;12000,"Top")</f>
        <v>Top</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_xlfn.IFS(A425&lt;=25,"Under 25",A425&lt;=35,"26–35",A425&lt;=45,"36–45",A425&gt;45,"46+")</f>
        <v>26–35</v>
      </c>
      <c r="AK425" t="str" cm="1">
        <f t="array" ref="AK425">_xlfn.IFS(R425&lt;=3000,"Low",R425&lt;=7000,"Mid",R425&lt;=12000,"High",R425&gt;12000,"Top")</f>
        <v>Top</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_xlfn.IFS(A426&lt;=25,"Under 25",A426&lt;=35,"26–35",A426&lt;=45,"36–45",A426&gt;45,"46+")</f>
        <v>46+</v>
      </c>
      <c r="AK426" t="str" cm="1">
        <f t="array" ref="AK426">_xlfn.IFS(R426&lt;=3000,"Low",R426&lt;=7000,"Mid",R426&lt;=12000,"High",R426&gt;12000,"Top")</f>
        <v>Top</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_xlfn.IFS(A427&lt;=25,"Under 25",A427&lt;=35,"26–35",A427&lt;=45,"36–45",A427&gt;45,"46+")</f>
        <v>46+</v>
      </c>
      <c r="AK427" t="str" cm="1">
        <f t="array" ref="AK427">_xlfn.IFS(R427&lt;=3000,"Low",R427&lt;=7000,"Mid",R427&lt;=12000,"High",R427&gt;12000,"Top")</f>
        <v>Top</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_xlfn.IFS(A428&lt;=25,"Under 25",A428&lt;=35,"26–35",A428&lt;=45,"36–45",A428&gt;45,"46+")</f>
        <v>26–35</v>
      </c>
      <c r="AK428" t="str" cm="1">
        <f t="array" ref="AK428">_xlfn.IFS(R428&lt;=3000,"Low",R428&lt;=7000,"Mid",R428&lt;=12000,"High",R428&gt;12000,"Top")</f>
        <v>Top</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_xlfn.IFS(A429&lt;=25,"Under 25",A429&lt;=35,"26–35",A429&lt;=45,"36–45",A429&gt;45,"46+")</f>
        <v>46+</v>
      </c>
      <c r="AK429" t="str" cm="1">
        <f t="array" ref="AK429">_xlfn.IFS(R429&lt;=3000,"Low",R429&lt;=7000,"Mid",R429&lt;=12000,"High",R429&gt;12000,"Top")</f>
        <v>Top</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_xlfn.IFS(A430&lt;=25,"Under 25",A430&lt;=35,"26–35",A430&lt;=45,"36–45",A430&gt;45,"46+")</f>
        <v>46+</v>
      </c>
      <c r="AK430" t="str" cm="1">
        <f t="array" ref="AK430">_xlfn.IFS(R430&lt;=3000,"Low",R430&lt;=7000,"Mid",R430&lt;=12000,"High",R430&gt;12000,"Top")</f>
        <v>Top</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_xlfn.IFS(A431&lt;=25,"Under 25",A431&lt;=35,"26–35",A431&lt;=45,"36–45",A431&gt;45,"46+")</f>
        <v>46+</v>
      </c>
      <c r="AK431" t="str" cm="1">
        <f t="array" ref="AK431">_xlfn.IFS(R431&lt;=3000,"Low",R431&lt;=7000,"Mid",R431&lt;=12000,"High",R431&gt;12000,"Top")</f>
        <v>Top</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_xlfn.IFS(A432&lt;=25,"Under 25",A432&lt;=35,"26–35",A432&lt;=45,"36–45",A432&gt;45,"46+")</f>
        <v>26–35</v>
      </c>
      <c r="AK432" t="str" cm="1">
        <f t="array" ref="AK432">_xlfn.IFS(R432&lt;=3000,"Low",R432&lt;=7000,"Mid",R432&lt;=12000,"High",R432&gt;12000,"Top")</f>
        <v>Top</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_xlfn.IFS(A433&lt;=25,"Under 25",A433&lt;=35,"26–35",A433&lt;=45,"36–45",A433&gt;45,"46+")</f>
        <v>46+</v>
      </c>
      <c r="AK433" t="str" cm="1">
        <f t="array" ref="AK433">_xlfn.IFS(R433&lt;=3000,"Low",R433&lt;=7000,"Mid",R433&lt;=12000,"High",R433&gt;12000,"Top")</f>
        <v>Top</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_xlfn.IFS(A434&lt;=25,"Under 25",A434&lt;=35,"26–35",A434&lt;=45,"36–45",A434&gt;45,"46+")</f>
        <v>26–35</v>
      </c>
      <c r="AK434" t="str" cm="1">
        <f t="array" ref="AK434">_xlfn.IFS(R434&lt;=3000,"Low",R434&lt;=7000,"Mid",R434&lt;=12000,"High",R434&gt;12000,"Top")</f>
        <v>Top</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_xlfn.IFS(A435&lt;=25,"Under 25",A435&lt;=35,"26–35",A435&lt;=45,"36–45",A435&gt;45,"46+")</f>
        <v>46+</v>
      </c>
      <c r="AK435" t="str" cm="1">
        <f t="array" ref="AK435">_xlfn.IFS(R435&lt;=3000,"Low",R435&lt;=7000,"Mid",R435&lt;=12000,"High",R435&gt;12000,"Top")</f>
        <v>Top</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_xlfn.IFS(A436&lt;=25,"Under 25",A436&lt;=35,"26–35",A436&lt;=45,"36–45",A436&gt;45,"46+")</f>
        <v>26–35</v>
      </c>
      <c r="AK436" t="str" cm="1">
        <f t="array" ref="AK436">_xlfn.IFS(R436&lt;=3000,"Low",R436&lt;=7000,"Mid",R436&lt;=12000,"High",R436&gt;12000,"Top")</f>
        <v>Top</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_xlfn.IFS(A437&lt;=25,"Under 25",A437&lt;=35,"26–35",A437&lt;=45,"36–45",A437&gt;45,"46+")</f>
        <v>26–35</v>
      </c>
      <c r="AK437" t="str" cm="1">
        <f t="array" ref="AK437">_xlfn.IFS(R437&lt;=3000,"Low",R437&lt;=7000,"Mid",R437&lt;=12000,"High",R437&gt;12000,"Top")</f>
        <v>Top</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_xlfn.IFS(A438&lt;=25,"Under 25",A438&lt;=35,"26–35",A438&lt;=45,"36–45",A438&gt;45,"46+")</f>
        <v>26–35</v>
      </c>
      <c r="AK438" t="str" cm="1">
        <f t="array" ref="AK438">_xlfn.IFS(R438&lt;=3000,"Low",R438&lt;=7000,"Mid",R438&lt;=12000,"High",R438&gt;12000,"Top")</f>
        <v>Top</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_xlfn.IFS(A439&lt;=25,"Under 25",A439&lt;=35,"26–35",A439&lt;=45,"36–45",A439&gt;45,"46+")</f>
        <v>26–35</v>
      </c>
      <c r="AK439" t="str" cm="1">
        <f t="array" ref="AK439">_xlfn.IFS(R439&lt;=3000,"Low",R439&lt;=7000,"Mid",R439&lt;=12000,"High",R439&gt;12000,"Top")</f>
        <v>Top</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_xlfn.IFS(A440&lt;=25,"Under 25",A440&lt;=35,"26–35",A440&lt;=45,"36–45",A440&gt;45,"46+")</f>
        <v>26–35</v>
      </c>
      <c r="AK440" t="str" cm="1">
        <f t="array" ref="AK440">_xlfn.IFS(R440&lt;=3000,"Low",R440&lt;=7000,"Mid",R440&lt;=12000,"High",R440&gt;12000,"Top")</f>
        <v>Top</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_xlfn.IFS(A441&lt;=25,"Under 25",A441&lt;=35,"26–35",A441&lt;=45,"36–45",A441&gt;45,"46+")</f>
        <v>26–35</v>
      </c>
      <c r="AK441" t="str" cm="1">
        <f t="array" ref="AK441">_xlfn.IFS(R441&lt;=3000,"Low",R441&lt;=7000,"Mid",R441&lt;=12000,"High",R441&gt;12000,"Top")</f>
        <v>Top</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_xlfn.IFS(A442&lt;=25,"Under 25",A442&lt;=35,"26–35",A442&lt;=45,"36–45",A442&gt;45,"46+")</f>
        <v>26–35</v>
      </c>
      <c r="AK442" t="str" cm="1">
        <f t="array" ref="AK442">_xlfn.IFS(R442&lt;=3000,"Low",R442&lt;=7000,"Mid",R442&lt;=12000,"High",R442&gt;12000,"Top")</f>
        <v>Top</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_xlfn.IFS(A443&lt;=25,"Under 25",A443&lt;=35,"26–35",A443&lt;=45,"36–45",A443&gt;45,"46+")</f>
        <v>36–45</v>
      </c>
      <c r="AK443" t="str" cm="1">
        <f t="array" ref="AK443">_xlfn.IFS(R443&lt;=3000,"Low",R443&lt;=7000,"Mid",R443&lt;=12000,"High",R443&gt;12000,"Top")</f>
        <v>Top</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_xlfn.IFS(A444&lt;=25,"Under 25",A444&lt;=35,"26–35",A444&lt;=45,"36–45",A444&gt;45,"46+")</f>
        <v>36–45</v>
      </c>
      <c r="AK444" t="str" cm="1">
        <f t="array" ref="AK444">_xlfn.IFS(R444&lt;=3000,"Low",R444&lt;=7000,"Mid",R444&lt;=12000,"High",R444&gt;12000,"Top")</f>
        <v>Top</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_xlfn.IFS(A445&lt;=25,"Under 25",A445&lt;=35,"26–35",A445&lt;=45,"36–45",A445&gt;45,"46+")</f>
        <v>Under 25</v>
      </c>
      <c r="AK445" t="str" cm="1">
        <f t="array" ref="AK445">_xlfn.IFS(R445&lt;=3000,"Low",R445&lt;=7000,"Mid",R445&lt;=12000,"High",R445&gt;12000,"Top")</f>
        <v>Top</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_xlfn.IFS(A446&lt;=25,"Under 25",A446&lt;=35,"26–35",A446&lt;=45,"36–45",A446&gt;45,"46+")</f>
        <v>46+</v>
      </c>
      <c r="AK446" t="str" cm="1">
        <f t="array" ref="AK446">_xlfn.IFS(R446&lt;=3000,"Low",R446&lt;=7000,"Mid",R446&lt;=12000,"High",R446&gt;12000,"Top")</f>
        <v>Top</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_xlfn.IFS(A447&lt;=25,"Under 25",A447&lt;=35,"26–35",A447&lt;=45,"36–45",A447&gt;45,"46+")</f>
        <v>46+</v>
      </c>
      <c r="AK447" t="str" cm="1">
        <f t="array" ref="AK447">_xlfn.IFS(R447&lt;=3000,"Low",R447&lt;=7000,"Mid",R447&lt;=12000,"High",R447&gt;12000,"Top")</f>
        <v>Top</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_xlfn.IFS(A448&lt;=25,"Under 25",A448&lt;=35,"26–35",A448&lt;=45,"36–45",A448&gt;45,"46+")</f>
        <v>36–45</v>
      </c>
      <c r="AK448" t="str" cm="1">
        <f t="array" ref="AK448">_xlfn.IFS(R448&lt;=3000,"Low",R448&lt;=7000,"Mid",R448&lt;=12000,"High",R448&gt;12000,"Top")</f>
        <v>Top</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_xlfn.IFS(A449&lt;=25,"Under 25",A449&lt;=35,"26–35",A449&lt;=45,"36–45",A449&gt;45,"46+")</f>
        <v>26–35</v>
      </c>
      <c r="AK449" t="str" cm="1">
        <f t="array" ref="AK449">_xlfn.IFS(R449&lt;=3000,"Low",R449&lt;=7000,"Mid",R449&lt;=12000,"High",R449&gt;12000,"Top")</f>
        <v>Top</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_xlfn.IFS(A450&lt;=25,"Under 25",A450&lt;=35,"26–35",A450&lt;=45,"36–45",A450&gt;45,"46+")</f>
        <v>36–45</v>
      </c>
      <c r="AK450" t="str" cm="1">
        <f t="array" ref="AK450">_xlfn.IFS(R450&lt;=3000,"Low",R450&lt;=7000,"Mid",R450&lt;=12000,"High",R450&gt;12000,"Top")</f>
        <v>Top</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_xlfn.IFS(A451&lt;=25,"Under 25",A451&lt;=35,"26–35",A451&lt;=45,"36–45",A451&gt;45,"46+")</f>
        <v>36–45</v>
      </c>
      <c r="AK451" t="str" cm="1">
        <f t="array" ref="AK451">_xlfn.IFS(R451&lt;=3000,"Low",R451&lt;=7000,"Mid",R451&lt;=12000,"High",R451&gt;12000,"Top")</f>
        <v>Top</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_xlfn.IFS(A452&lt;=25,"Under 25",A452&lt;=35,"26–35",A452&lt;=45,"36–45",A452&gt;45,"46+")</f>
        <v>26–35</v>
      </c>
      <c r="AK452" t="str" cm="1">
        <f t="array" ref="AK452">_xlfn.IFS(R452&lt;=3000,"Low",R452&lt;=7000,"Mid",R452&lt;=12000,"High",R452&gt;12000,"Top")</f>
        <v>Top</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_xlfn.IFS(A453&lt;=25,"Under 25",A453&lt;=35,"26–35",A453&lt;=45,"36–45",A453&gt;45,"46+")</f>
        <v>36–45</v>
      </c>
      <c r="AK453" t="str" cm="1">
        <f t="array" ref="AK453">_xlfn.IFS(R453&lt;=3000,"Low",R453&lt;=7000,"Mid",R453&lt;=12000,"High",R453&gt;12000,"Top")</f>
        <v>Top</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_xlfn.IFS(A454&lt;=25,"Under 25",A454&lt;=35,"26–35",A454&lt;=45,"36–45",A454&gt;45,"46+")</f>
        <v>36–45</v>
      </c>
      <c r="AK454" t="str" cm="1">
        <f t="array" ref="AK454">_xlfn.IFS(R454&lt;=3000,"Low",R454&lt;=7000,"Mid",R454&lt;=12000,"High",R454&gt;12000,"Top")</f>
        <v>Top</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_xlfn.IFS(A455&lt;=25,"Under 25",A455&lt;=35,"26–35",A455&lt;=45,"36–45",A455&gt;45,"46+")</f>
        <v>26–35</v>
      </c>
      <c r="AK455" t="str" cm="1">
        <f t="array" ref="AK455">_xlfn.IFS(R455&lt;=3000,"Low",R455&lt;=7000,"Mid",R455&lt;=12000,"High",R455&gt;12000,"Top")</f>
        <v>Top</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_xlfn.IFS(A456&lt;=25,"Under 25",A456&lt;=35,"26–35",A456&lt;=45,"36–45",A456&gt;45,"46+")</f>
        <v>26–35</v>
      </c>
      <c r="AK456" t="str" cm="1">
        <f t="array" ref="AK456">_xlfn.IFS(R456&lt;=3000,"Low",R456&lt;=7000,"Mid",R456&lt;=12000,"High",R456&gt;12000,"Top")</f>
        <v>Top</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_xlfn.IFS(A457&lt;=25,"Under 25",A457&lt;=35,"26–35",A457&lt;=45,"36–45",A457&gt;45,"46+")</f>
        <v>26–35</v>
      </c>
      <c r="AK457" t="str" cm="1">
        <f t="array" ref="AK457">_xlfn.IFS(R457&lt;=3000,"Low",R457&lt;=7000,"Mid",R457&lt;=12000,"High",R457&gt;12000,"Top")</f>
        <v>Top</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_xlfn.IFS(A458&lt;=25,"Under 25",A458&lt;=35,"26–35",A458&lt;=45,"36–45",A458&gt;45,"46+")</f>
        <v>26–35</v>
      </c>
      <c r="AK458" t="str" cm="1">
        <f t="array" ref="AK458">_xlfn.IFS(R458&lt;=3000,"Low",R458&lt;=7000,"Mid",R458&lt;=12000,"High",R458&gt;12000,"Top")</f>
        <v>Top</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_xlfn.IFS(A459&lt;=25,"Under 25",A459&lt;=35,"26–35",A459&lt;=45,"36–45",A459&gt;45,"46+")</f>
        <v>Under 25</v>
      </c>
      <c r="AK459" t="str" cm="1">
        <f t="array" ref="AK459">_xlfn.IFS(R459&lt;=3000,"Low",R459&lt;=7000,"Mid",R459&lt;=12000,"High",R459&gt;12000,"Top")</f>
        <v>Top</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_xlfn.IFS(A460&lt;=25,"Under 25",A460&lt;=35,"26–35",A460&lt;=45,"36–45",A460&gt;45,"46+")</f>
        <v>36–45</v>
      </c>
      <c r="AK460" t="str" cm="1">
        <f t="array" ref="AK460">_xlfn.IFS(R460&lt;=3000,"Low",R460&lt;=7000,"Mid",R460&lt;=12000,"High",R460&gt;12000,"Top")</f>
        <v>Top</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_xlfn.IFS(A461&lt;=25,"Under 25",A461&lt;=35,"26–35",A461&lt;=45,"36–45",A461&gt;45,"46+")</f>
        <v>36–45</v>
      </c>
      <c r="AK461" t="str" cm="1">
        <f t="array" ref="AK461">_xlfn.IFS(R461&lt;=3000,"Low",R461&lt;=7000,"Mid",R461&lt;=12000,"High",R461&gt;12000,"Top")</f>
        <v>Top</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_xlfn.IFS(A462&lt;=25,"Under 25",A462&lt;=35,"26–35",A462&lt;=45,"36–45",A462&gt;45,"46+")</f>
        <v>26–35</v>
      </c>
      <c r="AK462" t="str" cm="1">
        <f t="array" ref="AK462">_xlfn.IFS(R462&lt;=3000,"Low",R462&lt;=7000,"Mid",R462&lt;=12000,"High",R462&gt;12000,"Top")</f>
        <v>Top</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_xlfn.IFS(A463&lt;=25,"Under 25",A463&lt;=35,"26–35",A463&lt;=45,"36–45",A463&gt;45,"46+")</f>
        <v>26–35</v>
      </c>
      <c r="AK463" t="str" cm="1">
        <f t="array" ref="AK463">_xlfn.IFS(R463&lt;=3000,"Low",R463&lt;=7000,"Mid",R463&lt;=12000,"High",R463&gt;12000,"Top")</f>
        <v>Top</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_xlfn.IFS(A464&lt;=25,"Under 25",A464&lt;=35,"26–35",A464&lt;=45,"36–45",A464&gt;45,"46+")</f>
        <v>26–35</v>
      </c>
      <c r="AK464" t="str" cm="1">
        <f t="array" ref="AK464">_xlfn.IFS(R464&lt;=3000,"Low",R464&lt;=7000,"Mid",R464&lt;=12000,"High",R464&gt;12000,"Top")</f>
        <v>Top</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_xlfn.IFS(A465&lt;=25,"Under 25",A465&lt;=35,"26–35",A465&lt;=45,"36–45",A465&gt;45,"46+")</f>
        <v>26–35</v>
      </c>
      <c r="AK465" t="str" cm="1">
        <f t="array" ref="AK465">_xlfn.IFS(R465&lt;=3000,"Low",R465&lt;=7000,"Mid",R465&lt;=12000,"High",R465&gt;12000,"Top")</f>
        <v>Top</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_xlfn.IFS(A466&lt;=25,"Under 25",A466&lt;=35,"26–35",A466&lt;=45,"36–45",A466&gt;45,"46+")</f>
        <v>36–45</v>
      </c>
      <c r="AK466" t="str" cm="1">
        <f t="array" ref="AK466">_xlfn.IFS(R466&lt;=3000,"Low",R466&lt;=7000,"Mid",R466&lt;=12000,"High",R466&gt;12000,"Top")</f>
        <v>Top</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_xlfn.IFS(A467&lt;=25,"Under 25",A467&lt;=35,"26–35",A467&lt;=45,"36–45",A467&gt;45,"46+")</f>
        <v>46+</v>
      </c>
      <c r="AK467" t="str" cm="1">
        <f t="array" ref="AK467">_xlfn.IFS(R467&lt;=3000,"Low",R467&lt;=7000,"Mid",R467&lt;=12000,"High",R467&gt;12000,"Top")</f>
        <v>Top</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_xlfn.IFS(A468&lt;=25,"Under 25",A468&lt;=35,"26–35",A468&lt;=45,"36–45",A468&gt;45,"46+")</f>
        <v>36–45</v>
      </c>
      <c r="AK468" t="str" cm="1">
        <f t="array" ref="AK468">_xlfn.IFS(R468&lt;=3000,"Low",R468&lt;=7000,"Mid",R468&lt;=12000,"High",R468&gt;12000,"Top")</f>
        <v>Top</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_xlfn.IFS(A469&lt;=25,"Under 25",A469&lt;=35,"26–35",A469&lt;=45,"36–45",A469&gt;45,"46+")</f>
        <v>36–45</v>
      </c>
      <c r="AK469" t="str" cm="1">
        <f t="array" ref="AK469">_xlfn.IFS(R469&lt;=3000,"Low",R469&lt;=7000,"Mid",R469&lt;=12000,"High",R469&gt;12000,"Top")</f>
        <v>Top</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_xlfn.IFS(A470&lt;=25,"Under 25",A470&lt;=35,"26–35",A470&lt;=45,"36–45",A470&gt;45,"46+")</f>
        <v>46+</v>
      </c>
      <c r="AK470" t="str" cm="1">
        <f t="array" ref="AK470">_xlfn.IFS(R470&lt;=3000,"Low",R470&lt;=7000,"Mid",R470&lt;=12000,"High",R470&gt;12000,"Top")</f>
        <v>Top</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_xlfn.IFS(A471&lt;=25,"Under 25",A471&lt;=35,"26–35",A471&lt;=45,"36–45",A471&gt;45,"46+")</f>
        <v>26–35</v>
      </c>
      <c r="AK471" t="str" cm="1">
        <f t="array" ref="AK471">_xlfn.IFS(R471&lt;=3000,"Low",R471&lt;=7000,"Mid",R471&lt;=12000,"High",R471&gt;12000,"Top")</f>
        <v>Top</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_xlfn.IFS(A472&lt;=25,"Under 25",A472&lt;=35,"26–35",A472&lt;=45,"36–45",A472&gt;45,"46+")</f>
        <v>Under 25</v>
      </c>
      <c r="AK472" t="str" cm="1">
        <f t="array" ref="AK472">_xlfn.IFS(R472&lt;=3000,"Low",R472&lt;=7000,"Mid",R472&lt;=12000,"High",R472&gt;12000,"Top")</f>
        <v>Top</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_xlfn.IFS(A473&lt;=25,"Under 25",A473&lt;=35,"26–35",A473&lt;=45,"36–45",A473&gt;45,"46+")</f>
        <v>36–45</v>
      </c>
      <c r="AK473" t="str" cm="1">
        <f t="array" ref="AK473">_xlfn.IFS(R473&lt;=3000,"Low",R473&lt;=7000,"Mid",R473&lt;=12000,"High",R473&gt;12000,"Top")</f>
        <v>Top</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_xlfn.IFS(A474&lt;=25,"Under 25",A474&lt;=35,"26–35",A474&lt;=45,"36–45",A474&gt;45,"46+")</f>
        <v>36–45</v>
      </c>
      <c r="AK474" t="str" cm="1">
        <f t="array" ref="AK474">_xlfn.IFS(R474&lt;=3000,"Low",R474&lt;=7000,"Mid",R474&lt;=12000,"High",R474&gt;12000,"Top")</f>
        <v>Top</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_xlfn.IFS(A475&lt;=25,"Under 25",A475&lt;=35,"26–35",A475&lt;=45,"36–45",A475&gt;45,"46+")</f>
        <v>46+</v>
      </c>
      <c r="AK475" t="str" cm="1">
        <f t="array" ref="AK475">_xlfn.IFS(R475&lt;=3000,"Low",R475&lt;=7000,"Mid",R475&lt;=12000,"High",R475&gt;12000,"Top")</f>
        <v>Top</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_xlfn.IFS(A476&lt;=25,"Under 25",A476&lt;=35,"26–35",A476&lt;=45,"36–45",A476&gt;45,"46+")</f>
        <v>Under 25</v>
      </c>
      <c r="AK476" t="str" cm="1">
        <f t="array" ref="AK476">_xlfn.IFS(R476&lt;=3000,"Low",R476&lt;=7000,"Mid",R476&lt;=12000,"High",R476&gt;12000,"Top")</f>
        <v>Top</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_xlfn.IFS(A477&lt;=25,"Under 25",A477&lt;=35,"26–35",A477&lt;=45,"36–45",A477&gt;45,"46+")</f>
        <v>26–35</v>
      </c>
      <c r="AK477" t="str" cm="1">
        <f t="array" ref="AK477">_xlfn.IFS(R477&lt;=3000,"Low",R477&lt;=7000,"Mid",R477&lt;=12000,"High",R477&gt;12000,"Top")</f>
        <v>Top</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_xlfn.IFS(A478&lt;=25,"Under 25",A478&lt;=35,"26–35",A478&lt;=45,"36–45",A478&gt;45,"46+")</f>
        <v>Under 25</v>
      </c>
      <c r="AK478" t="str" cm="1">
        <f t="array" ref="AK478">_xlfn.IFS(R478&lt;=3000,"Low",R478&lt;=7000,"Mid",R478&lt;=12000,"High",R478&gt;12000,"Top")</f>
        <v>Top</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_xlfn.IFS(A479&lt;=25,"Under 25",A479&lt;=35,"26–35",A479&lt;=45,"36–45",A479&gt;45,"46+")</f>
        <v>46+</v>
      </c>
      <c r="AK479" t="str" cm="1">
        <f t="array" ref="AK479">_xlfn.IFS(R479&lt;=3000,"Low",R479&lt;=7000,"Mid",R479&lt;=12000,"High",R479&gt;12000,"Top")</f>
        <v>Top</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_xlfn.IFS(A480&lt;=25,"Under 25",A480&lt;=35,"26–35",A480&lt;=45,"36–45",A480&gt;45,"46+")</f>
        <v>Under 25</v>
      </c>
      <c r="AK480" t="str" cm="1">
        <f t="array" ref="AK480">_xlfn.IFS(R480&lt;=3000,"Low",R480&lt;=7000,"Mid",R480&lt;=12000,"High",R480&gt;12000,"Top")</f>
        <v>Top</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_xlfn.IFS(A481&lt;=25,"Under 25",A481&lt;=35,"26–35",A481&lt;=45,"36–45",A481&gt;45,"46+")</f>
        <v>Under 25</v>
      </c>
      <c r="AK481" t="str" cm="1">
        <f t="array" ref="AK481">_xlfn.IFS(R481&lt;=3000,"Low",R481&lt;=7000,"Mid",R481&lt;=12000,"High",R481&gt;12000,"Top")</f>
        <v>Top</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_xlfn.IFS(A482&lt;=25,"Under 25",A482&lt;=35,"26–35",A482&lt;=45,"36–45",A482&gt;45,"46+")</f>
        <v>26–35</v>
      </c>
      <c r="AK482" t="str" cm="1">
        <f t="array" ref="AK482">_xlfn.IFS(R482&lt;=3000,"Low",R482&lt;=7000,"Mid",R482&lt;=12000,"High",R482&gt;12000,"Top")</f>
        <v>Top</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_xlfn.IFS(A483&lt;=25,"Under 25",A483&lt;=35,"26–35",A483&lt;=45,"36–45",A483&gt;45,"46+")</f>
        <v>26–35</v>
      </c>
      <c r="AK483" t="str" cm="1">
        <f t="array" ref="AK483">_xlfn.IFS(R483&lt;=3000,"Low",R483&lt;=7000,"Mid",R483&lt;=12000,"High",R483&gt;12000,"Top")</f>
        <v>Top</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_xlfn.IFS(A484&lt;=25,"Under 25",A484&lt;=35,"26–35",A484&lt;=45,"36–45",A484&gt;45,"46+")</f>
        <v>26–35</v>
      </c>
      <c r="AK484" t="str" cm="1">
        <f t="array" ref="AK484">_xlfn.IFS(R484&lt;=3000,"Low",R484&lt;=7000,"Mid",R484&lt;=12000,"High",R484&gt;12000,"Top")</f>
        <v>Top</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_xlfn.IFS(A485&lt;=25,"Under 25",A485&lt;=35,"26–35",A485&lt;=45,"36–45",A485&gt;45,"46+")</f>
        <v>26–35</v>
      </c>
      <c r="AK485" t="str" cm="1">
        <f t="array" ref="AK485">_xlfn.IFS(R485&lt;=3000,"Low",R485&lt;=7000,"Mid",R485&lt;=12000,"High",R485&gt;12000,"Top")</f>
        <v>Top</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_xlfn.IFS(A486&lt;=25,"Under 25",A486&lt;=35,"26–35",A486&lt;=45,"36–45",A486&gt;45,"46+")</f>
        <v>26–35</v>
      </c>
      <c r="AK486" t="str" cm="1">
        <f t="array" ref="AK486">_xlfn.IFS(R486&lt;=3000,"Low",R486&lt;=7000,"Mid",R486&lt;=12000,"High",R486&gt;12000,"Top")</f>
        <v>Top</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_xlfn.IFS(A487&lt;=25,"Under 25",A487&lt;=35,"26–35",A487&lt;=45,"36–45",A487&gt;45,"46+")</f>
        <v>26–35</v>
      </c>
      <c r="AK487" t="str" cm="1">
        <f t="array" ref="AK487">_xlfn.IFS(R487&lt;=3000,"Low",R487&lt;=7000,"Mid",R487&lt;=12000,"High",R487&gt;12000,"Top")</f>
        <v>Top</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_xlfn.IFS(A488&lt;=25,"Under 25",A488&lt;=35,"26–35",A488&lt;=45,"36–45",A488&gt;45,"46+")</f>
        <v>36–45</v>
      </c>
      <c r="AK488" t="str" cm="1">
        <f t="array" ref="AK488">_xlfn.IFS(R488&lt;=3000,"Low",R488&lt;=7000,"Mid",R488&lt;=12000,"High",R488&gt;12000,"Top")</f>
        <v>Top</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_xlfn.IFS(A489&lt;=25,"Under 25",A489&lt;=35,"26–35",A489&lt;=45,"36–45",A489&gt;45,"46+")</f>
        <v>Under 25</v>
      </c>
      <c r="AK489" t="str" cm="1">
        <f t="array" ref="AK489">_xlfn.IFS(R489&lt;=3000,"Low",R489&lt;=7000,"Mid",R489&lt;=12000,"High",R489&gt;12000,"Top")</f>
        <v>Top</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_xlfn.IFS(A490&lt;=25,"Under 25",A490&lt;=35,"26–35",A490&lt;=45,"36–45",A490&gt;45,"46+")</f>
        <v>36–45</v>
      </c>
      <c r="AK490" t="str" cm="1">
        <f t="array" ref="AK490">_xlfn.IFS(R490&lt;=3000,"Low",R490&lt;=7000,"Mid",R490&lt;=12000,"High",R490&gt;12000,"Top")</f>
        <v>Top</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_xlfn.IFS(A491&lt;=25,"Under 25",A491&lt;=35,"26–35",A491&lt;=45,"36–45",A491&gt;45,"46+")</f>
        <v>36–45</v>
      </c>
      <c r="AK491" t="str" cm="1">
        <f t="array" ref="AK491">_xlfn.IFS(R491&lt;=3000,"Low",R491&lt;=7000,"Mid",R491&lt;=12000,"High",R491&gt;12000,"Top")</f>
        <v>Top</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_xlfn.IFS(A492&lt;=25,"Under 25",A492&lt;=35,"26–35",A492&lt;=45,"36–45",A492&gt;45,"46+")</f>
        <v>36–45</v>
      </c>
      <c r="AK492" t="str" cm="1">
        <f t="array" ref="AK492">_xlfn.IFS(R492&lt;=3000,"Low",R492&lt;=7000,"Mid",R492&lt;=12000,"High",R492&gt;12000,"Top")</f>
        <v>Top</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_xlfn.IFS(A493&lt;=25,"Under 25",A493&lt;=35,"26–35",A493&lt;=45,"36–45",A493&gt;45,"46+")</f>
        <v>36–45</v>
      </c>
      <c r="AK493" t="str" cm="1">
        <f t="array" ref="AK493">_xlfn.IFS(R493&lt;=3000,"Low",R493&lt;=7000,"Mid",R493&lt;=12000,"High",R493&gt;12000,"Top")</f>
        <v>Top</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_xlfn.IFS(A494&lt;=25,"Under 25",A494&lt;=35,"26–35",A494&lt;=45,"36–45",A494&gt;45,"46+")</f>
        <v>46+</v>
      </c>
      <c r="AK494" t="str" cm="1">
        <f t="array" ref="AK494">_xlfn.IFS(R494&lt;=3000,"Low",R494&lt;=7000,"Mid",R494&lt;=12000,"High",R494&gt;12000,"Top")</f>
        <v>Top</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_xlfn.IFS(A495&lt;=25,"Under 25",A495&lt;=35,"26–35",A495&lt;=45,"36–45",A495&gt;45,"46+")</f>
        <v>36–45</v>
      </c>
      <c r="AK495" t="str" cm="1">
        <f t="array" ref="AK495">_xlfn.IFS(R495&lt;=3000,"Low",R495&lt;=7000,"Mid",R495&lt;=12000,"High",R495&gt;12000,"Top")</f>
        <v>Top</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_xlfn.IFS(A496&lt;=25,"Under 25",A496&lt;=35,"26–35",A496&lt;=45,"36–45",A496&gt;45,"46+")</f>
        <v>26–35</v>
      </c>
      <c r="AK496" t="str" cm="1">
        <f t="array" ref="AK496">_xlfn.IFS(R496&lt;=3000,"Low",R496&lt;=7000,"Mid",R496&lt;=12000,"High",R496&gt;12000,"Top")</f>
        <v>Top</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_xlfn.IFS(A497&lt;=25,"Under 25",A497&lt;=35,"26–35",A497&lt;=45,"36–45",A497&gt;45,"46+")</f>
        <v>26–35</v>
      </c>
      <c r="AK497" t="str" cm="1">
        <f t="array" ref="AK497">_xlfn.IFS(R497&lt;=3000,"Low",R497&lt;=7000,"Mid",R497&lt;=12000,"High",R497&gt;12000,"Top")</f>
        <v>Top</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_xlfn.IFS(A498&lt;=25,"Under 25",A498&lt;=35,"26–35",A498&lt;=45,"36–45",A498&gt;45,"46+")</f>
        <v>Under 25</v>
      </c>
      <c r="AK498" t="str" cm="1">
        <f t="array" ref="AK498">_xlfn.IFS(R498&lt;=3000,"Low",R498&lt;=7000,"Mid",R498&lt;=12000,"High",R498&gt;12000,"Top")</f>
        <v>Top</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_xlfn.IFS(A499&lt;=25,"Under 25",A499&lt;=35,"26–35",A499&lt;=45,"36–45",A499&gt;45,"46+")</f>
        <v>36–45</v>
      </c>
      <c r="AK499" t="str" cm="1">
        <f t="array" ref="AK499">_xlfn.IFS(R499&lt;=3000,"Low",R499&lt;=7000,"Mid",R499&lt;=12000,"High",R499&gt;12000,"Top")</f>
        <v>Top</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_xlfn.IFS(A500&lt;=25,"Under 25",A500&lt;=35,"26–35",A500&lt;=45,"36–45",A500&gt;45,"46+")</f>
        <v>Under 25</v>
      </c>
      <c r="AK500" t="str" cm="1">
        <f t="array" ref="AK500">_xlfn.IFS(R500&lt;=3000,"Low",R500&lt;=7000,"Mid",R500&lt;=12000,"High",R500&gt;12000,"Top")</f>
        <v>Top</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_xlfn.IFS(A501&lt;=25,"Under 25",A501&lt;=35,"26–35",A501&lt;=45,"36–45",A501&gt;45,"46+")</f>
        <v>26–35</v>
      </c>
      <c r="AK501" t="str" cm="1">
        <f t="array" ref="AK501">_xlfn.IFS(R501&lt;=3000,"Low",R501&lt;=7000,"Mid",R501&lt;=12000,"High",R501&gt;12000,"Top")</f>
        <v>Top</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_xlfn.IFS(A502&lt;=25,"Under 25",A502&lt;=35,"26–35",A502&lt;=45,"36–45",A502&gt;45,"46+")</f>
        <v>26–35</v>
      </c>
      <c r="AK502" t="str" cm="1">
        <f t="array" ref="AK502">_xlfn.IFS(R502&lt;=3000,"Low",R502&lt;=7000,"Mid",R502&lt;=12000,"High",R502&gt;12000,"Top")</f>
        <v>Top</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_xlfn.IFS(A503&lt;=25,"Under 25",A503&lt;=35,"26–35",A503&lt;=45,"36–45",A503&gt;45,"46+")</f>
        <v>26–35</v>
      </c>
      <c r="AK503" t="str" cm="1">
        <f t="array" ref="AK503">_xlfn.IFS(R503&lt;=3000,"Low",R503&lt;=7000,"Mid",R503&lt;=12000,"High",R503&gt;12000,"Top")</f>
        <v>Top</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_xlfn.IFS(A504&lt;=25,"Under 25",A504&lt;=35,"26–35",A504&lt;=45,"36–45",A504&gt;45,"46+")</f>
        <v>46+</v>
      </c>
      <c r="AK504" t="str" cm="1">
        <f t="array" ref="AK504">_xlfn.IFS(R504&lt;=3000,"Low",R504&lt;=7000,"Mid",R504&lt;=12000,"High",R504&gt;12000,"Top")</f>
        <v>Top</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_xlfn.IFS(A505&lt;=25,"Under 25",A505&lt;=35,"26–35",A505&lt;=45,"36–45",A505&gt;45,"46+")</f>
        <v>26–35</v>
      </c>
      <c r="AK505" t="str" cm="1">
        <f t="array" ref="AK505">_xlfn.IFS(R505&lt;=3000,"Low",R505&lt;=7000,"Mid",R505&lt;=12000,"High",R505&gt;12000,"Top")</f>
        <v>Top</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_xlfn.IFS(A506&lt;=25,"Under 25",A506&lt;=35,"26–35",A506&lt;=45,"36–45",A506&gt;45,"46+")</f>
        <v>36–45</v>
      </c>
      <c r="AK506" t="str" cm="1">
        <f t="array" ref="AK506">_xlfn.IFS(R506&lt;=3000,"Low",R506&lt;=7000,"Mid",R506&lt;=12000,"High",R506&gt;12000,"Top")</f>
        <v>Top</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_xlfn.IFS(A507&lt;=25,"Under 25",A507&lt;=35,"26–35",A507&lt;=45,"36–45",A507&gt;45,"46+")</f>
        <v>26–35</v>
      </c>
      <c r="AK507" t="str" cm="1">
        <f t="array" ref="AK507">_xlfn.IFS(R507&lt;=3000,"Low",R507&lt;=7000,"Mid",R507&lt;=12000,"High",R507&gt;12000,"Top")</f>
        <v>Top</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_xlfn.IFS(A508&lt;=25,"Under 25",A508&lt;=35,"26–35",A508&lt;=45,"36–45",A508&gt;45,"46+")</f>
        <v>36–45</v>
      </c>
      <c r="AK508" t="str" cm="1">
        <f t="array" ref="AK508">_xlfn.IFS(R508&lt;=3000,"Low",R508&lt;=7000,"Mid",R508&lt;=12000,"High",R508&gt;12000,"Top")</f>
        <v>Top</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_xlfn.IFS(A509&lt;=25,"Under 25",A509&lt;=35,"26–35",A509&lt;=45,"36–45",A509&gt;45,"46+")</f>
        <v>26–35</v>
      </c>
      <c r="AK509" t="str" cm="1">
        <f t="array" ref="AK509">_xlfn.IFS(R509&lt;=3000,"Low",R509&lt;=7000,"Mid",R509&lt;=12000,"High",R509&gt;12000,"Top")</f>
        <v>Top</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_xlfn.IFS(A510&lt;=25,"Under 25",A510&lt;=35,"26–35",A510&lt;=45,"36–45",A510&gt;45,"46+")</f>
        <v>26–35</v>
      </c>
      <c r="AK510" t="str" cm="1">
        <f t="array" ref="AK510">_xlfn.IFS(R510&lt;=3000,"Low",R510&lt;=7000,"Mid",R510&lt;=12000,"High",R510&gt;12000,"Top")</f>
        <v>Top</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_xlfn.IFS(A511&lt;=25,"Under 25",A511&lt;=35,"26–35",A511&lt;=45,"36–45",A511&gt;45,"46+")</f>
        <v>26–35</v>
      </c>
      <c r="AK511" t="str" cm="1">
        <f t="array" ref="AK511">_xlfn.IFS(R511&lt;=3000,"Low",R511&lt;=7000,"Mid",R511&lt;=12000,"High",R511&gt;12000,"Top")</f>
        <v>Top</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_xlfn.IFS(A512&lt;=25,"Under 25",A512&lt;=35,"26–35",A512&lt;=45,"36–45",A512&gt;45,"46+")</f>
        <v>46+</v>
      </c>
      <c r="AK512" t="str" cm="1">
        <f t="array" ref="AK512">_xlfn.IFS(R512&lt;=3000,"Low",R512&lt;=7000,"Mid",R512&lt;=12000,"High",R512&gt;12000,"Top")</f>
        <v>Top</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_xlfn.IFS(A513&lt;=25,"Under 25",A513&lt;=35,"26–35",A513&lt;=45,"36–45",A513&gt;45,"46+")</f>
        <v>36–45</v>
      </c>
      <c r="AK513" t="str" cm="1">
        <f t="array" ref="AK513">_xlfn.IFS(R513&lt;=3000,"Low",R513&lt;=7000,"Mid",R513&lt;=12000,"High",R513&gt;12000,"Top")</f>
        <v>Top</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_xlfn.IFS(A514&lt;=25,"Under 25",A514&lt;=35,"26–35",A514&lt;=45,"36–45",A514&gt;45,"46+")</f>
        <v>26–35</v>
      </c>
      <c r="AK514" t="str" cm="1">
        <f t="array" ref="AK514">_xlfn.IFS(R514&lt;=3000,"Low",R514&lt;=7000,"Mid",R514&lt;=12000,"High",R514&gt;12000,"Top")</f>
        <v>Top</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_xlfn.IFS(A515&lt;=25,"Under 25",A515&lt;=35,"26–35",A515&lt;=45,"36–45",A515&gt;45,"46+")</f>
        <v>Under 25</v>
      </c>
      <c r="AK515" t="str" cm="1">
        <f t="array" ref="AK515">_xlfn.IFS(R515&lt;=3000,"Low",R515&lt;=7000,"Mid",R515&lt;=12000,"High",R515&gt;12000,"Top")</f>
        <v>Top</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_xlfn.IFS(A516&lt;=25,"Under 25",A516&lt;=35,"26–35",A516&lt;=45,"36–45",A516&gt;45,"46+")</f>
        <v>26–35</v>
      </c>
      <c r="AK516" t="str" cm="1">
        <f t="array" ref="AK516">_xlfn.IFS(R516&lt;=3000,"Low",R516&lt;=7000,"Mid",R516&lt;=12000,"High",R516&gt;12000,"Top")</f>
        <v>Top</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_xlfn.IFS(A517&lt;=25,"Under 25",A517&lt;=35,"26–35",A517&lt;=45,"36–45",A517&gt;45,"46+")</f>
        <v>26–35</v>
      </c>
      <c r="AK517" t="str" cm="1">
        <f t="array" ref="AK517">_xlfn.IFS(R517&lt;=3000,"Low",R517&lt;=7000,"Mid",R517&lt;=12000,"High",R517&gt;12000,"Top")</f>
        <v>Top</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_xlfn.IFS(A518&lt;=25,"Under 25",A518&lt;=35,"26–35",A518&lt;=45,"36–45",A518&gt;45,"46+")</f>
        <v>Under 25</v>
      </c>
      <c r="AK518" t="str" cm="1">
        <f t="array" ref="AK518">_xlfn.IFS(R518&lt;=3000,"Low",R518&lt;=7000,"Mid",R518&lt;=12000,"High",R518&gt;12000,"Top")</f>
        <v>Top</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_xlfn.IFS(A519&lt;=25,"Under 25",A519&lt;=35,"26–35",A519&lt;=45,"36–45",A519&gt;45,"46+")</f>
        <v>Under 25</v>
      </c>
      <c r="AK519" t="str" cm="1">
        <f t="array" ref="AK519">_xlfn.IFS(R519&lt;=3000,"Low",R519&lt;=7000,"Mid",R519&lt;=12000,"High",R519&gt;12000,"Top")</f>
        <v>Top</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_xlfn.IFS(A520&lt;=25,"Under 25",A520&lt;=35,"26–35",A520&lt;=45,"36–45",A520&gt;45,"46+")</f>
        <v>36–45</v>
      </c>
      <c r="AK520" t="str" cm="1">
        <f t="array" ref="AK520">_xlfn.IFS(R520&lt;=3000,"Low",R520&lt;=7000,"Mid",R520&lt;=12000,"High",R520&gt;12000,"Top")</f>
        <v>Top</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_xlfn.IFS(A521&lt;=25,"Under 25",A521&lt;=35,"26–35",A521&lt;=45,"36–45",A521&gt;45,"46+")</f>
        <v>26–35</v>
      </c>
      <c r="AK521" t="str" cm="1">
        <f t="array" ref="AK521">_xlfn.IFS(R521&lt;=3000,"Low",R521&lt;=7000,"Mid",R521&lt;=12000,"High",R521&gt;12000,"Top")</f>
        <v>Top</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_xlfn.IFS(A522&lt;=25,"Under 25",A522&lt;=35,"26–35",A522&lt;=45,"36–45",A522&gt;45,"46+")</f>
        <v>46+</v>
      </c>
      <c r="AK522" t="str" cm="1">
        <f t="array" ref="AK522">_xlfn.IFS(R522&lt;=3000,"Low",R522&lt;=7000,"Mid",R522&lt;=12000,"High",R522&gt;12000,"Top")</f>
        <v>Top</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_xlfn.IFS(A523&lt;=25,"Under 25",A523&lt;=35,"26–35",A523&lt;=45,"36–45",A523&gt;45,"46+")</f>
        <v>26–35</v>
      </c>
      <c r="AK523" t="str" cm="1">
        <f t="array" ref="AK523">_xlfn.IFS(R523&lt;=3000,"Low",R523&lt;=7000,"Mid",R523&lt;=12000,"High",R523&gt;12000,"Top")</f>
        <v>Top</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_xlfn.IFS(A524&lt;=25,"Under 25",A524&lt;=35,"26–35",A524&lt;=45,"36–45",A524&gt;45,"46+")</f>
        <v>36–45</v>
      </c>
      <c r="AK524" t="str" cm="1">
        <f t="array" ref="AK524">_xlfn.IFS(R524&lt;=3000,"Low",R524&lt;=7000,"Mid",R524&lt;=12000,"High",R524&gt;12000,"Top")</f>
        <v>Top</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_xlfn.IFS(A525&lt;=25,"Under 25",A525&lt;=35,"26–35",A525&lt;=45,"36–45",A525&gt;45,"46+")</f>
        <v>46+</v>
      </c>
      <c r="AK525" t="str" cm="1">
        <f t="array" ref="AK525">_xlfn.IFS(R525&lt;=3000,"Low",R525&lt;=7000,"Mid",R525&lt;=12000,"High",R525&gt;12000,"Top")</f>
        <v>Top</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_xlfn.IFS(A526&lt;=25,"Under 25",A526&lt;=35,"26–35",A526&lt;=45,"36–45",A526&gt;45,"46+")</f>
        <v>26–35</v>
      </c>
      <c r="AK526" t="str" cm="1">
        <f t="array" ref="AK526">_xlfn.IFS(R526&lt;=3000,"Low",R526&lt;=7000,"Mid",R526&lt;=12000,"High",R526&gt;12000,"Top")</f>
        <v>Top</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_xlfn.IFS(A527&lt;=25,"Under 25",A527&lt;=35,"26–35",A527&lt;=45,"36–45",A527&gt;45,"46+")</f>
        <v>Under 25</v>
      </c>
      <c r="AK527" t="str" cm="1">
        <f t="array" ref="AK527">_xlfn.IFS(R527&lt;=3000,"Low",R527&lt;=7000,"Mid",R527&lt;=12000,"High",R527&gt;12000,"Top")</f>
        <v>Top</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_xlfn.IFS(A528&lt;=25,"Under 25",A528&lt;=35,"26–35",A528&lt;=45,"36–45",A528&gt;45,"46+")</f>
        <v>36–45</v>
      </c>
      <c r="AK528" t="str" cm="1">
        <f t="array" ref="AK528">_xlfn.IFS(R528&lt;=3000,"Low",R528&lt;=7000,"Mid",R528&lt;=12000,"High",R528&gt;12000,"Top")</f>
        <v>Top</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_xlfn.IFS(A529&lt;=25,"Under 25",A529&lt;=35,"26–35",A529&lt;=45,"36–45",A529&gt;45,"46+")</f>
        <v>26–35</v>
      </c>
      <c r="AK529" t="str" cm="1">
        <f t="array" ref="AK529">_xlfn.IFS(R529&lt;=3000,"Low",R529&lt;=7000,"Mid",R529&lt;=12000,"High",R529&gt;12000,"Top")</f>
        <v>Top</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_xlfn.IFS(A530&lt;=25,"Under 25",A530&lt;=35,"26–35",A530&lt;=45,"36–45",A530&gt;45,"46+")</f>
        <v>46+</v>
      </c>
      <c r="AK530" t="str" cm="1">
        <f t="array" ref="AK530">_xlfn.IFS(R530&lt;=3000,"Low",R530&lt;=7000,"Mid",R530&lt;=12000,"High",R530&gt;12000,"Top")</f>
        <v>Top</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_xlfn.IFS(A531&lt;=25,"Under 25",A531&lt;=35,"26–35",A531&lt;=45,"36–45",A531&gt;45,"46+")</f>
        <v>36–45</v>
      </c>
      <c r="AK531" t="str" cm="1">
        <f t="array" ref="AK531">_xlfn.IFS(R531&lt;=3000,"Low",R531&lt;=7000,"Mid",R531&lt;=12000,"High",R531&gt;12000,"Top")</f>
        <v>Top</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_xlfn.IFS(A532&lt;=25,"Under 25",A532&lt;=35,"26–35",A532&lt;=45,"36–45",A532&gt;45,"46+")</f>
        <v>26–35</v>
      </c>
      <c r="AK532" t="str" cm="1">
        <f t="array" ref="AK532">_xlfn.IFS(R532&lt;=3000,"Low",R532&lt;=7000,"Mid",R532&lt;=12000,"High",R532&gt;12000,"Top")</f>
        <v>Top</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_xlfn.IFS(A533&lt;=25,"Under 25",A533&lt;=35,"26–35",A533&lt;=45,"36–45",A533&gt;45,"46+")</f>
        <v>26–35</v>
      </c>
      <c r="AK533" t="str" cm="1">
        <f t="array" ref="AK533">_xlfn.IFS(R533&lt;=3000,"Low",R533&lt;=7000,"Mid",R533&lt;=12000,"High",R533&gt;12000,"Top")</f>
        <v>Top</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_xlfn.IFS(A534&lt;=25,"Under 25",A534&lt;=35,"26–35",A534&lt;=45,"36–45",A534&gt;45,"46+")</f>
        <v>46+</v>
      </c>
      <c r="AK534" t="str" cm="1">
        <f t="array" ref="AK534">_xlfn.IFS(R534&lt;=3000,"Low",R534&lt;=7000,"Mid",R534&lt;=12000,"High",R534&gt;12000,"Top")</f>
        <v>Top</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_xlfn.IFS(A535&lt;=25,"Under 25",A535&lt;=35,"26–35",A535&lt;=45,"36–45",A535&gt;45,"46+")</f>
        <v>36–45</v>
      </c>
      <c r="AK535" t="str" cm="1">
        <f t="array" ref="AK535">_xlfn.IFS(R535&lt;=3000,"Low",R535&lt;=7000,"Mid",R535&lt;=12000,"High",R535&gt;12000,"Top")</f>
        <v>Top</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_xlfn.IFS(A536&lt;=25,"Under 25",A536&lt;=35,"26–35",A536&lt;=45,"36–45",A536&gt;45,"46+")</f>
        <v>46+</v>
      </c>
      <c r="AK536" t="str" cm="1">
        <f t="array" ref="AK536">_xlfn.IFS(R536&lt;=3000,"Low",R536&lt;=7000,"Mid",R536&lt;=12000,"High",R536&gt;12000,"Top")</f>
        <v>Top</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_xlfn.IFS(A537&lt;=25,"Under 25",A537&lt;=35,"26–35",A537&lt;=45,"36–45",A537&gt;45,"46+")</f>
        <v>36–45</v>
      </c>
      <c r="AK537" t="str" cm="1">
        <f t="array" ref="AK537">_xlfn.IFS(R537&lt;=3000,"Low",R537&lt;=7000,"Mid",R537&lt;=12000,"High",R537&gt;12000,"Top")</f>
        <v>Top</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_xlfn.IFS(A538&lt;=25,"Under 25",A538&lt;=35,"26–35",A538&lt;=45,"36–45",A538&gt;45,"46+")</f>
        <v>46+</v>
      </c>
      <c r="AK538" t="str" cm="1">
        <f t="array" ref="AK538">_xlfn.IFS(R538&lt;=3000,"Low",R538&lt;=7000,"Mid",R538&lt;=12000,"High",R538&gt;12000,"Top")</f>
        <v>Top</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_xlfn.IFS(A539&lt;=25,"Under 25",A539&lt;=35,"26–35",A539&lt;=45,"36–45",A539&gt;45,"46+")</f>
        <v>26–35</v>
      </c>
      <c r="AK539" t="str" cm="1">
        <f t="array" ref="AK539">_xlfn.IFS(R539&lt;=3000,"Low",R539&lt;=7000,"Mid",R539&lt;=12000,"High",R539&gt;12000,"Top")</f>
        <v>Top</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_xlfn.IFS(A540&lt;=25,"Under 25",A540&lt;=35,"26–35",A540&lt;=45,"36–45",A540&gt;45,"46+")</f>
        <v>36–45</v>
      </c>
      <c r="AK540" t="str" cm="1">
        <f t="array" ref="AK540">_xlfn.IFS(R540&lt;=3000,"Low",R540&lt;=7000,"Mid",R540&lt;=12000,"High",R540&gt;12000,"Top")</f>
        <v>Top</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_xlfn.IFS(A541&lt;=25,"Under 25",A541&lt;=35,"26–35",A541&lt;=45,"36–45",A541&gt;45,"46+")</f>
        <v>46+</v>
      </c>
      <c r="AK541" t="str" cm="1">
        <f t="array" ref="AK541">_xlfn.IFS(R541&lt;=3000,"Low",R541&lt;=7000,"Mid",R541&lt;=12000,"High",R541&gt;12000,"Top")</f>
        <v>Top</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_xlfn.IFS(A542&lt;=25,"Under 25",A542&lt;=35,"26–35",A542&lt;=45,"36–45",A542&gt;45,"46+")</f>
        <v>26–35</v>
      </c>
      <c r="AK542" t="str" cm="1">
        <f t="array" ref="AK542">_xlfn.IFS(R542&lt;=3000,"Low",R542&lt;=7000,"Mid",R542&lt;=12000,"High",R542&gt;12000,"Top")</f>
        <v>Top</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_xlfn.IFS(A543&lt;=25,"Under 25",A543&lt;=35,"26–35",A543&lt;=45,"36–45",A543&gt;45,"46+")</f>
        <v>36–45</v>
      </c>
      <c r="AK543" t="str" cm="1">
        <f t="array" ref="AK543">_xlfn.IFS(R543&lt;=3000,"Low",R543&lt;=7000,"Mid",R543&lt;=12000,"High",R543&gt;12000,"Top")</f>
        <v>Top</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_xlfn.IFS(A544&lt;=25,"Under 25",A544&lt;=35,"26–35",A544&lt;=45,"36–45",A544&gt;45,"46+")</f>
        <v>36–45</v>
      </c>
      <c r="AK544" t="str" cm="1">
        <f t="array" ref="AK544">_xlfn.IFS(R544&lt;=3000,"Low",R544&lt;=7000,"Mid",R544&lt;=12000,"High",R544&gt;12000,"Top")</f>
        <v>Top</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_xlfn.IFS(A545&lt;=25,"Under 25",A545&lt;=35,"26–35",A545&lt;=45,"36–45",A545&gt;45,"46+")</f>
        <v>36–45</v>
      </c>
      <c r="AK545" t="str" cm="1">
        <f t="array" ref="AK545">_xlfn.IFS(R545&lt;=3000,"Low",R545&lt;=7000,"Mid",R545&lt;=12000,"High",R545&gt;12000,"Top")</f>
        <v>Top</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_xlfn.IFS(A546&lt;=25,"Under 25",A546&lt;=35,"26–35",A546&lt;=45,"36–45",A546&gt;45,"46+")</f>
        <v>46+</v>
      </c>
      <c r="AK546" t="str" cm="1">
        <f t="array" ref="AK546">_xlfn.IFS(R546&lt;=3000,"Low",R546&lt;=7000,"Mid",R546&lt;=12000,"High",R546&gt;12000,"Top")</f>
        <v>Top</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_xlfn.IFS(A547&lt;=25,"Under 25",A547&lt;=35,"26–35",A547&lt;=45,"36–45",A547&gt;45,"46+")</f>
        <v>26–35</v>
      </c>
      <c r="AK547" t="str" cm="1">
        <f t="array" ref="AK547">_xlfn.IFS(R547&lt;=3000,"Low",R547&lt;=7000,"Mid",R547&lt;=12000,"High",R547&gt;12000,"Top")</f>
        <v>Top</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_xlfn.IFS(A548&lt;=25,"Under 25",A548&lt;=35,"26–35",A548&lt;=45,"36–45",A548&gt;45,"46+")</f>
        <v>26–35</v>
      </c>
      <c r="AK548" t="str" cm="1">
        <f t="array" ref="AK548">_xlfn.IFS(R548&lt;=3000,"Low",R548&lt;=7000,"Mid",R548&lt;=12000,"High",R548&gt;12000,"Top")</f>
        <v>Top</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_xlfn.IFS(A549&lt;=25,"Under 25",A549&lt;=35,"26–35",A549&lt;=45,"36–45",A549&gt;45,"46+")</f>
        <v>36–45</v>
      </c>
      <c r="AK549" t="str" cm="1">
        <f t="array" ref="AK549">_xlfn.IFS(R549&lt;=3000,"Low",R549&lt;=7000,"Mid",R549&lt;=12000,"High",R549&gt;12000,"Top")</f>
        <v>Top</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_xlfn.IFS(A550&lt;=25,"Under 25",A550&lt;=35,"26–35",A550&lt;=45,"36–45",A550&gt;45,"46+")</f>
        <v>36–45</v>
      </c>
      <c r="AK550" t="str" cm="1">
        <f t="array" ref="AK550">_xlfn.IFS(R550&lt;=3000,"Low",R550&lt;=7000,"Mid",R550&lt;=12000,"High",R550&gt;12000,"Top")</f>
        <v>Top</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_xlfn.IFS(A551&lt;=25,"Under 25",A551&lt;=35,"26–35",A551&lt;=45,"36–45",A551&gt;45,"46+")</f>
        <v>26–35</v>
      </c>
      <c r="AK551" t="str" cm="1">
        <f t="array" ref="AK551">_xlfn.IFS(R551&lt;=3000,"Low",R551&lt;=7000,"Mid",R551&lt;=12000,"High",R551&gt;12000,"Top")</f>
        <v>Top</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_xlfn.IFS(A552&lt;=25,"Under 25",A552&lt;=35,"26–35",A552&lt;=45,"36–45",A552&gt;45,"46+")</f>
        <v>Under 25</v>
      </c>
      <c r="AK552" t="str" cm="1">
        <f t="array" ref="AK552">_xlfn.IFS(R552&lt;=3000,"Low",R552&lt;=7000,"Mid",R552&lt;=12000,"High",R552&gt;12000,"Top")</f>
        <v>Top</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_xlfn.IFS(A553&lt;=25,"Under 25",A553&lt;=35,"26–35",A553&lt;=45,"36–45",A553&gt;45,"46+")</f>
        <v>36–45</v>
      </c>
      <c r="AK553" t="str" cm="1">
        <f t="array" ref="AK553">_xlfn.IFS(R553&lt;=3000,"Low",R553&lt;=7000,"Mid",R553&lt;=12000,"High",R553&gt;12000,"Top")</f>
        <v>Top</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_xlfn.IFS(A554&lt;=25,"Under 25",A554&lt;=35,"26–35",A554&lt;=45,"36–45",A554&gt;45,"46+")</f>
        <v>46+</v>
      </c>
      <c r="AK554" t="str" cm="1">
        <f t="array" ref="AK554">_xlfn.IFS(R554&lt;=3000,"Low",R554&lt;=7000,"Mid",R554&lt;=12000,"High",R554&gt;12000,"Top")</f>
        <v>Top</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_xlfn.IFS(A555&lt;=25,"Under 25",A555&lt;=35,"26–35",A555&lt;=45,"36–45",A555&gt;45,"46+")</f>
        <v>36–45</v>
      </c>
      <c r="AK555" t="str" cm="1">
        <f t="array" ref="AK555">_xlfn.IFS(R555&lt;=3000,"Low",R555&lt;=7000,"Mid",R555&lt;=12000,"High",R555&gt;12000,"Top")</f>
        <v>Top</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_xlfn.IFS(A556&lt;=25,"Under 25",A556&lt;=35,"26–35",A556&lt;=45,"36–45",A556&gt;45,"46+")</f>
        <v>26–35</v>
      </c>
      <c r="AK556" t="str" cm="1">
        <f t="array" ref="AK556">_xlfn.IFS(R556&lt;=3000,"Low",R556&lt;=7000,"Mid",R556&lt;=12000,"High",R556&gt;12000,"Top")</f>
        <v>Top</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_xlfn.IFS(A557&lt;=25,"Under 25",A557&lt;=35,"26–35",A557&lt;=45,"36–45",A557&gt;45,"46+")</f>
        <v>26–35</v>
      </c>
      <c r="AK557" t="str" cm="1">
        <f t="array" ref="AK557">_xlfn.IFS(R557&lt;=3000,"Low",R557&lt;=7000,"Mid",R557&lt;=12000,"High",R557&gt;12000,"Top")</f>
        <v>Top</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_xlfn.IFS(A558&lt;=25,"Under 25",A558&lt;=35,"26–35",A558&lt;=45,"36–45",A558&gt;45,"46+")</f>
        <v>46+</v>
      </c>
      <c r="AK558" t="str" cm="1">
        <f t="array" ref="AK558">_xlfn.IFS(R558&lt;=3000,"Low",R558&lt;=7000,"Mid",R558&lt;=12000,"High",R558&gt;12000,"Top")</f>
        <v>Top</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_xlfn.IFS(A559&lt;=25,"Under 25",A559&lt;=35,"26–35",A559&lt;=45,"36–45",A559&gt;45,"46+")</f>
        <v>26–35</v>
      </c>
      <c r="AK559" t="str" cm="1">
        <f t="array" ref="AK559">_xlfn.IFS(R559&lt;=3000,"Low",R559&lt;=7000,"Mid",R559&lt;=12000,"High",R559&gt;12000,"Top")</f>
        <v>Top</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_xlfn.IFS(A560&lt;=25,"Under 25",A560&lt;=35,"26–35",A560&lt;=45,"36–45",A560&gt;45,"46+")</f>
        <v>26–35</v>
      </c>
      <c r="AK560" t="str" cm="1">
        <f t="array" ref="AK560">_xlfn.IFS(R560&lt;=3000,"Low",R560&lt;=7000,"Mid",R560&lt;=12000,"High",R560&gt;12000,"Top")</f>
        <v>Top</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_xlfn.IFS(A561&lt;=25,"Under 25",A561&lt;=35,"26–35",A561&lt;=45,"36–45",A561&gt;45,"46+")</f>
        <v>36–45</v>
      </c>
      <c r="AK561" t="str" cm="1">
        <f t="array" ref="AK561">_xlfn.IFS(R561&lt;=3000,"Low",R561&lt;=7000,"Mid",R561&lt;=12000,"High",R561&gt;12000,"Top")</f>
        <v>Top</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_xlfn.IFS(A562&lt;=25,"Under 25",A562&lt;=35,"26–35",A562&lt;=45,"36–45",A562&gt;45,"46+")</f>
        <v>26–35</v>
      </c>
      <c r="AK562" t="str" cm="1">
        <f t="array" ref="AK562">_xlfn.IFS(R562&lt;=3000,"Low",R562&lt;=7000,"Mid",R562&lt;=12000,"High",R562&gt;12000,"Top")</f>
        <v>Top</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_xlfn.IFS(A563&lt;=25,"Under 25",A563&lt;=35,"26–35",A563&lt;=45,"36–45",A563&gt;45,"46+")</f>
        <v>46+</v>
      </c>
      <c r="AK563" t="str" cm="1">
        <f t="array" ref="AK563">_xlfn.IFS(R563&lt;=3000,"Low",R563&lt;=7000,"Mid",R563&lt;=12000,"High",R563&gt;12000,"Top")</f>
        <v>Top</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_xlfn.IFS(A564&lt;=25,"Under 25",A564&lt;=35,"26–35",A564&lt;=45,"36–45",A564&gt;45,"46+")</f>
        <v>26–35</v>
      </c>
      <c r="AK564" t="str" cm="1">
        <f t="array" ref="AK564">_xlfn.IFS(R564&lt;=3000,"Low",R564&lt;=7000,"Mid",R564&lt;=12000,"High",R564&gt;12000,"Top")</f>
        <v>Top</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_xlfn.IFS(A565&lt;=25,"Under 25",A565&lt;=35,"26–35",A565&lt;=45,"36–45",A565&gt;45,"46+")</f>
        <v>Under 25</v>
      </c>
      <c r="AK565" t="str" cm="1">
        <f t="array" ref="AK565">_xlfn.IFS(R565&lt;=3000,"Low",R565&lt;=7000,"Mid",R565&lt;=12000,"High",R565&gt;12000,"Top")</f>
        <v>Top</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_xlfn.IFS(A566&lt;=25,"Under 25",A566&lt;=35,"26–35",A566&lt;=45,"36–45",A566&gt;45,"46+")</f>
        <v>36–45</v>
      </c>
      <c r="AK566" t="str" cm="1">
        <f t="array" ref="AK566">_xlfn.IFS(R566&lt;=3000,"Low",R566&lt;=7000,"Mid",R566&lt;=12000,"High",R566&gt;12000,"Top")</f>
        <v>Top</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_xlfn.IFS(A567&lt;=25,"Under 25",A567&lt;=35,"26–35",A567&lt;=45,"36–45",A567&gt;45,"46+")</f>
        <v>Under 25</v>
      </c>
      <c r="AK567" t="str" cm="1">
        <f t="array" ref="AK567">_xlfn.IFS(R567&lt;=3000,"Low",R567&lt;=7000,"Mid",R567&lt;=12000,"High",R567&gt;12000,"Top")</f>
        <v>Top</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_xlfn.IFS(A568&lt;=25,"Under 25",A568&lt;=35,"26–35",A568&lt;=45,"36–45",A568&gt;45,"46+")</f>
        <v>46+</v>
      </c>
      <c r="AK568" t="str" cm="1">
        <f t="array" ref="AK568">_xlfn.IFS(R568&lt;=3000,"Low",R568&lt;=7000,"Mid",R568&lt;=12000,"High",R568&gt;12000,"Top")</f>
        <v>Top</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_xlfn.IFS(A569&lt;=25,"Under 25",A569&lt;=35,"26–35",A569&lt;=45,"36–45",A569&gt;45,"46+")</f>
        <v>26–35</v>
      </c>
      <c r="AK569" t="str" cm="1">
        <f t="array" ref="AK569">_xlfn.IFS(R569&lt;=3000,"Low",R569&lt;=7000,"Mid",R569&lt;=12000,"High",R569&gt;12000,"Top")</f>
        <v>Top</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_xlfn.IFS(A570&lt;=25,"Under 25",A570&lt;=35,"26–35",A570&lt;=45,"36–45",A570&gt;45,"46+")</f>
        <v>46+</v>
      </c>
      <c r="AK570" t="str" cm="1">
        <f t="array" ref="AK570">_xlfn.IFS(R570&lt;=3000,"Low",R570&lt;=7000,"Mid",R570&lt;=12000,"High",R570&gt;12000,"Top")</f>
        <v>Top</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_xlfn.IFS(A571&lt;=25,"Under 25",A571&lt;=35,"26–35",A571&lt;=45,"36–45",A571&gt;45,"46+")</f>
        <v>36–45</v>
      </c>
      <c r="AK571" t="str" cm="1">
        <f t="array" ref="AK571">_xlfn.IFS(R571&lt;=3000,"Low",R571&lt;=7000,"Mid",R571&lt;=12000,"High",R571&gt;12000,"Top")</f>
        <v>Top</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_xlfn.IFS(A572&lt;=25,"Under 25",A572&lt;=35,"26–35",A572&lt;=45,"36–45",A572&gt;45,"46+")</f>
        <v>46+</v>
      </c>
      <c r="AK572" t="str" cm="1">
        <f t="array" ref="AK572">_xlfn.IFS(R572&lt;=3000,"Low",R572&lt;=7000,"Mid",R572&lt;=12000,"High",R572&gt;12000,"Top")</f>
        <v>Top</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_xlfn.IFS(A573&lt;=25,"Under 25",A573&lt;=35,"26–35",A573&lt;=45,"36–45",A573&gt;45,"46+")</f>
        <v>26–35</v>
      </c>
      <c r="AK573" t="str" cm="1">
        <f t="array" ref="AK573">_xlfn.IFS(R573&lt;=3000,"Low",R573&lt;=7000,"Mid",R573&lt;=12000,"High",R573&gt;12000,"Top")</f>
        <v>Top</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_xlfn.IFS(A574&lt;=25,"Under 25",A574&lt;=35,"26–35",A574&lt;=45,"36–45",A574&gt;45,"46+")</f>
        <v>26–35</v>
      </c>
      <c r="AK574" t="str" cm="1">
        <f t="array" ref="AK574">_xlfn.IFS(R574&lt;=3000,"Low",R574&lt;=7000,"Mid",R574&lt;=12000,"High",R574&gt;12000,"Top")</f>
        <v>Top</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_xlfn.IFS(A575&lt;=25,"Under 25",A575&lt;=35,"26–35",A575&lt;=45,"36–45",A575&gt;45,"46+")</f>
        <v>26–35</v>
      </c>
      <c r="AK575" t="str" cm="1">
        <f t="array" ref="AK575">_xlfn.IFS(R575&lt;=3000,"Low",R575&lt;=7000,"Mid",R575&lt;=12000,"High",R575&gt;12000,"Top")</f>
        <v>Top</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_xlfn.IFS(A576&lt;=25,"Under 25",A576&lt;=35,"26–35",A576&lt;=45,"36–45",A576&gt;45,"46+")</f>
        <v>26–35</v>
      </c>
      <c r="AK576" t="str" cm="1">
        <f t="array" ref="AK576">_xlfn.IFS(R576&lt;=3000,"Low",R576&lt;=7000,"Mid",R576&lt;=12000,"High",R576&gt;12000,"Top")</f>
        <v>Top</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_xlfn.IFS(A577&lt;=25,"Under 25",A577&lt;=35,"26–35",A577&lt;=45,"36–45",A577&gt;45,"46+")</f>
        <v>46+</v>
      </c>
      <c r="AK577" t="str" cm="1">
        <f t="array" ref="AK577">_xlfn.IFS(R577&lt;=3000,"Low",R577&lt;=7000,"Mid",R577&lt;=12000,"High",R577&gt;12000,"Top")</f>
        <v>Top</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_xlfn.IFS(A578&lt;=25,"Under 25",A578&lt;=35,"26–35",A578&lt;=45,"36–45",A578&gt;45,"46+")</f>
        <v>26–35</v>
      </c>
      <c r="AK578" t="str" cm="1">
        <f t="array" ref="AK578">_xlfn.IFS(R578&lt;=3000,"Low",R578&lt;=7000,"Mid",R578&lt;=12000,"High",R578&gt;12000,"Top")</f>
        <v>Top</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_xlfn.IFS(A579&lt;=25,"Under 25",A579&lt;=35,"26–35",A579&lt;=45,"36–45",A579&gt;45,"46+")</f>
        <v>36–45</v>
      </c>
      <c r="AK579" t="str" cm="1">
        <f t="array" ref="AK579">_xlfn.IFS(R579&lt;=3000,"Low",R579&lt;=7000,"Mid",R579&lt;=12000,"High",R579&gt;12000,"Top")</f>
        <v>Top</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_xlfn.IFS(A580&lt;=25,"Under 25",A580&lt;=35,"26–35",A580&lt;=45,"36–45",A580&gt;45,"46+")</f>
        <v>36–45</v>
      </c>
      <c r="AK580" t="str" cm="1">
        <f t="array" ref="AK580">_xlfn.IFS(R580&lt;=3000,"Low",R580&lt;=7000,"Mid",R580&lt;=12000,"High",R580&gt;12000,"Top")</f>
        <v>Top</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_xlfn.IFS(A581&lt;=25,"Under 25",A581&lt;=35,"26–35",A581&lt;=45,"36–45",A581&gt;45,"46+")</f>
        <v>26–35</v>
      </c>
      <c r="AK581" t="str" cm="1">
        <f t="array" ref="AK581">_xlfn.IFS(R581&lt;=3000,"Low",R581&lt;=7000,"Mid",R581&lt;=12000,"High",R581&gt;12000,"Top")</f>
        <v>Top</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_xlfn.IFS(A582&lt;=25,"Under 25",A582&lt;=35,"26–35",A582&lt;=45,"36–45",A582&gt;45,"46+")</f>
        <v>26–35</v>
      </c>
      <c r="AK582" t="str" cm="1">
        <f t="array" ref="AK582">_xlfn.IFS(R582&lt;=3000,"Low",R582&lt;=7000,"Mid",R582&lt;=12000,"High",R582&gt;12000,"Top")</f>
        <v>Top</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_xlfn.IFS(A583&lt;=25,"Under 25",A583&lt;=35,"26–35",A583&lt;=45,"36–45",A583&gt;45,"46+")</f>
        <v>26–35</v>
      </c>
      <c r="AK583" t="str" cm="1">
        <f t="array" ref="AK583">_xlfn.IFS(R583&lt;=3000,"Low",R583&lt;=7000,"Mid",R583&lt;=12000,"High",R583&gt;12000,"Top")</f>
        <v>Top</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_xlfn.IFS(A584&lt;=25,"Under 25",A584&lt;=35,"26–35",A584&lt;=45,"36–45",A584&gt;45,"46+")</f>
        <v>36–45</v>
      </c>
      <c r="AK584" t="str" cm="1">
        <f t="array" ref="AK584">_xlfn.IFS(R584&lt;=3000,"Low",R584&lt;=7000,"Mid",R584&lt;=12000,"High",R584&gt;12000,"Top")</f>
        <v>Top</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_xlfn.IFS(A585&lt;=25,"Under 25",A585&lt;=35,"26–35",A585&lt;=45,"36–45",A585&gt;45,"46+")</f>
        <v>26–35</v>
      </c>
      <c r="AK585" t="str" cm="1">
        <f t="array" ref="AK585">_xlfn.IFS(R585&lt;=3000,"Low",R585&lt;=7000,"Mid",R585&lt;=12000,"High",R585&gt;12000,"Top")</f>
        <v>Top</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_xlfn.IFS(A586&lt;=25,"Under 25",A586&lt;=35,"26–35",A586&lt;=45,"36–45",A586&gt;45,"46+")</f>
        <v>36–45</v>
      </c>
      <c r="AK586" t="str" cm="1">
        <f t="array" ref="AK586">_xlfn.IFS(R586&lt;=3000,"Low",R586&lt;=7000,"Mid",R586&lt;=12000,"High",R586&gt;12000,"Top")</f>
        <v>Top</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_xlfn.IFS(A587&lt;=25,"Under 25",A587&lt;=35,"26–35",A587&lt;=45,"36–45",A587&gt;45,"46+")</f>
        <v>Under 25</v>
      </c>
      <c r="AK587" t="str" cm="1">
        <f t="array" ref="AK587">_xlfn.IFS(R587&lt;=3000,"Low",R587&lt;=7000,"Mid",R587&lt;=12000,"High",R587&gt;12000,"Top")</f>
        <v>Top</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_xlfn.IFS(A588&lt;=25,"Under 25",A588&lt;=35,"26–35",A588&lt;=45,"36–45",A588&gt;45,"46+")</f>
        <v>Under 25</v>
      </c>
      <c r="AK588" t="str" cm="1">
        <f t="array" ref="AK588">_xlfn.IFS(R588&lt;=3000,"Low",R588&lt;=7000,"Mid",R588&lt;=12000,"High",R588&gt;12000,"Top")</f>
        <v>Top</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_xlfn.IFS(A589&lt;=25,"Under 25",A589&lt;=35,"26–35",A589&lt;=45,"36–45",A589&gt;45,"46+")</f>
        <v>46+</v>
      </c>
      <c r="AK589" t="str" cm="1">
        <f t="array" ref="AK589">_xlfn.IFS(R589&lt;=3000,"Low",R589&lt;=7000,"Mid",R589&lt;=12000,"High",R589&gt;12000,"Top")</f>
        <v>Top</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_xlfn.IFS(A590&lt;=25,"Under 25",A590&lt;=35,"26–35",A590&lt;=45,"36–45",A590&gt;45,"46+")</f>
        <v>46+</v>
      </c>
      <c r="AK590" t="str" cm="1">
        <f t="array" ref="AK590">_xlfn.IFS(R590&lt;=3000,"Low",R590&lt;=7000,"Mid",R590&lt;=12000,"High",R590&gt;12000,"Top")</f>
        <v>Top</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_xlfn.IFS(A591&lt;=25,"Under 25",A591&lt;=35,"26–35",A591&lt;=45,"36–45",A591&gt;45,"46+")</f>
        <v>26–35</v>
      </c>
      <c r="AK591" t="str" cm="1">
        <f t="array" ref="AK591">_xlfn.IFS(R591&lt;=3000,"Low",R591&lt;=7000,"Mid",R591&lt;=12000,"High",R591&gt;12000,"Top")</f>
        <v>Top</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_xlfn.IFS(A592&lt;=25,"Under 25",A592&lt;=35,"26–35",A592&lt;=45,"36–45",A592&gt;45,"46+")</f>
        <v>26–35</v>
      </c>
      <c r="AK592" t="str" cm="1">
        <f t="array" ref="AK592">_xlfn.IFS(R592&lt;=3000,"Low",R592&lt;=7000,"Mid",R592&lt;=12000,"High",R592&gt;12000,"Top")</f>
        <v>Top</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_xlfn.IFS(A593&lt;=25,"Under 25",A593&lt;=35,"26–35",A593&lt;=45,"36–45",A593&gt;45,"46+")</f>
        <v>26–35</v>
      </c>
      <c r="AK593" t="str" cm="1">
        <f t="array" ref="AK593">_xlfn.IFS(R593&lt;=3000,"Low",R593&lt;=7000,"Mid",R593&lt;=12000,"High",R593&gt;12000,"Top")</f>
        <v>Top</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_xlfn.IFS(A594&lt;=25,"Under 25",A594&lt;=35,"26–35",A594&lt;=45,"36–45",A594&gt;45,"46+")</f>
        <v>46+</v>
      </c>
      <c r="AK594" t="str" cm="1">
        <f t="array" ref="AK594">_xlfn.IFS(R594&lt;=3000,"Low",R594&lt;=7000,"Mid",R594&lt;=12000,"High",R594&gt;12000,"Top")</f>
        <v>Top</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_xlfn.IFS(A595&lt;=25,"Under 25",A595&lt;=35,"26–35",A595&lt;=45,"36–45",A595&gt;45,"46+")</f>
        <v>36–45</v>
      </c>
      <c r="AK595" t="str" cm="1">
        <f t="array" ref="AK595">_xlfn.IFS(R595&lt;=3000,"Low",R595&lt;=7000,"Mid",R595&lt;=12000,"High",R595&gt;12000,"Top")</f>
        <v>Top</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_xlfn.IFS(A596&lt;=25,"Under 25",A596&lt;=35,"26–35",A596&lt;=45,"36–45",A596&gt;45,"46+")</f>
        <v>26–35</v>
      </c>
      <c r="AK596" t="str" cm="1">
        <f t="array" ref="AK596">_xlfn.IFS(R596&lt;=3000,"Low",R596&lt;=7000,"Mid",R596&lt;=12000,"High",R596&gt;12000,"Top")</f>
        <v>Top</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_xlfn.IFS(A597&lt;=25,"Under 25",A597&lt;=35,"26–35",A597&lt;=45,"36–45",A597&gt;45,"46+")</f>
        <v>46+</v>
      </c>
      <c r="AK597" t="str" cm="1">
        <f t="array" ref="AK597">_xlfn.IFS(R597&lt;=3000,"Low",R597&lt;=7000,"Mid",R597&lt;=12000,"High",R597&gt;12000,"Top")</f>
        <v>Top</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_xlfn.IFS(A598&lt;=25,"Under 25",A598&lt;=35,"26–35",A598&lt;=45,"36–45",A598&gt;45,"46+")</f>
        <v>26–35</v>
      </c>
      <c r="AK598" t="str" cm="1">
        <f t="array" ref="AK598">_xlfn.IFS(R598&lt;=3000,"Low",R598&lt;=7000,"Mid",R598&lt;=12000,"High",R598&gt;12000,"Top")</f>
        <v>Top</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_xlfn.IFS(A599&lt;=25,"Under 25",A599&lt;=35,"26–35",A599&lt;=45,"36–45",A599&gt;45,"46+")</f>
        <v>36–45</v>
      </c>
      <c r="AK599" t="str" cm="1">
        <f t="array" ref="AK599">_xlfn.IFS(R599&lt;=3000,"Low",R599&lt;=7000,"Mid",R599&lt;=12000,"High",R599&gt;12000,"Top")</f>
        <v>Top</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_xlfn.IFS(A600&lt;=25,"Under 25",A600&lt;=35,"26–35",A600&lt;=45,"36–45",A600&gt;45,"46+")</f>
        <v>26–35</v>
      </c>
      <c r="AK600" t="str" cm="1">
        <f t="array" ref="AK600">_xlfn.IFS(R600&lt;=3000,"Low",R600&lt;=7000,"Mid",R600&lt;=12000,"High",R600&gt;12000,"Top")</f>
        <v>Top</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_xlfn.IFS(A601&lt;=25,"Under 25",A601&lt;=35,"26–35",A601&lt;=45,"36–45",A601&gt;45,"46+")</f>
        <v>36–45</v>
      </c>
      <c r="AK601" t="str" cm="1">
        <f t="array" ref="AK601">_xlfn.IFS(R601&lt;=3000,"Low",R601&lt;=7000,"Mid",R601&lt;=12000,"High",R601&gt;12000,"Top")</f>
        <v>Top</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_xlfn.IFS(A602&lt;=25,"Under 25",A602&lt;=35,"26–35",A602&lt;=45,"36–45",A602&gt;45,"46+")</f>
        <v>26–35</v>
      </c>
      <c r="AK602" t="str" cm="1">
        <f t="array" ref="AK602">_xlfn.IFS(R602&lt;=3000,"Low",R602&lt;=7000,"Mid",R602&lt;=12000,"High",R602&gt;12000,"Top")</f>
        <v>Top</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_xlfn.IFS(A603&lt;=25,"Under 25",A603&lt;=35,"26–35",A603&lt;=45,"36–45",A603&gt;45,"46+")</f>
        <v>36–45</v>
      </c>
      <c r="AK603" t="str" cm="1">
        <f t="array" ref="AK603">_xlfn.IFS(R603&lt;=3000,"Low",R603&lt;=7000,"Mid",R603&lt;=12000,"High",R603&gt;12000,"Top")</f>
        <v>Top</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_xlfn.IFS(A604&lt;=25,"Under 25",A604&lt;=35,"26–35",A604&lt;=45,"36–45",A604&gt;45,"46+")</f>
        <v>26–35</v>
      </c>
      <c r="AK604" t="str" cm="1">
        <f t="array" ref="AK604">_xlfn.IFS(R604&lt;=3000,"Low",R604&lt;=7000,"Mid",R604&lt;=12000,"High",R604&gt;12000,"Top")</f>
        <v>Top</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_xlfn.IFS(A605&lt;=25,"Under 25",A605&lt;=35,"26–35",A605&lt;=45,"36–45",A605&gt;45,"46+")</f>
        <v>36–45</v>
      </c>
      <c r="AK605" t="str" cm="1">
        <f t="array" ref="AK605">_xlfn.IFS(R605&lt;=3000,"Low",R605&lt;=7000,"Mid",R605&lt;=12000,"High",R605&gt;12000,"Top")</f>
        <v>Top</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_xlfn.IFS(A606&lt;=25,"Under 25",A606&lt;=35,"26–35",A606&lt;=45,"36–45",A606&gt;45,"46+")</f>
        <v>36–45</v>
      </c>
      <c r="AK606" t="str" cm="1">
        <f t="array" ref="AK606">_xlfn.IFS(R606&lt;=3000,"Low",R606&lt;=7000,"Mid",R606&lt;=12000,"High",R606&gt;12000,"Top")</f>
        <v>Top</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_xlfn.IFS(A607&lt;=25,"Under 25",A607&lt;=35,"26–35",A607&lt;=45,"36–45",A607&gt;45,"46+")</f>
        <v>36–45</v>
      </c>
      <c r="AK607" t="str" cm="1">
        <f t="array" ref="AK607">_xlfn.IFS(R607&lt;=3000,"Low",R607&lt;=7000,"Mid",R607&lt;=12000,"High",R607&gt;12000,"Top")</f>
        <v>Top</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_xlfn.IFS(A608&lt;=25,"Under 25",A608&lt;=35,"26–35",A608&lt;=45,"36–45",A608&gt;45,"46+")</f>
        <v>26–35</v>
      </c>
      <c r="AK608" t="str" cm="1">
        <f t="array" ref="AK608">_xlfn.IFS(R608&lt;=3000,"Low",R608&lt;=7000,"Mid",R608&lt;=12000,"High",R608&gt;12000,"Top")</f>
        <v>Top</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_xlfn.IFS(A609&lt;=25,"Under 25",A609&lt;=35,"26–35",A609&lt;=45,"36–45",A609&gt;45,"46+")</f>
        <v>46+</v>
      </c>
      <c r="AK609" t="str" cm="1">
        <f t="array" ref="AK609">_xlfn.IFS(R609&lt;=3000,"Low",R609&lt;=7000,"Mid",R609&lt;=12000,"High",R609&gt;12000,"Top")</f>
        <v>Top</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_xlfn.IFS(A610&lt;=25,"Under 25",A610&lt;=35,"26–35",A610&lt;=45,"36–45",A610&gt;45,"46+")</f>
        <v>46+</v>
      </c>
      <c r="AK610" t="str" cm="1">
        <f t="array" ref="AK610">_xlfn.IFS(R610&lt;=3000,"Low",R610&lt;=7000,"Mid",R610&lt;=12000,"High",R610&gt;12000,"Top")</f>
        <v>Top</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_xlfn.IFS(A611&lt;=25,"Under 25",A611&lt;=35,"26–35",A611&lt;=45,"36–45",A611&gt;45,"46+")</f>
        <v>36–45</v>
      </c>
      <c r="AK611" t="str" cm="1">
        <f t="array" ref="AK611">_xlfn.IFS(R611&lt;=3000,"Low",R611&lt;=7000,"Mid",R611&lt;=12000,"High",R611&gt;12000,"Top")</f>
        <v>Top</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_xlfn.IFS(A612&lt;=25,"Under 25",A612&lt;=35,"26–35",A612&lt;=45,"36–45",A612&gt;45,"46+")</f>
        <v>26–35</v>
      </c>
      <c r="AK612" t="str" cm="1">
        <f t="array" ref="AK612">_xlfn.IFS(R612&lt;=3000,"Low",R612&lt;=7000,"Mid",R612&lt;=12000,"High",R612&gt;12000,"Top")</f>
        <v>Top</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_xlfn.IFS(A613&lt;=25,"Under 25",A613&lt;=35,"26–35",A613&lt;=45,"36–45",A613&gt;45,"46+")</f>
        <v>26–35</v>
      </c>
      <c r="AK613" t="str" cm="1">
        <f t="array" ref="AK613">_xlfn.IFS(R613&lt;=3000,"Low",R613&lt;=7000,"Mid",R613&lt;=12000,"High",R613&gt;12000,"Top")</f>
        <v>Top</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_xlfn.IFS(A614&lt;=25,"Under 25",A614&lt;=35,"26–35",A614&lt;=45,"36–45",A614&gt;45,"46+")</f>
        <v>26–35</v>
      </c>
      <c r="AK614" t="str" cm="1">
        <f t="array" ref="AK614">_xlfn.IFS(R614&lt;=3000,"Low",R614&lt;=7000,"Mid",R614&lt;=12000,"High",R614&gt;12000,"Top")</f>
        <v>Top</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_xlfn.IFS(A615&lt;=25,"Under 25",A615&lt;=35,"26–35",A615&lt;=45,"36–45",A615&gt;45,"46+")</f>
        <v>26–35</v>
      </c>
      <c r="AK615" t="str" cm="1">
        <f t="array" ref="AK615">_xlfn.IFS(R615&lt;=3000,"Low",R615&lt;=7000,"Mid",R615&lt;=12000,"High",R615&gt;12000,"Top")</f>
        <v>Top</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_xlfn.IFS(A616&lt;=25,"Under 25",A616&lt;=35,"26–35",A616&lt;=45,"36–45",A616&gt;45,"46+")</f>
        <v>26–35</v>
      </c>
      <c r="AK616" t="str" cm="1">
        <f t="array" ref="AK616">_xlfn.IFS(R616&lt;=3000,"Low",R616&lt;=7000,"Mid",R616&lt;=12000,"High",R616&gt;12000,"Top")</f>
        <v>Top</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_xlfn.IFS(A617&lt;=25,"Under 25",A617&lt;=35,"26–35",A617&lt;=45,"36–45",A617&gt;45,"46+")</f>
        <v>26–35</v>
      </c>
      <c r="AK617" t="str" cm="1">
        <f t="array" ref="AK617">_xlfn.IFS(R617&lt;=3000,"Low",R617&lt;=7000,"Mid",R617&lt;=12000,"High",R617&gt;12000,"Top")</f>
        <v>Top</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_xlfn.IFS(A618&lt;=25,"Under 25",A618&lt;=35,"26–35",A618&lt;=45,"36–45",A618&gt;45,"46+")</f>
        <v>46+</v>
      </c>
      <c r="AK618" t="str" cm="1">
        <f t="array" ref="AK618">_xlfn.IFS(R618&lt;=3000,"Low",R618&lt;=7000,"Mid",R618&lt;=12000,"High",R618&gt;12000,"Top")</f>
        <v>Top</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_xlfn.IFS(A619&lt;=25,"Under 25",A619&lt;=35,"26–35",A619&lt;=45,"36–45",A619&gt;45,"46+")</f>
        <v>36–45</v>
      </c>
      <c r="AK619" t="str" cm="1">
        <f t="array" ref="AK619">_xlfn.IFS(R619&lt;=3000,"Low",R619&lt;=7000,"Mid",R619&lt;=12000,"High",R619&gt;12000,"Top")</f>
        <v>Top</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_xlfn.IFS(A620&lt;=25,"Under 25",A620&lt;=35,"26–35",A620&lt;=45,"36–45",A620&gt;45,"46+")</f>
        <v>Under 25</v>
      </c>
      <c r="AK620" t="str" cm="1">
        <f t="array" ref="AK620">_xlfn.IFS(R620&lt;=3000,"Low",R620&lt;=7000,"Mid",R620&lt;=12000,"High",R620&gt;12000,"Top")</f>
        <v>Top</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_xlfn.IFS(A621&lt;=25,"Under 25",A621&lt;=35,"26–35",A621&lt;=45,"36–45",A621&gt;45,"46+")</f>
        <v>26–35</v>
      </c>
      <c r="AK621" t="str" cm="1">
        <f t="array" ref="AK621">_xlfn.IFS(R621&lt;=3000,"Low",R621&lt;=7000,"Mid",R621&lt;=12000,"High",R621&gt;12000,"Top")</f>
        <v>Top</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_xlfn.IFS(A622&lt;=25,"Under 25",A622&lt;=35,"26–35",A622&lt;=45,"36–45",A622&gt;45,"46+")</f>
        <v>26–35</v>
      </c>
      <c r="AK622" t="str" cm="1">
        <f t="array" ref="AK622">_xlfn.IFS(R622&lt;=3000,"Low",R622&lt;=7000,"Mid",R622&lt;=12000,"High",R622&gt;12000,"Top")</f>
        <v>Top</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_xlfn.IFS(A623&lt;=25,"Under 25",A623&lt;=35,"26–35",A623&lt;=45,"36–45",A623&gt;45,"46+")</f>
        <v>36–45</v>
      </c>
      <c r="AK623" t="str" cm="1">
        <f t="array" ref="AK623">_xlfn.IFS(R623&lt;=3000,"Low",R623&lt;=7000,"Mid",R623&lt;=12000,"High",R623&gt;12000,"Top")</f>
        <v>Top</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_xlfn.IFS(A624&lt;=25,"Under 25",A624&lt;=35,"26–35",A624&lt;=45,"36–45",A624&gt;45,"46+")</f>
        <v>26–35</v>
      </c>
      <c r="AK624" t="str" cm="1">
        <f t="array" ref="AK624">_xlfn.IFS(R624&lt;=3000,"Low",R624&lt;=7000,"Mid",R624&lt;=12000,"High",R624&gt;12000,"Top")</f>
        <v>Top</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_xlfn.IFS(A625&lt;=25,"Under 25",A625&lt;=35,"26–35",A625&lt;=45,"36–45",A625&gt;45,"46+")</f>
        <v>26–35</v>
      </c>
      <c r="AK625" t="str" cm="1">
        <f t="array" ref="AK625">_xlfn.IFS(R625&lt;=3000,"Low",R625&lt;=7000,"Mid",R625&lt;=12000,"High",R625&gt;12000,"Top")</f>
        <v>Top</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_xlfn.IFS(A626&lt;=25,"Under 25",A626&lt;=35,"26–35",A626&lt;=45,"36–45",A626&gt;45,"46+")</f>
        <v>46+</v>
      </c>
      <c r="AK626" t="str" cm="1">
        <f t="array" ref="AK626">_xlfn.IFS(R626&lt;=3000,"Low",R626&lt;=7000,"Mid",R626&lt;=12000,"High",R626&gt;12000,"Top")</f>
        <v>Top</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_xlfn.IFS(A627&lt;=25,"Under 25",A627&lt;=35,"26–35",A627&lt;=45,"36–45",A627&gt;45,"46+")</f>
        <v>36–45</v>
      </c>
      <c r="AK627" t="str" cm="1">
        <f t="array" ref="AK627">_xlfn.IFS(R627&lt;=3000,"Low",R627&lt;=7000,"Mid",R627&lt;=12000,"High",R627&gt;12000,"Top")</f>
        <v>Top</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_xlfn.IFS(A628&lt;=25,"Under 25",A628&lt;=35,"26–35",A628&lt;=45,"36–45",A628&gt;45,"46+")</f>
        <v>26–35</v>
      </c>
      <c r="AK628" t="str" cm="1">
        <f t="array" ref="AK628">_xlfn.IFS(R628&lt;=3000,"Low",R628&lt;=7000,"Mid",R628&lt;=12000,"High",R628&gt;12000,"Top")</f>
        <v>Top</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_xlfn.IFS(A629&lt;=25,"Under 25",A629&lt;=35,"26–35",A629&lt;=45,"36–45",A629&gt;45,"46+")</f>
        <v>46+</v>
      </c>
      <c r="AK629" t="str" cm="1">
        <f t="array" ref="AK629">_xlfn.IFS(R629&lt;=3000,"Low",R629&lt;=7000,"Mid",R629&lt;=12000,"High",R629&gt;12000,"Top")</f>
        <v>Top</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_xlfn.IFS(A630&lt;=25,"Under 25",A630&lt;=35,"26–35",A630&lt;=45,"36–45",A630&gt;45,"46+")</f>
        <v>36–45</v>
      </c>
      <c r="AK630" t="str" cm="1">
        <f t="array" ref="AK630">_xlfn.IFS(R630&lt;=3000,"Low",R630&lt;=7000,"Mid",R630&lt;=12000,"High",R630&gt;12000,"Top")</f>
        <v>Top</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_xlfn.IFS(A631&lt;=25,"Under 25",A631&lt;=35,"26–35",A631&lt;=45,"36–45",A631&gt;45,"46+")</f>
        <v>26–35</v>
      </c>
      <c r="AK631" t="str" cm="1">
        <f t="array" ref="AK631">_xlfn.IFS(R631&lt;=3000,"Low",R631&lt;=7000,"Mid",R631&lt;=12000,"High",R631&gt;12000,"Top")</f>
        <v>Top</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_xlfn.IFS(A632&lt;=25,"Under 25",A632&lt;=35,"26–35",A632&lt;=45,"36–45",A632&gt;45,"46+")</f>
        <v>Under 25</v>
      </c>
      <c r="AK632" t="str" cm="1">
        <f t="array" ref="AK632">_xlfn.IFS(R632&lt;=3000,"Low",R632&lt;=7000,"Mid",R632&lt;=12000,"High",R632&gt;12000,"Top")</f>
        <v>Top</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_xlfn.IFS(A633&lt;=25,"Under 25",A633&lt;=35,"26–35",A633&lt;=45,"36–45",A633&gt;45,"46+")</f>
        <v>36–45</v>
      </c>
      <c r="AK633" t="str" cm="1">
        <f t="array" ref="AK633">_xlfn.IFS(R633&lt;=3000,"Low",R633&lt;=7000,"Mid",R633&lt;=12000,"High",R633&gt;12000,"Top")</f>
        <v>Top</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_xlfn.IFS(A634&lt;=25,"Under 25",A634&lt;=35,"26–35",A634&lt;=45,"36–45",A634&gt;45,"46+")</f>
        <v>36–45</v>
      </c>
      <c r="AK634" t="str" cm="1">
        <f t="array" ref="AK634">_xlfn.IFS(R634&lt;=3000,"Low",R634&lt;=7000,"Mid",R634&lt;=12000,"High",R634&gt;12000,"Top")</f>
        <v>Top</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_xlfn.IFS(A635&lt;=25,"Under 25",A635&lt;=35,"26–35",A635&lt;=45,"36–45",A635&gt;45,"46+")</f>
        <v>36–45</v>
      </c>
      <c r="AK635" t="str" cm="1">
        <f t="array" ref="AK635">_xlfn.IFS(R635&lt;=3000,"Low",R635&lt;=7000,"Mid",R635&lt;=12000,"High",R635&gt;12000,"Top")</f>
        <v>Top</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_xlfn.IFS(A636&lt;=25,"Under 25",A636&lt;=35,"26–35",A636&lt;=45,"36–45",A636&gt;45,"46+")</f>
        <v>Under 25</v>
      </c>
      <c r="AK636" t="str" cm="1">
        <f t="array" ref="AK636">_xlfn.IFS(R636&lt;=3000,"Low",R636&lt;=7000,"Mid",R636&lt;=12000,"High",R636&gt;12000,"Top")</f>
        <v>Top</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_xlfn.IFS(A637&lt;=25,"Under 25",A637&lt;=35,"26–35",A637&lt;=45,"36–45",A637&gt;45,"46+")</f>
        <v>26–35</v>
      </c>
      <c r="AK637" t="str" cm="1">
        <f t="array" ref="AK637">_xlfn.IFS(R637&lt;=3000,"Low",R637&lt;=7000,"Mid",R637&lt;=12000,"High",R637&gt;12000,"Top")</f>
        <v>Top</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_xlfn.IFS(A638&lt;=25,"Under 25",A638&lt;=35,"26–35",A638&lt;=45,"36–45",A638&gt;45,"46+")</f>
        <v>26–35</v>
      </c>
      <c r="AK638" t="str" cm="1">
        <f t="array" ref="AK638">_xlfn.IFS(R638&lt;=3000,"Low",R638&lt;=7000,"Mid",R638&lt;=12000,"High",R638&gt;12000,"Top")</f>
        <v>Top</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_xlfn.IFS(A639&lt;=25,"Under 25",A639&lt;=35,"26–35",A639&lt;=45,"36–45",A639&gt;45,"46+")</f>
        <v>26–35</v>
      </c>
      <c r="AK639" t="str" cm="1">
        <f t="array" ref="AK639">_xlfn.IFS(R639&lt;=3000,"Low",R639&lt;=7000,"Mid",R639&lt;=12000,"High",R639&gt;12000,"Top")</f>
        <v>Top</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_xlfn.IFS(A640&lt;=25,"Under 25",A640&lt;=35,"26–35",A640&lt;=45,"36–45",A640&gt;45,"46+")</f>
        <v>Under 25</v>
      </c>
      <c r="AK640" t="str" cm="1">
        <f t="array" ref="AK640">_xlfn.IFS(R640&lt;=3000,"Low",R640&lt;=7000,"Mid",R640&lt;=12000,"High",R640&gt;12000,"Top")</f>
        <v>Top</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_xlfn.IFS(A641&lt;=25,"Under 25",A641&lt;=35,"26–35",A641&lt;=45,"36–45",A641&gt;45,"46+")</f>
        <v>46+</v>
      </c>
      <c r="AK641" t="str" cm="1">
        <f t="array" ref="AK641">_xlfn.IFS(R641&lt;=3000,"Low",R641&lt;=7000,"Mid",R641&lt;=12000,"High",R641&gt;12000,"Top")</f>
        <v>Top</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_xlfn.IFS(A642&lt;=25,"Under 25",A642&lt;=35,"26–35",A642&lt;=45,"36–45",A642&gt;45,"46+")</f>
        <v>Under 25</v>
      </c>
      <c r="AK642" t="str" cm="1">
        <f t="array" ref="AK642">_xlfn.IFS(R642&lt;=3000,"Low",R642&lt;=7000,"Mid",R642&lt;=12000,"High",R642&gt;12000,"Top")</f>
        <v>Top</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_xlfn.IFS(A643&lt;=25,"Under 25",A643&lt;=35,"26–35",A643&lt;=45,"36–45",A643&gt;45,"46+")</f>
        <v>26–35</v>
      </c>
      <c r="AK643" t="str" cm="1">
        <f t="array" ref="AK643">_xlfn.IFS(R643&lt;=3000,"Low",R643&lt;=7000,"Mid",R643&lt;=12000,"High",R643&gt;12000,"Top")</f>
        <v>Top</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_xlfn.IFS(A644&lt;=25,"Under 25",A644&lt;=35,"26–35",A644&lt;=45,"36–45",A644&gt;45,"46+")</f>
        <v>36–45</v>
      </c>
      <c r="AK644" t="str" cm="1">
        <f t="array" ref="AK644">_xlfn.IFS(R644&lt;=3000,"Low",R644&lt;=7000,"Mid",R644&lt;=12000,"High",R644&gt;12000,"Top")</f>
        <v>Top</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_xlfn.IFS(A645&lt;=25,"Under 25",A645&lt;=35,"26–35",A645&lt;=45,"36–45",A645&gt;45,"46+")</f>
        <v>36–45</v>
      </c>
      <c r="AK645" t="str" cm="1">
        <f t="array" ref="AK645">_xlfn.IFS(R645&lt;=3000,"Low",R645&lt;=7000,"Mid",R645&lt;=12000,"High",R645&gt;12000,"Top")</f>
        <v>Top</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_xlfn.IFS(A646&lt;=25,"Under 25",A646&lt;=35,"26–35",A646&lt;=45,"36–45",A646&gt;45,"46+")</f>
        <v>26–35</v>
      </c>
      <c r="AK646" t="str" cm="1">
        <f t="array" ref="AK646">_xlfn.IFS(R646&lt;=3000,"Low",R646&lt;=7000,"Mid",R646&lt;=12000,"High",R646&gt;12000,"Top")</f>
        <v>Top</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_xlfn.IFS(A647&lt;=25,"Under 25",A647&lt;=35,"26–35",A647&lt;=45,"36–45",A647&gt;45,"46+")</f>
        <v>26–35</v>
      </c>
      <c r="AK647" t="str" cm="1">
        <f t="array" ref="AK647">_xlfn.IFS(R647&lt;=3000,"Low",R647&lt;=7000,"Mid",R647&lt;=12000,"High",R647&gt;12000,"Top")</f>
        <v>Top</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_xlfn.IFS(A648&lt;=25,"Under 25",A648&lt;=35,"26–35",A648&lt;=45,"36–45",A648&gt;45,"46+")</f>
        <v>46+</v>
      </c>
      <c r="AK648" t="str" cm="1">
        <f t="array" ref="AK648">_xlfn.IFS(R648&lt;=3000,"Low",R648&lt;=7000,"Mid",R648&lt;=12000,"High",R648&gt;12000,"Top")</f>
        <v>Top</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_xlfn.IFS(A649&lt;=25,"Under 25",A649&lt;=35,"26–35",A649&lt;=45,"36–45",A649&gt;45,"46+")</f>
        <v>26–35</v>
      </c>
      <c r="AK649" t="str" cm="1">
        <f t="array" ref="AK649">_xlfn.IFS(R649&lt;=3000,"Low",R649&lt;=7000,"Mid",R649&lt;=12000,"High",R649&gt;12000,"Top")</f>
        <v>Top</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_xlfn.IFS(A650&lt;=25,"Under 25",A650&lt;=35,"26–35",A650&lt;=45,"36–45",A650&gt;45,"46+")</f>
        <v>36–45</v>
      </c>
      <c r="AK650" t="str" cm="1">
        <f t="array" ref="AK650">_xlfn.IFS(R650&lt;=3000,"Low",R650&lt;=7000,"Mid",R650&lt;=12000,"High",R650&gt;12000,"Top")</f>
        <v>Top</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_xlfn.IFS(A651&lt;=25,"Under 25",A651&lt;=35,"26–35",A651&lt;=45,"36–45",A651&gt;45,"46+")</f>
        <v>46+</v>
      </c>
      <c r="AK651" t="str" cm="1">
        <f t="array" ref="AK651">_xlfn.IFS(R651&lt;=3000,"Low",R651&lt;=7000,"Mid",R651&lt;=12000,"High",R651&gt;12000,"Top")</f>
        <v>Top</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_xlfn.IFS(A652&lt;=25,"Under 25",A652&lt;=35,"26–35",A652&lt;=45,"36–45",A652&gt;45,"46+")</f>
        <v>36–45</v>
      </c>
      <c r="AK652" t="str" cm="1">
        <f t="array" ref="AK652">_xlfn.IFS(R652&lt;=3000,"Low",R652&lt;=7000,"Mid",R652&lt;=12000,"High",R652&gt;12000,"Top")</f>
        <v>Top</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_xlfn.IFS(A653&lt;=25,"Under 25",A653&lt;=35,"26–35",A653&lt;=45,"36–45",A653&gt;45,"46+")</f>
        <v>46+</v>
      </c>
      <c r="AK653" t="str" cm="1">
        <f t="array" ref="AK653">_xlfn.IFS(R653&lt;=3000,"Low",R653&lt;=7000,"Mid",R653&lt;=12000,"High",R653&gt;12000,"Top")</f>
        <v>Top</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_xlfn.IFS(A654&lt;=25,"Under 25",A654&lt;=35,"26–35",A654&lt;=45,"36–45",A654&gt;45,"46+")</f>
        <v>36–45</v>
      </c>
      <c r="AK654" t="str" cm="1">
        <f t="array" ref="AK654">_xlfn.IFS(R654&lt;=3000,"Low",R654&lt;=7000,"Mid",R654&lt;=12000,"High",R654&gt;12000,"Top")</f>
        <v>Top</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_xlfn.IFS(A655&lt;=25,"Under 25",A655&lt;=35,"26–35",A655&lt;=45,"36–45",A655&gt;45,"46+")</f>
        <v>46+</v>
      </c>
      <c r="AK655" t="str" cm="1">
        <f t="array" ref="AK655">_xlfn.IFS(R655&lt;=3000,"Low",R655&lt;=7000,"Mid",R655&lt;=12000,"High",R655&gt;12000,"Top")</f>
        <v>Top</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_xlfn.IFS(A656&lt;=25,"Under 25",A656&lt;=35,"26–35",A656&lt;=45,"36–45",A656&gt;45,"46+")</f>
        <v>36–45</v>
      </c>
      <c r="AK656" t="str" cm="1">
        <f t="array" ref="AK656">_xlfn.IFS(R656&lt;=3000,"Low",R656&lt;=7000,"Mid",R656&lt;=12000,"High",R656&gt;12000,"Top")</f>
        <v>Top</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_xlfn.IFS(A657&lt;=25,"Under 25",A657&lt;=35,"26–35",A657&lt;=45,"36–45",A657&gt;45,"46+")</f>
        <v>26–35</v>
      </c>
      <c r="AK657" t="str" cm="1">
        <f t="array" ref="AK657">_xlfn.IFS(R657&lt;=3000,"Low",R657&lt;=7000,"Mid",R657&lt;=12000,"High",R657&gt;12000,"Top")</f>
        <v>Top</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_xlfn.IFS(A658&lt;=25,"Under 25",A658&lt;=35,"26–35",A658&lt;=45,"36–45",A658&gt;45,"46+")</f>
        <v>26–35</v>
      </c>
      <c r="AK658" t="str" cm="1">
        <f t="array" ref="AK658">_xlfn.IFS(R658&lt;=3000,"Low",R658&lt;=7000,"Mid",R658&lt;=12000,"High",R658&gt;12000,"Top")</f>
        <v>Top</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_xlfn.IFS(A659&lt;=25,"Under 25",A659&lt;=35,"26–35",A659&lt;=45,"36–45",A659&gt;45,"46+")</f>
        <v>26–35</v>
      </c>
      <c r="AK659" t="str" cm="1">
        <f t="array" ref="AK659">_xlfn.IFS(R659&lt;=3000,"Low",R659&lt;=7000,"Mid",R659&lt;=12000,"High",R659&gt;12000,"Top")</f>
        <v>Top</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_xlfn.IFS(A660&lt;=25,"Under 25",A660&lt;=35,"26–35",A660&lt;=45,"36–45",A660&gt;45,"46+")</f>
        <v>36–45</v>
      </c>
      <c r="AK660" t="str" cm="1">
        <f t="array" ref="AK660">_xlfn.IFS(R660&lt;=3000,"Low",R660&lt;=7000,"Mid",R660&lt;=12000,"High",R660&gt;12000,"Top")</f>
        <v>Top</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_xlfn.IFS(A661&lt;=25,"Under 25",A661&lt;=35,"26–35",A661&lt;=45,"36–45",A661&gt;45,"46+")</f>
        <v>26–35</v>
      </c>
      <c r="AK661" t="str" cm="1">
        <f t="array" ref="AK661">_xlfn.IFS(R661&lt;=3000,"Low",R661&lt;=7000,"Mid",R661&lt;=12000,"High",R661&gt;12000,"Top")</f>
        <v>Top</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_xlfn.IFS(A662&lt;=25,"Under 25",A662&lt;=35,"26–35",A662&lt;=45,"36–45",A662&gt;45,"46+")</f>
        <v>46+</v>
      </c>
      <c r="AK662" t="str" cm="1">
        <f t="array" ref="AK662">_xlfn.IFS(R662&lt;=3000,"Low",R662&lt;=7000,"Mid",R662&lt;=12000,"High",R662&gt;12000,"Top")</f>
        <v>Top</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_xlfn.IFS(A663&lt;=25,"Under 25",A663&lt;=35,"26–35",A663&lt;=45,"36–45",A663&gt;45,"46+")</f>
        <v>36–45</v>
      </c>
      <c r="AK663" t="str" cm="1">
        <f t="array" ref="AK663">_xlfn.IFS(R663&lt;=3000,"Low",R663&lt;=7000,"Mid",R663&lt;=12000,"High",R663&gt;12000,"Top")</f>
        <v>Top</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_xlfn.IFS(A664&lt;=25,"Under 25",A664&lt;=35,"26–35",A664&lt;=45,"36–45",A664&gt;45,"46+")</f>
        <v>Under 25</v>
      </c>
      <c r="AK664" t="str" cm="1">
        <f t="array" ref="AK664">_xlfn.IFS(R664&lt;=3000,"Low",R664&lt;=7000,"Mid",R664&lt;=12000,"High",R664&gt;12000,"Top")</f>
        <v>Top</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_xlfn.IFS(A665&lt;=25,"Under 25",A665&lt;=35,"26–35",A665&lt;=45,"36–45",A665&gt;45,"46+")</f>
        <v>Under 25</v>
      </c>
      <c r="AK665" t="str" cm="1">
        <f t="array" ref="AK665">_xlfn.IFS(R665&lt;=3000,"Low",R665&lt;=7000,"Mid",R665&lt;=12000,"High",R665&gt;12000,"Top")</f>
        <v>Top</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_xlfn.IFS(A666&lt;=25,"Under 25",A666&lt;=35,"26–35",A666&lt;=45,"36–45",A666&gt;45,"46+")</f>
        <v>36–45</v>
      </c>
      <c r="AK666" t="str" cm="1">
        <f t="array" ref="AK666">_xlfn.IFS(R666&lt;=3000,"Low",R666&lt;=7000,"Mid",R666&lt;=12000,"High",R666&gt;12000,"Top")</f>
        <v>Top</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_xlfn.IFS(A667&lt;=25,"Under 25",A667&lt;=35,"26–35",A667&lt;=45,"36–45",A667&gt;45,"46+")</f>
        <v>46+</v>
      </c>
      <c r="AK667" t="str" cm="1">
        <f t="array" ref="AK667">_xlfn.IFS(R667&lt;=3000,"Low",R667&lt;=7000,"Mid",R667&lt;=12000,"High",R667&gt;12000,"Top")</f>
        <v>Top</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_xlfn.IFS(A668&lt;=25,"Under 25",A668&lt;=35,"26–35",A668&lt;=45,"36–45",A668&gt;45,"46+")</f>
        <v>Under 25</v>
      </c>
      <c r="AK668" t="str" cm="1">
        <f t="array" ref="AK668">_xlfn.IFS(R668&lt;=3000,"Low",R668&lt;=7000,"Mid",R668&lt;=12000,"High",R668&gt;12000,"Top")</f>
        <v>Top</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_xlfn.IFS(A669&lt;=25,"Under 25",A669&lt;=35,"26–35",A669&lt;=45,"36–45",A669&gt;45,"46+")</f>
        <v>36–45</v>
      </c>
      <c r="AK669" t="str" cm="1">
        <f t="array" ref="AK669">_xlfn.IFS(R669&lt;=3000,"Low",R669&lt;=7000,"Mid",R669&lt;=12000,"High",R669&gt;12000,"Top")</f>
        <v>Top</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_xlfn.IFS(A670&lt;=25,"Under 25",A670&lt;=35,"26–35",A670&lt;=45,"36–45",A670&gt;45,"46+")</f>
        <v>26–35</v>
      </c>
      <c r="AK670" t="str" cm="1">
        <f t="array" ref="AK670">_xlfn.IFS(R670&lt;=3000,"Low",R670&lt;=7000,"Mid",R670&lt;=12000,"High",R670&gt;12000,"Top")</f>
        <v>Top</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_xlfn.IFS(A671&lt;=25,"Under 25",A671&lt;=35,"26–35",A671&lt;=45,"36–45",A671&gt;45,"46+")</f>
        <v>36–45</v>
      </c>
      <c r="AK671" t="str" cm="1">
        <f t="array" ref="AK671">_xlfn.IFS(R671&lt;=3000,"Low",R671&lt;=7000,"Mid",R671&lt;=12000,"High",R671&gt;12000,"Top")</f>
        <v>Top</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_xlfn.IFS(A672&lt;=25,"Under 25",A672&lt;=35,"26–35",A672&lt;=45,"36–45",A672&gt;45,"46+")</f>
        <v>26–35</v>
      </c>
      <c r="AK672" t="str" cm="1">
        <f t="array" ref="AK672">_xlfn.IFS(R672&lt;=3000,"Low",R672&lt;=7000,"Mid",R672&lt;=12000,"High",R672&gt;12000,"Top")</f>
        <v>Top</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_xlfn.IFS(A673&lt;=25,"Under 25",A673&lt;=35,"26–35",A673&lt;=45,"36–45",A673&gt;45,"46+")</f>
        <v>26–35</v>
      </c>
      <c r="AK673" t="str" cm="1">
        <f t="array" ref="AK673">_xlfn.IFS(R673&lt;=3000,"Low",R673&lt;=7000,"Mid",R673&lt;=12000,"High",R673&gt;12000,"Top")</f>
        <v>Top</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_xlfn.IFS(A674&lt;=25,"Under 25",A674&lt;=35,"26–35",A674&lt;=45,"36–45",A674&gt;45,"46+")</f>
        <v>36–45</v>
      </c>
      <c r="AK674" t="str" cm="1">
        <f t="array" ref="AK674">_xlfn.IFS(R674&lt;=3000,"Low",R674&lt;=7000,"Mid",R674&lt;=12000,"High",R674&gt;12000,"Top")</f>
        <v>Top</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_xlfn.IFS(A675&lt;=25,"Under 25",A675&lt;=35,"26–35",A675&lt;=45,"36–45",A675&gt;45,"46+")</f>
        <v>26–35</v>
      </c>
      <c r="AK675" t="str" cm="1">
        <f t="array" ref="AK675">_xlfn.IFS(R675&lt;=3000,"Low",R675&lt;=7000,"Mid",R675&lt;=12000,"High",R675&gt;12000,"Top")</f>
        <v>Top</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_xlfn.IFS(A676&lt;=25,"Under 25",A676&lt;=35,"26–35",A676&lt;=45,"36–45",A676&gt;45,"46+")</f>
        <v>46+</v>
      </c>
      <c r="AK676" t="str" cm="1">
        <f t="array" ref="AK676">_xlfn.IFS(R676&lt;=3000,"Low",R676&lt;=7000,"Mid",R676&lt;=12000,"High",R676&gt;12000,"Top")</f>
        <v>Top</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_xlfn.IFS(A677&lt;=25,"Under 25",A677&lt;=35,"26–35",A677&lt;=45,"36–45",A677&gt;45,"46+")</f>
        <v>26–35</v>
      </c>
      <c r="AK677" t="str" cm="1">
        <f t="array" ref="AK677">_xlfn.IFS(R677&lt;=3000,"Low",R677&lt;=7000,"Mid",R677&lt;=12000,"High",R677&gt;12000,"Top")</f>
        <v>Top</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_xlfn.IFS(A678&lt;=25,"Under 25",A678&lt;=35,"26–35",A678&lt;=45,"36–45",A678&gt;45,"46+")</f>
        <v>26–35</v>
      </c>
      <c r="AK678" t="str" cm="1">
        <f t="array" ref="AK678">_xlfn.IFS(R678&lt;=3000,"Low",R678&lt;=7000,"Mid",R678&lt;=12000,"High",R678&gt;12000,"Top")</f>
        <v>Top</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_xlfn.IFS(A679&lt;=25,"Under 25",A679&lt;=35,"26–35",A679&lt;=45,"36–45",A679&gt;45,"46+")</f>
        <v>46+</v>
      </c>
      <c r="AK679" t="str" cm="1">
        <f t="array" ref="AK679">_xlfn.IFS(R679&lt;=3000,"Low",R679&lt;=7000,"Mid",R679&lt;=12000,"High",R679&gt;12000,"Top")</f>
        <v>Top</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_xlfn.IFS(A680&lt;=25,"Under 25",A680&lt;=35,"26–35",A680&lt;=45,"36–45",A680&gt;45,"46+")</f>
        <v>46+</v>
      </c>
      <c r="AK680" t="str" cm="1">
        <f t="array" ref="AK680">_xlfn.IFS(R680&lt;=3000,"Low",R680&lt;=7000,"Mid",R680&lt;=12000,"High",R680&gt;12000,"Top")</f>
        <v>Top</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_xlfn.IFS(A681&lt;=25,"Under 25",A681&lt;=35,"26–35",A681&lt;=45,"36–45",A681&gt;45,"46+")</f>
        <v>26–35</v>
      </c>
      <c r="AK681" t="str" cm="1">
        <f t="array" ref="AK681">_xlfn.IFS(R681&lt;=3000,"Low",R681&lt;=7000,"Mid",R681&lt;=12000,"High",R681&gt;12000,"Top")</f>
        <v>Top</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_xlfn.IFS(A682&lt;=25,"Under 25",A682&lt;=35,"26–35",A682&lt;=45,"36–45",A682&gt;45,"46+")</f>
        <v>36–45</v>
      </c>
      <c r="AK682" t="str" cm="1">
        <f t="array" ref="AK682">_xlfn.IFS(R682&lt;=3000,"Low",R682&lt;=7000,"Mid",R682&lt;=12000,"High",R682&gt;12000,"Top")</f>
        <v>Top</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_xlfn.IFS(A683&lt;=25,"Under 25",A683&lt;=35,"26–35",A683&lt;=45,"36–45",A683&gt;45,"46+")</f>
        <v>36–45</v>
      </c>
      <c r="AK683" t="str" cm="1">
        <f t="array" ref="AK683">_xlfn.IFS(R683&lt;=3000,"Low",R683&lt;=7000,"Mid",R683&lt;=12000,"High",R683&gt;12000,"Top")</f>
        <v>Top</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_xlfn.IFS(A684&lt;=25,"Under 25",A684&lt;=35,"26–35",A684&lt;=45,"36–45",A684&gt;45,"46+")</f>
        <v>26–35</v>
      </c>
      <c r="AK684" t="str" cm="1">
        <f t="array" ref="AK684">_xlfn.IFS(R684&lt;=3000,"Low",R684&lt;=7000,"Mid",R684&lt;=12000,"High",R684&gt;12000,"Top")</f>
        <v>Top</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_xlfn.IFS(A685&lt;=25,"Under 25",A685&lt;=35,"26–35",A685&lt;=45,"36–45",A685&gt;45,"46+")</f>
        <v>Under 25</v>
      </c>
      <c r="AK685" t="str" cm="1">
        <f t="array" ref="AK685">_xlfn.IFS(R685&lt;=3000,"Low",R685&lt;=7000,"Mid",R685&lt;=12000,"High",R685&gt;12000,"Top")</f>
        <v>Top</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_xlfn.IFS(A686&lt;=25,"Under 25",A686&lt;=35,"26–35",A686&lt;=45,"36–45",A686&gt;45,"46+")</f>
        <v>36–45</v>
      </c>
      <c r="AK686" t="str" cm="1">
        <f t="array" ref="AK686">_xlfn.IFS(R686&lt;=3000,"Low",R686&lt;=7000,"Mid",R686&lt;=12000,"High",R686&gt;12000,"Top")</f>
        <v>Top</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_xlfn.IFS(A687&lt;=25,"Under 25",A687&lt;=35,"26–35",A687&lt;=45,"36–45",A687&gt;45,"46+")</f>
        <v>26–35</v>
      </c>
      <c r="AK687" t="str" cm="1">
        <f t="array" ref="AK687">_xlfn.IFS(R687&lt;=3000,"Low",R687&lt;=7000,"Mid",R687&lt;=12000,"High",R687&gt;12000,"Top")</f>
        <v>Top</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_xlfn.IFS(A688&lt;=25,"Under 25",A688&lt;=35,"26–35",A688&lt;=45,"36–45",A688&gt;45,"46+")</f>
        <v>36–45</v>
      </c>
      <c r="AK688" t="str" cm="1">
        <f t="array" ref="AK688">_xlfn.IFS(R688&lt;=3000,"Low",R688&lt;=7000,"Mid",R688&lt;=12000,"High",R688&gt;12000,"Top")</f>
        <v>Top</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_xlfn.IFS(A689&lt;=25,"Under 25",A689&lt;=35,"26–35",A689&lt;=45,"36–45",A689&gt;45,"46+")</f>
        <v>36–45</v>
      </c>
      <c r="AK689" t="str" cm="1">
        <f t="array" ref="AK689">_xlfn.IFS(R689&lt;=3000,"Low",R689&lt;=7000,"Mid",R689&lt;=12000,"High",R689&gt;12000,"Top")</f>
        <v>Top</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_xlfn.IFS(A690&lt;=25,"Under 25",A690&lt;=35,"26–35",A690&lt;=45,"36–45",A690&gt;45,"46+")</f>
        <v>Under 25</v>
      </c>
      <c r="AK690" t="str" cm="1">
        <f t="array" ref="AK690">_xlfn.IFS(R690&lt;=3000,"Low",R690&lt;=7000,"Mid",R690&lt;=12000,"High",R690&gt;12000,"Top")</f>
        <v>Top</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_xlfn.IFS(A691&lt;=25,"Under 25",A691&lt;=35,"26–35",A691&lt;=45,"36–45",A691&gt;45,"46+")</f>
        <v>Under 25</v>
      </c>
      <c r="AK691" t="str" cm="1">
        <f t="array" ref="AK691">_xlfn.IFS(R691&lt;=3000,"Low",R691&lt;=7000,"Mid",R691&lt;=12000,"High",R691&gt;12000,"Top")</f>
        <v>Top</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_xlfn.IFS(A692&lt;=25,"Under 25",A692&lt;=35,"26–35",A692&lt;=45,"36–45",A692&gt;45,"46+")</f>
        <v>26–35</v>
      </c>
      <c r="AK692" t="str" cm="1">
        <f t="array" ref="AK692">_xlfn.IFS(R692&lt;=3000,"Low",R692&lt;=7000,"Mid",R692&lt;=12000,"High",R692&gt;12000,"Top")</f>
        <v>Top</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_xlfn.IFS(A693&lt;=25,"Under 25",A693&lt;=35,"26–35",A693&lt;=45,"36–45",A693&gt;45,"46+")</f>
        <v>36–45</v>
      </c>
      <c r="AK693" t="str" cm="1">
        <f t="array" ref="AK693">_xlfn.IFS(R693&lt;=3000,"Low",R693&lt;=7000,"Mid",R693&lt;=12000,"High",R693&gt;12000,"Top")</f>
        <v>Top</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_xlfn.IFS(A694&lt;=25,"Under 25",A694&lt;=35,"26–35",A694&lt;=45,"36–45",A694&gt;45,"46+")</f>
        <v>26–35</v>
      </c>
      <c r="AK694" t="str" cm="1">
        <f t="array" ref="AK694">_xlfn.IFS(R694&lt;=3000,"Low",R694&lt;=7000,"Mid",R694&lt;=12000,"High",R694&gt;12000,"Top")</f>
        <v>Top</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_xlfn.IFS(A695&lt;=25,"Under 25",A695&lt;=35,"26–35",A695&lt;=45,"36–45",A695&gt;45,"46+")</f>
        <v>36–45</v>
      </c>
      <c r="AK695" t="str" cm="1">
        <f t="array" ref="AK695">_xlfn.IFS(R695&lt;=3000,"Low",R695&lt;=7000,"Mid",R695&lt;=12000,"High",R695&gt;12000,"Top")</f>
        <v>Top</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_xlfn.IFS(A696&lt;=25,"Under 25",A696&lt;=35,"26–35",A696&lt;=45,"36–45",A696&gt;45,"46+")</f>
        <v>26–35</v>
      </c>
      <c r="AK696" t="str" cm="1">
        <f t="array" ref="AK696">_xlfn.IFS(R696&lt;=3000,"Low",R696&lt;=7000,"Mid",R696&lt;=12000,"High",R696&gt;12000,"Top")</f>
        <v>Top</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_xlfn.IFS(A697&lt;=25,"Under 25",A697&lt;=35,"26–35",A697&lt;=45,"36–45",A697&gt;45,"46+")</f>
        <v>36–45</v>
      </c>
      <c r="AK697" t="str" cm="1">
        <f t="array" ref="AK697">_xlfn.IFS(R697&lt;=3000,"Low",R697&lt;=7000,"Mid",R697&lt;=12000,"High",R697&gt;12000,"Top")</f>
        <v>Top</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_xlfn.IFS(A698&lt;=25,"Under 25",A698&lt;=35,"26–35",A698&lt;=45,"36–45",A698&gt;45,"46+")</f>
        <v>36–45</v>
      </c>
      <c r="AK698" t="str" cm="1">
        <f t="array" ref="AK698">_xlfn.IFS(R698&lt;=3000,"Low",R698&lt;=7000,"Mid",R698&lt;=12000,"High",R698&gt;12000,"Top")</f>
        <v>Top</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_xlfn.IFS(A699&lt;=25,"Under 25",A699&lt;=35,"26–35",A699&lt;=45,"36–45",A699&gt;45,"46+")</f>
        <v>26–35</v>
      </c>
      <c r="AK699" t="str" cm="1">
        <f t="array" ref="AK699">_xlfn.IFS(R699&lt;=3000,"Low",R699&lt;=7000,"Mid",R699&lt;=12000,"High",R699&gt;12000,"Top")</f>
        <v>Top</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_xlfn.IFS(A700&lt;=25,"Under 25",A700&lt;=35,"26–35",A700&lt;=45,"36–45",A700&gt;45,"46+")</f>
        <v>26–35</v>
      </c>
      <c r="AK700" t="str" cm="1">
        <f t="array" ref="AK700">_xlfn.IFS(R700&lt;=3000,"Low",R700&lt;=7000,"Mid",R700&lt;=12000,"High",R700&gt;12000,"Top")</f>
        <v>Top</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_xlfn.IFS(A701&lt;=25,"Under 25",A701&lt;=35,"26–35",A701&lt;=45,"36–45",A701&gt;45,"46+")</f>
        <v>46+</v>
      </c>
      <c r="AK701" t="str" cm="1">
        <f t="array" ref="AK701">_xlfn.IFS(R701&lt;=3000,"Low",R701&lt;=7000,"Mid",R701&lt;=12000,"High",R701&gt;12000,"Top")</f>
        <v>Top</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_xlfn.IFS(A702&lt;=25,"Under 25",A702&lt;=35,"26–35",A702&lt;=45,"36–45",A702&gt;45,"46+")</f>
        <v>46+</v>
      </c>
      <c r="AK702" t="str" cm="1">
        <f t="array" ref="AK702">_xlfn.IFS(R702&lt;=3000,"Low",R702&lt;=7000,"Mid",R702&lt;=12000,"High",R702&gt;12000,"Top")</f>
        <v>Top</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_xlfn.IFS(A703&lt;=25,"Under 25",A703&lt;=35,"26–35",A703&lt;=45,"36–45",A703&gt;45,"46+")</f>
        <v>46+</v>
      </c>
      <c r="AK703" t="str" cm="1">
        <f t="array" ref="AK703">_xlfn.IFS(R703&lt;=3000,"Low",R703&lt;=7000,"Mid",R703&lt;=12000,"High",R703&gt;12000,"Top")</f>
        <v>Top</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_xlfn.IFS(A704&lt;=25,"Under 25",A704&lt;=35,"26–35",A704&lt;=45,"36–45",A704&gt;45,"46+")</f>
        <v>26–35</v>
      </c>
      <c r="AK704" t="str" cm="1">
        <f t="array" ref="AK704">_xlfn.IFS(R704&lt;=3000,"Low",R704&lt;=7000,"Mid",R704&lt;=12000,"High",R704&gt;12000,"Top")</f>
        <v>Top</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_xlfn.IFS(A705&lt;=25,"Under 25",A705&lt;=35,"26–35",A705&lt;=45,"36–45",A705&gt;45,"46+")</f>
        <v>36–45</v>
      </c>
      <c r="AK705" t="str" cm="1">
        <f t="array" ref="AK705">_xlfn.IFS(R705&lt;=3000,"Low",R705&lt;=7000,"Mid",R705&lt;=12000,"High",R705&gt;12000,"Top")</f>
        <v>Top</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_xlfn.IFS(A706&lt;=25,"Under 25",A706&lt;=35,"26–35",A706&lt;=45,"36–45",A706&gt;45,"46+")</f>
        <v>26–35</v>
      </c>
      <c r="AK706" t="str" cm="1">
        <f t="array" ref="AK706">_xlfn.IFS(R706&lt;=3000,"Low",R706&lt;=7000,"Mid",R706&lt;=12000,"High",R706&gt;12000,"Top")</f>
        <v>Top</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_xlfn.IFS(A707&lt;=25,"Under 25",A707&lt;=35,"26–35",A707&lt;=45,"36–45",A707&gt;45,"46+")</f>
        <v>36–45</v>
      </c>
      <c r="AK707" t="str" cm="1">
        <f t="array" ref="AK707">_xlfn.IFS(R707&lt;=3000,"Low",R707&lt;=7000,"Mid",R707&lt;=12000,"High",R707&gt;12000,"Top")</f>
        <v>Top</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_xlfn.IFS(A708&lt;=25,"Under 25",A708&lt;=35,"26–35",A708&lt;=45,"36–45",A708&gt;45,"46+")</f>
        <v>36–45</v>
      </c>
      <c r="AK708" t="str" cm="1">
        <f t="array" ref="AK708">_xlfn.IFS(R708&lt;=3000,"Low",R708&lt;=7000,"Mid",R708&lt;=12000,"High",R708&gt;12000,"Top")</f>
        <v>Top</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_xlfn.IFS(A709&lt;=25,"Under 25",A709&lt;=35,"26–35",A709&lt;=45,"36–45",A709&gt;45,"46+")</f>
        <v>46+</v>
      </c>
      <c r="AK709" t="str" cm="1">
        <f t="array" ref="AK709">_xlfn.IFS(R709&lt;=3000,"Low",R709&lt;=7000,"Mid",R709&lt;=12000,"High",R709&gt;12000,"Top")</f>
        <v>Top</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_xlfn.IFS(A710&lt;=25,"Under 25",A710&lt;=35,"26–35",A710&lt;=45,"36–45",A710&gt;45,"46+")</f>
        <v>36–45</v>
      </c>
      <c r="AK710" t="str" cm="1">
        <f t="array" ref="AK710">_xlfn.IFS(R710&lt;=3000,"Low",R710&lt;=7000,"Mid",R710&lt;=12000,"High",R710&gt;12000,"Top")</f>
        <v>Top</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_xlfn.IFS(A711&lt;=25,"Under 25",A711&lt;=35,"26–35",A711&lt;=45,"36–45",A711&gt;45,"46+")</f>
        <v>26–35</v>
      </c>
      <c r="AK711" t="str" cm="1">
        <f t="array" ref="AK711">_xlfn.IFS(R711&lt;=3000,"Low",R711&lt;=7000,"Mid",R711&lt;=12000,"High",R711&gt;12000,"Top")</f>
        <v>Top</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_xlfn.IFS(A712&lt;=25,"Under 25",A712&lt;=35,"26–35",A712&lt;=45,"36–45",A712&gt;45,"46+")</f>
        <v>26–35</v>
      </c>
      <c r="AK712" t="str" cm="1">
        <f t="array" ref="AK712">_xlfn.IFS(R712&lt;=3000,"Low",R712&lt;=7000,"Mid",R712&lt;=12000,"High",R712&gt;12000,"Top")</f>
        <v>Top</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_xlfn.IFS(A713&lt;=25,"Under 25",A713&lt;=35,"26–35",A713&lt;=45,"36–45",A713&gt;45,"46+")</f>
        <v>26–35</v>
      </c>
      <c r="AK713" t="str" cm="1">
        <f t="array" ref="AK713">_xlfn.IFS(R713&lt;=3000,"Low",R713&lt;=7000,"Mid",R713&lt;=12000,"High",R713&gt;12000,"Top")</f>
        <v>Top</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_xlfn.IFS(A714&lt;=25,"Under 25",A714&lt;=35,"26–35",A714&lt;=45,"36–45",A714&gt;45,"46+")</f>
        <v>26–35</v>
      </c>
      <c r="AK714" t="str" cm="1">
        <f t="array" ref="AK714">_xlfn.IFS(R714&lt;=3000,"Low",R714&lt;=7000,"Mid",R714&lt;=12000,"High",R714&gt;12000,"Top")</f>
        <v>Top</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_xlfn.IFS(A715&lt;=25,"Under 25",A715&lt;=35,"26–35",A715&lt;=45,"36–45",A715&gt;45,"46+")</f>
        <v>36–45</v>
      </c>
      <c r="AK715" t="str" cm="1">
        <f t="array" ref="AK715">_xlfn.IFS(R715&lt;=3000,"Low",R715&lt;=7000,"Mid",R715&lt;=12000,"High",R715&gt;12000,"Top")</f>
        <v>Top</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_xlfn.IFS(A716&lt;=25,"Under 25",A716&lt;=35,"26–35",A716&lt;=45,"36–45",A716&gt;45,"46+")</f>
        <v>46+</v>
      </c>
      <c r="AK716" t="str" cm="1">
        <f t="array" ref="AK716">_xlfn.IFS(R716&lt;=3000,"Low",R716&lt;=7000,"Mid",R716&lt;=12000,"High",R716&gt;12000,"Top")</f>
        <v>Top</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_xlfn.IFS(A717&lt;=25,"Under 25",A717&lt;=35,"26–35",A717&lt;=45,"36–45",A717&gt;45,"46+")</f>
        <v>26–35</v>
      </c>
      <c r="AK717" t="str" cm="1">
        <f t="array" ref="AK717">_xlfn.IFS(R717&lt;=3000,"Low",R717&lt;=7000,"Mid",R717&lt;=12000,"High",R717&gt;12000,"Top")</f>
        <v>Top</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_xlfn.IFS(A718&lt;=25,"Under 25",A718&lt;=35,"26–35",A718&lt;=45,"36–45",A718&gt;45,"46+")</f>
        <v>36–45</v>
      </c>
      <c r="AK718" t="str" cm="1">
        <f t="array" ref="AK718">_xlfn.IFS(R718&lt;=3000,"Low",R718&lt;=7000,"Mid",R718&lt;=12000,"High",R718&gt;12000,"Top")</f>
        <v>Top</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_xlfn.IFS(A719&lt;=25,"Under 25",A719&lt;=35,"26–35",A719&lt;=45,"36–45",A719&gt;45,"46+")</f>
        <v>26–35</v>
      </c>
      <c r="AK719" t="str" cm="1">
        <f t="array" ref="AK719">_xlfn.IFS(R719&lt;=3000,"Low",R719&lt;=7000,"Mid",R719&lt;=12000,"High",R719&gt;12000,"Top")</f>
        <v>Top</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_xlfn.IFS(A720&lt;=25,"Under 25",A720&lt;=35,"26–35",A720&lt;=45,"36–45",A720&gt;45,"46+")</f>
        <v>36–45</v>
      </c>
      <c r="AK720" t="str" cm="1">
        <f t="array" ref="AK720">_xlfn.IFS(R720&lt;=3000,"Low",R720&lt;=7000,"Mid",R720&lt;=12000,"High",R720&gt;12000,"Top")</f>
        <v>Top</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_xlfn.IFS(A721&lt;=25,"Under 25",A721&lt;=35,"26–35",A721&lt;=45,"36–45",A721&gt;45,"46+")</f>
        <v>46+</v>
      </c>
      <c r="AK721" t="str" cm="1">
        <f t="array" ref="AK721">_xlfn.IFS(R721&lt;=3000,"Low",R721&lt;=7000,"Mid",R721&lt;=12000,"High",R721&gt;12000,"Top")</f>
        <v>Top</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_xlfn.IFS(A722&lt;=25,"Under 25",A722&lt;=35,"26–35",A722&lt;=45,"36–45",A722&gt;45,"46+")</f>
        <v>26–35</v>
      </c>
      <c r="AK722" t="str" cm="1">
        <f t="array" ref="AK722">_xlfn.IFS(R722&lt;=3000,"Low",R722&lt;=7000,"Mid",R722&lt;=12000,"High",R722&gt;12000,"Top")</f>
        <v>Top</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_xlfn.IFS(A723&lt;=25,"Under 25",A723&lt;=35,"26–35",A723&lt;=45,"36–45",A723&gt;45,"46+")</f>
        <v>46+</v>
      </c>
      <c r="AK723" t="str" cm="1">
        <f t="array" ref="AK723">_xlfn.IFS(R723&lt;=3000,"Low",R723&lt;=7000,"Mid",R723&lt;=12000,"High",R723&gt;12000,"Top")</f>
        <v>Top</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_xlfn.IFS(A724&lt;=25,"Under 25",A724&lt;=35,"26–35",A724&lt;=45,"36–45",A724&gt;45,"46+")</f>
        <v>36–45</v>
      </c>
      <c r="AK724" t="str" cm="1">
        <f t="array" ref="AK724">_xlfn.IFS(R724&lt;=3000,"Low",R724&lt;=7000,"Mid",R724&lt;=12000,"High",R724&gt;12000,"Top")</f>
        <v>Top</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_xlfn.IFS(A725&lt;=25,"Under 25",A725&lt;=35,"26–35",A725&lt;=45,"36–45",A725&gt;45,"46+")</f>
        <v>46+</v>
      </c>
      <c r="AK725" t="str" cm="1">
        <f t="array" ref="AK725">_xlfn.IFS(R725&lt;=3000,"Low",R725&lt;=7000,"Mid",R725&lt;=12000,"High",R725&gt;12000,"Top")</f>
        <v>Top</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_xlfn.IFS(A726&lt;=25,"Under 25",A726&lt;=35,"26–35",A726&lt;=45,"36–45",A726&gt;45,"46+")</f>
        <v>Under 25</v>
      </c>
      <c r="AK726" t="str" cm="1">
        <f t="array" ref="AK726">_xlfn.IFS(R726&lt;=3000,"Low",R726&lt;=7000,"Mid",R726&lt;=12000,"High",R726&gt;12000,"Top")</f>
        <v>Top</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_xlfn.IFS(A727&lt;=25,"Under 25",A727&lt;=35,"26–35",A727&lt;=45,"36–45",A727&gt;45,"46+")</f>
        <v>26–35</v>
      </c>
      <c r="AK727" t="str" cm="1">
        <f t="array" ref="AK727">_xlfn.IFS(R727&lt;=3000,"Low",R727&lt;=7000,"Mid",R727&lt;=12000,"High",R727&gt;12000,"Top")</f>
        <v>Top</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_xlfn.IFS(A728&lt;=25,"Under 25",A728&lt;=35,"26–35",A728&lt;=45,"36–45",A728&gt;45,"46+")</f>
        <v>26–35</v>
      </c>
      <c r="AK728" t="str" cm="1">
        <f t="array" ref="AK728">_xlfn.IFS(R728&lt;=3000,"Low",R728&lt;=7000,"Mid",R728&lt;=12000,"High",R728&gt;12000,"Top")</f>
        <v>Top</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_xlfn.IFS(A729&lt;=25,"Under 25",A729&lt;=35,"26–35",A729&lt;=45,"36–45",A729&gt;45,"46+")</f>
        <v>Under 25</v>
      </c>
      <c r="AK729" t="str" cm="1">
        <f t="array" ref="AK729">_xlfn.IFS(R729&lt;=3000,"Low",R729&lt;=7000,"Mid",R729&lt;=12000,"High",R729&gt;12000,"Top")</f>
        <v>Top</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_xlfn.IFS(A730&lt;=25,"Under 25",A730&lt;=35,"26–35",A730&lt;=45,"36–45",A730&gt;45,"46+")</f>
        <v>46+</v>
      </c>
      <c r="AK730" t="str" cm="1">
        <f t="array" ref="AK730">_xlfn.IFS(R730&lt;=3000,"Low",R730&lt;=7000,"Mid",R730&lt;=12000,"High",R730&gt;12000,"Top")</f>
        <v>Top</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_xlfn.IFS(A731&lt;=25,"Under 25",A731&lt;=35,"26–35",A731&lt;=45,"36–45",A731&gt;45,"46+")</f>
        <v>26–35</v>
      </c>
      <c r="AK731" t="str" cm="1">
        <f t="array" ref="AK731">_xlfn.IFS(R731&lt;=3000,"Low",R731&lt;=7000,"Mid",R731&lt;=12000,"High",R731&gt;12000,"Top")</f>
        <v>Top</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_xlfn.IFS(A732&lt;=25,"Under 25",A732&lt;=35,"26–35",A732&lt;=45,"36–45",A732&gt;45,"46+")</f>
        <v>26–35</v>
      </c>
      <c r="AK732" t="str" cm="1">
        <f t="array" ref="AK732">_xlfn.IFS(R732&lt;=3000,"Low",R732&lt;=7000,"Mid",R732&lt;=12000,"High",R732&gt;12000,"Top")</f>
        <v>Top</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_xlfn.IFS(A733&lt;=25,"Under 25",A733&lt;=35,"26–35",A733&lt;=45,"36–45",A733&gt;45,"46+")</f>
        <v>Under 25</v>
      </c>
      <c r="AK733" t="str" cm="1">
        <f t="array" ref="AK733">_xlfn.IFS(R733&lt;=3000,"Low",R733&lt;=7000,"Mid",R733&lt;=12000,"High",R733&gt;12000,"Top")</f>
        <v>Top</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_xlfn.IFS(A734&lt;=25,"Under 25",A734&lt;=35,"26–35",A734&lt;=45,"36–45",A734&gt;45,"46+")</f>
        <v>26–35</v>
      </c>
      <c r="AK734" t="str" cm="1">
        <f t="array" ref="AK734">_xlfn.IFS(R734&lt;=3000,"Low",R734&lt;=7000,"Mid",R734&lt;=12000,"High",R734&gt;12000,"Top")</f>
        <v>Top</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_xlfn.IFS(A735&lt;=25,"Under 25",A735&lt;=35,"26–35",A735&lt;=45,"36–45",A735&gt;45,"46+")</f>
        <v>26–35</v>
      </c>
      <c r="AK735" t="str" cm="1">
        <f t="array" ref="AK735">_xlfn.IFS(R735&lt;=3000,"Low",R735&lt;=7000,"Mid",R735&lt;=12000,"High",R735&gt;12000,"Top")</f>
        <v>Top</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_xlfn.IFS(A736&lt;=25,"Under 25",A736&lt;=35,"26–35",A736&lt;=45,"36–45",A736&gt;45,"46+")</f>
        <v>Under 25</v>
      </c>
      <c r="AK736" t="str" cm="1">
        <f t="array" ref="AK736">_xlfn.IFS(R736&lt;=3000,"Low",R736&lt;=7000,"Mid",R736&lt;=12000,"High",R736&gt;12000,"Top")</f>
        <v>Top</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_xlfn.IFS(A737&lt;=25,"Under 25",A737&lt;=35,"26–35",A737&lt;=45,"36–45",A737&gt;45,"46+")</f>
        <v>46+</v>
      </c>
      <c r="AK737" t="str" cm="1">
        <f t="array" ref="AK737">_xlfn.IFS(R737&lt;=3000,"Low",R737&lt;=7000,"Mid",R737&lt;=12000,"High",R737&gt;12000,"Top")</f>
        <v>Top</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_xlfn.IFS(A738&lt;=25,"Under 25",A738&lt;=35,"26–35",A738&lt;=45,"36–45",A738&gt;45,"46+")</f>
        <v>46+</v>
      </c>
      <c r="AK738" t="str" cm="1">
        <f t="array" ref="AK738">_xlfn.IFS(R738&lt;=3000,"Low",R738&lt;=7000,"Mid",R738&lt;=12000,"High",R738&gt;12000,"Top")</f>
        <v>Top</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_xlfn.IFS(A739&lt;=25,"Under 25",A739&lt;=35,"26–35",A739&lt;=45,"36–45",A739&gt;45,"46+")</f>
        <v>36–45</v>
      </c>
      <c r="AK739" t="str" cm="1">
        <f t="array" ref="AK739">_xlfn.IFS(R739&lt;=3000,"Low",R739&lt;=7000,"Mid",R739&lt;=12000,"High",R739&gt;12000,"Top")</f>
        <v>Top</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_xlfn.IFS(A740&lt;=25,"Under 25",A740&lt;=35,"26–35",A740&lt;=45,"36–45",A740&gt;45,"46+")</f>
        <v>36–45</v>
      </c>
      <c r="AK740" t="str" cm="1">
        <f t="array" ref="AK740">_xlfn.IFS(R740&lt;=3000,"Low",R740&lt;=7000,"Mid",R740&lt;=12000,"High",R740&gt;12000,"Top")</f>
        <v>Top</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_xlfn.IFS(A741&lt;=25,"Under 25",A741&lt;=35,"26–35",A741&lt;=45,"36–45",A741&gt;45,"46+")</f>
        <v>26–35</v>
      </c>
      <c r="AK741" t="str" cm="1">
        <f t="array" ref="AK741">_xlfn.IFS(R741&lt;=3000,"Low",R741&lt;=7000,"Mid",R741&lt;=12000,"High",R741&gt;12000,"Top")</f>
        <v>Top</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_xlfn.IFS(A742&lt;=25,"Under 25",A742&lt;=35,"26–35",A742&lt;=45,"36–45",A742&gt;45,"46+")</f>
        <v>26–35</v>
      </c>
      <c r="AK742" t="str" cm="1">
        <f t="array" ref="AK742">_xlfn.IFS(R742&lt;=3000,"Low",R742&lt;=7000,"Mid",R742&lt;=12000,"High",R742&gt;12000,"Top")</f>
        <v>Top</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_xlfn.IFS(A743&lt;=25,"Under 25",A743&lt;=35,"26–35",A743&lt;=45,"36–45",A743&gt;45,"46+")</f>
        <v>36–45</v>
      </c>
      <c r="AK743" t="str" cm="1">
        <f t="array" ref="AK743">_xlfn.IFS(R743&lt;=3000,"Low",R743&lt;=7000,"Mid",R743&lt;=12000,"High",R743&gt;12000,"Top")</f>
        <v>Top</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_xlfn.IFS(A744&lt;=25,"Under 25",A744&lt;=35,"26–35",A744&lt;=45,"36–45",A744&gt;45,"46+")</f>
        <v>46+</v>
      </c>
      <c r="AK744" t="str" cm="1">
        <f t="array" ref="AK744">_xlfn.IFS(R744&lt;=3000,"Low",R744&lt;=7000,"Mid",R744&lt;=12000,"High",R744&gt;12000,"Top")</f>
        <v>Top</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_xlfn.IFS(A745&lt;=25,"Under 25",A745&lt;=35,"26–35",A745&lt;=45,"36–45",A745&gt;45,"46+")</f>
        <v>46+</v>
      </c>
      <c r="AK745" t="str" cm="1">
        <f t="array" ref="AK745">_xlfn.IFS(R745&lt;=3000,"Low",R745&lt;=7000,"Mid",R745&lt;=12000,"High",R745&gt;12000,"Top")</f>
        <v>Top</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_xlfn.IFS(A746&lt;=25,"Under 25",A746&lt;=35,"26–35",A746&lt;=45,"36–45",A746&gt;45,"46+")</f>
        <v>36–45</v>
      </c>
      <c r="AK746" t="str" cm="1">
        <f t="array" ref="AK746">_xlfn.IFS(R746&lt;=3000,"Low",R746&lt;=7000,"Mid",R746&lt;=12000,"High",R746&gt;12000,"Top")</f>
        <v>Top</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_xlfn.IFS(A747&lt;=25,"Under 25",A747&lt;=35,"26–35",A747&lt;=45,"36–45",A747&gt;45,"46+")</f>
        <v>46+</v>
      </c>
      <c r="AK747" t="str" cm="1">
        <f t="array" ref="AK747">_xlfn.IFS(R747&lt;=3000,"Low",R747&lt;=7000,"Mid",R747&lt;=12000,"High",R747&gt;12000,"Top")</f>
        <v>Top</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_xlfn.IFS(A748&lt;=25,"Under 25",A748&lt;=35,"26–35",A748&lt;=45,"36–45",A748&gt;45,"46+")</f>
        <v>36–45</v>
      </c>
      <c r="AK748" t="str" cm="1">
        <f t="array" ref="AK748">_xlfn.IFS(R748&lt;=3000,"Low",R748&lt;=7000,"Mid",R748&lt;=12000,"High",R748&gt;12000,"Top")</f>
        <v>Top</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_xlfn.IFS(A749&lt;=25,"Under 25",A749&lt;=35,"26–35",A749&lt;=45,"36–45",A749&gt;45,"46+")</f>
        <v>36–45</v>
      </c>
      <c r="AK749" t="str" cm="1">
        <f t="array" ref="AK749">_xlfn.IFS(R749&lt;=3000,"Low",R749&lt;=7000,"Mid",R749&lt;=12000,"High",R749&gt;12000,"Top")</f>
        <v>Top</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_xlfn.IFS(A750&lt;=25,"Under 25",A750&lt;=35,"26–35",A750&lt;=45,"36–45",A750&gt;45,"46+")</f>
        <v>26–35</v>
      </c>
      <c r="AK750" t="str" cm="1">
        <f t="array" ref="AK750">_xlfn.IFS(R750&lt;=3000,"Low",R750&lt;=7000,"Mid",R750&lt;=12000,"High",R750&gt;12000,"Top")</f>
        <v>Top</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_xlfn.IFS(A751&lt;=25,"Under 25",A751&lt;=35,"26–35",A751&lt;=45,"36–45",A751&gt;45,"46+")</f>
        <v>46+</v>
      </c>
      <c r="AK751" t="str" cm="1">
        <f t="array" ref="AK751">_xlfn.IFS(R751&lt;=3000,"Low",R751&lt;=7000,"Mid",R751&lt;=12000,"High",R751&gt;12000,"Top")</f>
        <v>Top</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_xlfn.IFS(A752&lt;=25,"Under 25",A752&lt;=35,"26–35",A752&lt;=45,"36–45",A752&gt;45,"46+")</f>
        <v>36–45</v>
      </c>
      <c r="AK752" t="str" cm="1">
        <f t="array" ref="AK752">_xlfn.IFS(R752&lt;=3000,"Low",R752&lt;=7000,"Mid",R752&lt;=12000,"High",R752&gt;12000,"Top")</f>
        <v>Top</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_xlfn.IFS(A753&lt;=25,"Under 25",A753&lt;=35,"26–35",A753&lt;=45,"36–45",A753&gt;45,"46+")</f>
        <v>46+</v>
      </c>
      <c r="AK753" t="str" cm="1">
        <f t="array" ref="AK753">_xlfn.IFS(R753&lt;=3000,"Low",R753&lt;=7000,"Mid",R753&lt;=12000,"High",R753&gt;12000,"Top")</f>
        <v>Top</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_xlfn.IFS(A754&lt;=25,"Under 25",A754&lt;=35,"26–35",A754&lt;=45,"36–45",A754&gt;45,"46+")</f>
        <v>36–45</v>
      </c>
      <c r="AK754" t="str" cm="1">
        <f t="array" ref="AK754">_xlfn.IFS(R754&lt;=3000,"Low",R754&lt;=7000,"Mid",R754&lt;=12000,"High",R754&gt;12000,"Top")</f>
        <v>Top</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_xlfn.IFS(A755&lt;=25,"Under 25",A755&lt;=35,"26–35",A755&lt;=45,"36–45",A755&gt;45,"46+")</f>
        <v>36–45</v>
      </c>
      <c r="AK755" t="str" cm="1">
        <f t="array" ref="AK755">_xlfn.IFS(R755&lt;=3000,"Low",R755&lt;=7000,"Mid",R755&lt;=12000,"High",R755&gt;12000,"Top")</f>
        <v>Top</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_xlfn.IFS(A756&lt;=25,"Under 25",A756&lt;=35,"26–35",A756&lt;=45,"36–45",A756&gt;45,"46+")</f>
        <v>26–35</v>
      </c>
      <c r="AK756" t="str" cm="1">
        <f t="array" ref="AK756">_xlfn.IFS(R756&lt;=3000,"Low",R756&lt;=7000,"Mid",R756&lt;=12000,"High",R756&gt;12000,"Top")</f>
        <v>Top</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_xlfn.IFS(A757&lt;=25,"Under 25",A757&lt;=35,"26–35",A757&lt;=45,"36–45",A757&gt;45,"46+")</f>
        <v>36–45</v>
      </c>
      <c r="AK757" t="str" cm="1">
        <f t="array" ref="AK757">_xlfn.IFS(R757&lt;=3000,"Low",R757&lt;=7000,"Mid",R757&lt;=12000,"High",R757&gt;12000,"Top")</f>
        <v>Top</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_xlfn.IFS(A758&lt;=25,"Under 25",A758&lt;=35,"26–35",A758&lt;=45,"36–45",A758&gt;45,"46+")</f>
        <v>26–35</v>
      </c>
      <c r="AK758" t="str" cm="1">
        <f t="array" ref="AK758">_xlfn.IFS(R758&lt;=3000,"Low",R758&lt;=7000,"Mid",R758&lt;=12000,"High",R758&gt;12000,"Top")</f>
        <v>Top</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_xlfn.IFS(A759&lt;=25,"Under 25",A759&lt;=35,"26–35",A759&lt;=45,"36–45",A759&gt;45,"46+")</f>
        <v>26–35</v>
      </c>
      <c r="AK759" t="str" cm="1">
        <f t="array" ref="AK759">_xlfn.IFS(R759&lt;=3000,"Low",R759&lt;=7000,"Mid",R759&lt;=12000,"High",R759&gt;12000,"Top")</f>
        <v>Top</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_xlfn.IFS(A760&lt;=25,"Under 25",A760&lt;=35,"26–35",A760&lt;=45,"36–45",A760&gt;45,"46+")</f>
        <v>46+</v>
      </c>
      <c r="AK760" t="str" cm="1">
        <f t="array" ref="AK760">_xlfn.IFS(R760&lt;=3000,"Low",R760&lt;=7000,"Mid",R760&lt;=12000,"High",R760&gt;12000,"Top")</f>
        <v>Top</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_xlfn.IFS(A761&lt;=25,"Under 25",A761&lt;=35,"26–35",A761&lt;=45,"36–45",A761&gt;45,"46+")</f>
        <v>36–45</v>
      </c>
      <c r="AK761" t="str" cm="1">
        <f t="array" ref="AK761">_xlfn.IFS(R761&lt;=3000,"Low",R761&lt;=7000,"Mid",R761&lt;=12000,"High",R761&gt;12000,"Top")</f>
        <v>Top</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_xlfn.IFS(A762&lt;=25,"Under 25",A762&lt;=35,"26–35",A762&lt;=45,"36–45",A762&gt;45,"46+")</f>
        <v>46+</v>
      </c>
      <c r="AK762" t="str" cm="1">
        <f t="array" ref="AK762">_xlfn.IFS(R762&lt;=3000,"Low",R762&lt;=7000,"Mid",R762&lt;=12000,"High",R762&gt;12000,"Top")</f>
        <v>Top</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_xlfn.IFS(A763&lt;=25,"Under 25",A763&lt;=35,"26–35",A763&lt;=45,"36–45",A763&gt;45,"46+")</f>
        <v>36–45</v>
      </c>
      <c r="AK763" t="str" cm="1">
        <f t="array" ref="AK763">_xlfn.IFS(R763&lt;=3000,"Low",R763&lt;=7000,"Mid",R763&lt;=12000,"High",R763&gt;12000,"Top")</f>
        <v>Top</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_xlfn.IFS(A764&lt;=25,"Under 25",A764&lt;=35,"26–35",A764&lt;=45,"36–45",A764&gt;45,"46+")</f>
        <v>26–35</v>
      </c>
      <c r="AK764" t="str" cm="1">
        <f t="array" ref="AK764">_xlfn.IFS(R764&lt;=3000,"Low",R764&lt;=7000,"Mid",R764&lt;=12000,"High",R764&gt;12000,"Top")</f>
        <v>Top</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_xlfn.IFS(A765&lt;=25,"Under 25",A765&lt;=35,"26–35",A765&lt;=45,"36–45",A765&gt;45,"46+")</f>
        <v>26–35</v>
      </c>
      <c r="AK765" t="str" cm="1">
        <f t="array" ref="AK765">_xlfn.IFS(R765&lt;=3000,"Low",R765&lt;=7000,"Mid",R765&lt;=12000,"High",R765&gt;12000,"Top")</f>
        <v>Top</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_xlfn.IFS(A766&lt;=25,"Under 25",A766&lt;=35,"26–35",A766&lt;=45,"36–45",A766&gt;45,"46+")</f>
        <v>26–35</v>
      </c>
      <c r="AK766" t="str" cm="1">
        <f t="array" ref="AK766">_xlfn.IFS(R766&lt;=3000,"Low",R766&lt;=7000,"Mid",R766&lt;=12000,"High",R766&gt;12000,"Top")</f>
        <v>Top</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_xlfn.IFS(A767&lt;=25,"Under 25",A767&lt;=35,"26–35",A767&lt;=45,"36–45",A767&gt;45,"46+")</f>
        <v>36–45</v>
      </c>
      <c r="AK767" t="str" cm="1">
        <f t="array" ref="AK767">_xlfn.IFS(R767&lt;=3000,"Low",R767&lt;=7000,"Mid",R767&lt;=12000,"High",R767&gt;12000,"Top")</f>
        <v>Top</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_xlfn.IFS(A768&lt;=25,"Under 25",A768&lt;=35,"26–35",A768&lt;=45,"36–45",A768&gt;45,"46+")</f>
        <v>46+</v>
      </c>
      <c r="AK768" t="str" cm="1">
        <f t="array" ref="AK768">_xlfn.IFS(R768&lt;=3000,"Low",R768&lt;=7000,"Mid",R768&lt;=12000,"High",R768&gt;12000,"Top")</f>
        <v>Top</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_xlfn.IFS(A769&lt;=25,"Under 25",A769&lt;=35,"26–35",A769&lt;=45,"36–45",A769&gt;45,"46+")</f>
        <v>36–45</v>
      </c>
      <c r="AK769" t="str" cm="1">
        <f t="array" ref="AK769">_xlfn.IFS(R769&lt;=3000,"Low",R769&lt;=7000,"Mid",R769&lt;=12000,"High",R769&gt;12000,"Top")</f>
        <v>Top</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_xlfn.IFS(A770&lt;=25,"Under 25",A770&lt;=35,"26–35",A770&lt;=45,"36–45",A770&gt;45,"46+")</f>
        <v>36–45</v>
      </c>
      <c r="AK770" t="str" cm="1">
        <f t="array" ref="AK770">_xlfn.IFS(R770&lt;=3000,"Low",R770&lt;=7000,"Mid",R770&lt;=12000,"High",R770&gt;12000,"Top")</f>
        <v>Top</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_xlfn.IFS(A771&lt;=25,"Under 25",A771&lt;=35,"26–35",A771&lt;=45,"36–45",A771&gt;45,"46+")</f>
        <v>26–35</v>
      </c>
      <c r="AK771" t="str" cm="1">
        <f t="array" ref="AK771">_xlfn.IFS(R771&lt;=3000,"Low",R771&lt;=7000,"Mid",R771&lt;=12000,"High",R771&gt;12000,"Top")</f>
        <v>Top</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_xlfn.IFS(A772&lt;=25,"Under 25",A772&lt;=35,"26–35",A772&lt;=45,"36–45",A772&gt;45,"46+")</f>
        <v>46+</v>
      </c>
      <c r="AK772" t="str" cm="1">
        <f t="array" ref="AK772">_xlfn.IFS(R772&lt;=3000,"Low",R772&lt;=7000,"Mid",R772&lt;=12000,"High",R772&gt;12000,"Top")</f>
        <v>Top</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_xlfn.IFS(A773&lt;=25,"Under 25",A773&lt;=35,"26–35",A773&lt;=45,"36–45",A773&gt;45,"46+")</f>
        <v>46+</v>
      </c>
      <c r="AK773" t="str" cm="1">
        <f t="array" ref="AK773">_xlfn.IFS(R773&lt;=3000,"Low",R773&lt;=7000,"Mid",R773&lt;=12000,"High",R773&gt;12000,"Top")</f>
        <v>Top</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_xlfn.IFS(A774&lt;=25,"Under 25",A774&lt;=35,"26–35",A774&lt;=45,"36–45",A774&gt;45,"46+")</f>
        <v>46+</v>
      </c>
      <c r="AK774" t="str" cm="1">
        <f t="array" ref="AK774">_xlfn.IFS(R774&lt;=3000,"Low",R774&lt;=7000,"Mid",R774&lt;=12000,"High",R774&gt;12000,"Top")</f>
        <v>Top</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_xlfn.IFS(A775&lt;=25,"Under 25",A775&lt;=35,"26–35",A775&lt;=45,"36–45",A775&gt;45,"46+")</f>
        <v>36–45</v>
      </c>
      <c r="AK775" t="str" cm="1">
        <f t="array" ref="AK775">_xlfn.IFS(R775&lt;=3000,"Low",R775&lt;=7000,"Mid",R775&lt;=12000,"High",R775&gt;12000,"Top")</f>
        <v>Top</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_xlfn.IFS(A776&lt;=25,"Under 25",A776&lt;=35,"26–35",A776&lt;=45,"36–45",A776&gt;45,"46+")</f>
        <v>46+</v>
      </c>
      <c r="AK776" t="str" cm="1">
        <f t="array" ref="AK776">_xlfn.IFS(R776&lt;=3000,"Low",R776&lt;=7000,"Mid",R776&lt;=12000,"High",R776&gt;12000,"Top")</f>
        <v>Top</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_xlfn.IFS(A777&lt;=25,"Under 25",A777&lt;=35,"26–35",A777&lt;=45,"36–45",A777&gt;45,"46+")</f>
        <v>36–45</v>
      </c>
      <c r="AK777" t="str" cm="1">
        <f t="array" ref="AK777">_xlfn.IFS(R777&lt;=3000,"Low",R777&lt;=7000,"Mid",R777&lt;=12000,"High",R777&gt;12000,"Top")</f>
        <v>Top</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_xlfn.IFS(A778&lt;=25,"Under 25",A778&lt;=35,"26–35",A778&lt;=45,"36–45",A778&gt;45,"46+")</f>
        <v>Under 25</v>
      </c>
      <c r="AK778" t="str" cm="1">
        <f t="array" ref="AK778">_xlfn.IFS(R778&lt;=3000,"Low",R778&lt;=7000,"Mid",R778&lt;=12000,"High",R778&gt;12000,"Top")</f>
        <v>Top</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_xlfn.IFS(A779&lt;=25,"Under 25",A779&lt;=35,"26–35",A779&lt;=45,"36–45",A779&gt;45,"46+")</f>
        <v>Under 25</v>
      </c>
      <c r="AK779" t="str" cm="1">
        <f t="array" ref="AK779">_xlfn.IFS(R779&lt;=3000,"Low",R779&lt;=7000,"Mid",R779&lt;=12000,"High",R779&gt;12000,"Top")</f>
        <v>Top</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_xlfn.IFS(A780&lt;=25,"Under 25",A780&lt;=35,"26–35",A780&lt;=45,"36–45",A780&gt;45,"46+")</f>
        <v>46+</v>
      </c>
      <c r="AK780" t="str" cm="1">
        <f t="array" ref="AK780">_xlfn.IFS(R780&lt;=3000,"Low",R780&lt;=7000,"Mid",R780&lt;=12000,"High",R780&gt;12000,"Top")</f>
        <v>Top</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_xlfn.IFS(A781&lt;=25,"Under 25",A781&lt;=35,"26–35",A781&lt;=45,"36–45",A781&gt;45,"46+")</f>
        <v>46+</v>
      </c>
      <c r="AK781" t="str" cm="1">
        <f t="array" ref="AK781">_xlfn.IFS(R781&lt;=3000,"Low",R781&lt;=7000,"Mid",R781&lt;=12000,"High",R781&gt;12000,"Top")</f>
        <v>Top</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_xlfn.IFS(A782&lt;=25,"Under 25",A782&lt;=35,"26–35",A782&lt;=45,"36–45",A782&gt;45,"46+")</f>
        <v>26–35</v>
      </c>
      <c r="AK782" t="str" cm="1">
        <f t="array" ref="AK782">_xlfn.IFS(R782&lt;=3000,"Low",R782&lt;=7000,"Mid",R782&lt;=12000,"High",R782&gt;12000,"Top")</f>
        <v>Top</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_xlfn.IFS(A783&lt;=25,"Under 25",A783&lt;=35,"26–35",A783&lt;=45,"36–45",A783&gt;45,"46+")</f>
        <v>26–35</v>
      </c>
      <c r="AK783" t="str" cm="1">
        <f t="array" ref="AK783">_xlfn.IFS(R783&lt;=3000,"Low",R783&lt;=7000,"Mid",R783&lt;=12000,"High",R783&gt;12000,"Top")</f>
        <v>Top</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_xlfn.IFS(A784&lt;=25,"Under 25",A784&lt;=35,"26–35",A784&lt;=45,"36–45",A784&gt;45,"46+")</f>
        <v>26–35</v>
      </c>
      <c r="AK784" t="str" cm="1">
        <f t="array" ref="AK784">_xlfn.IFS(R784&lt;=3000,"Low",R784&lt;=7000,"Mid",R784&lt;=12000,"High",R784&gt;12000,"Top")</f>
        <v>Top</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_xlfn.IFS(A785&lt;=25,"Under 25",A785&lt;=35,"26–35",A785&lt;=45,"36–45",A785&gt;45,"46+")</f>
        <v>36–45</v>
      </c>
      <c r="AK785" t="str" cm="1">
        <f t="array" ref="AK785">_xlfn.IFS(R785&lt;=3000,"Low",R785&lt;=7000,"Mid",R785&lt;=12000,"High",R785&gt;12000,"Top")</f>
        <v>Top</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_xlfn.IFS(A786&lt;=25,"Under 25",A786&lt;=35,"26–35",A786&lt;=45,"36–45",A786&gt;45,"46+")</f>
        <v>36–45</v>
      </c>
      <c r="AK786" t="str" cm="1">
        <f t="array" ref="AK786">_xlfn.IFS(R786&lt;=3000,"Low",R786&lt;=7000,"Mid",R786&lt;=12000,"High",R786&gt;12000,"Top")</f>
        <v>Top</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_xlfn.IFS(A787&lt;=25,"Under 25",A787&lt;=35,"26–35",A787&lt;=45,"36–45",A787&gt;45,"46+")</f>
        <v>36–45</v>
      </c>
      <c r="AK787" t="str" cm="1">
        <f t="array" ref="AK787">_xlfn.IFS(R787&lt;=3000,"Low",R787&lt;=7000,"Mid",R787&lt;=12000,"High",R787&gt;12000,"Top")</f>
        <v>Top</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_xlfn.IFS(A788&lt;=25,"Under 25",A788&lt;=35,"26–35",A788&lt;=45,"36–45",A788&gt;45,"46+")</f>
        <v>26–35</v>
      </c>
      <c r="AK788" t="str" cm="1">
        <f t="array" ref="AK788">_xlfn.IFS(R788&lt;=3000,"Low",R788&lt;=7000,"Mid",R788&lt;=12000,"High",R788&gt;12000,"Top")</f>
        <v>Top</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_xlfn.IFS(A789&lt;=25,"Under 25",A789&lt;=35,"26–35",A789&lt;=45,"36–45",A789&gt;45,"46+")</f>
        <v>46+</v>
      </c>
      <c r="AK789" t="str" cm="1">
        <f t="array" ref="AK789">_xlfn.IFS(R789&lt;=3000,"Low",R789&lt;=7000,"Mid",R789&lt;=12000,"High",R789&gt;12000,"Top")</f>
        <v>Top</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_xlfn.IFS(A790&lt;=25,"Under 25",A790&lt;=35,"26–35",A790&lt;=45,"36–45",A790&gt;45,"46+")</f>
        <v>26–35</v>
      </c>
      <c r="AK790" t="str" cm="1">
        <f t="array" ref="AK790">_xlfn.IFS(R790&lt;=3000,"Low",R790&lt;=7000,"Mid",R790&lt;=12000,"High",R790&gt;12000,"Top")</f>
        <v>Top</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_xlfn.IFS(A791&lt;=25,"Under 25",A791&lt;=35,"26–35",A791&lt;=45,"36–45",A791&gt;45,"46+")</f>
        <v>36–45</v>
      </c>
      <c r="AK791" t="str" cm="1">
        <f t="array" ref="AK791">_xlfn.IFS(R791&lt;=3000,"Low",R791&lt;=7000,"Mid",R791&lt;=12000,"High",R791&gt;12000,"Top")</f>
        <v>Top</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_xlfn.IFS(A792&lt;=25,"Under 25",A792&lt;=35,"26–35",A792&lt;=45,"36–45",A792&gt;45,"46+")</f>
        <v>26–35</v>
      </c>
      <c r="AK792" t="str" cm="1">
        <f t="array" ref="AK792">_xlfn.IFS(R792&lt;=3000,"Low",R792&lt;=7000,"Mid",R792&lt;=12000,"High",R792&gt;12000,"Top")</f>
        <v>Top</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_xlfn.IFS(A793&lt;=25,"Under 25",A793&lt;=35,"26–35",A793&lt;=45,"36–45",A793&gt;45,"46+")</f>
        <v>26–35</v>
      </c>
      <c r="AK793" t="str" cm="1">
        <f t="array" ref="AK793">_xlfn.IFS(R793&lt;=3000,"Low",R793&lt;=7000,"Mid",R793&lt;=12000,"High",R793&gt;12000,"Top")</f>
        <v>Top</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_xlfn.IFS(A794&lt;=25,"Under 25",A794&lt;=35,"26–35",A794&lt;=45,"36–45",A794&gt;45,"46+")</f>
        <v>26–35</v>
      </c>
      <c r="AK794" t="str" cm="1">
        <f t="array" ref="AK794">_xlfn.IFS(R794&lt;=3000,"Low",R794&lt;=7000,"Mid",R794&lt;=12000,"High",R794&gt;12000,"Top")</f>
        <v>Top</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_xlfn.IFS(A795&lt;=25,"Under 25",A795&lt;=35,"26–35",A795&lt;=45,"36–45",A795&gt;45,"46+")</f>
        <v>26–35</v>
      </c>
      <c r="AK795" t="str" cm="1">
        <f t="array" ref="AK795">_xlfn.IFS(R795&lt;=3000,"Low",R795&lt;=7000,"Mid",R795&lt;=12000,"High",R795&gt;12000,"Top")</f>
        <v>Top</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_xlfn.IFS(A796&lt;=25,"Under 25",A796&lt;=35,"26–35",A796&lt;=45,"36–45",A796&gt;45,"46+")</f>
        <v>26–35</v>
      </c>
      <c r="AK796" t="str" cm="1">
        <f t="array" ref="AK796">_xlfn.IFS(R796&lt;=3000,"Low",R796&lt;=7000,"Mid",R796&lt;=12000,"High",R796&gt;12000,"Top")</f>
        <v>Top</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_xlfn.IFS(A797&lt;=25,"Under 25",A797&lt;=35,"26–35",A797&lt;=45,"36–45",A797&gt;45,"46+")</f>
        <v>36–45</v>
      </c>
      <c r="AK797" t="str" cm="1">
        <f t="array" ref="AK797">_xlfn.IFS(R797&lt;=3000,"Low",R797&lt;=7000,"Mid",R797&lt;=12000,"High",R797&gt;12000,"Top")</f>
        <v>Top</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_xlfn.IFS(A798&lt;=25,"Under 25",A798&lt;=35,"26–35",A798&lt;=45,"36–45",A798&gt;45,"46+")</f>
        <v>Under 25</v>
      </c>
      <c r="AK798" t="str" cm="1">
        <f t="array" ref="AK798">_xlfn.IFS(R798&lt;=3000,"Low",R798&lt;=7000,"Mid",R798&lt;=12000,"High",R798&gt;12000,"Top")</f>
        <v>Top</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_xlfn.IFS(A799&lt;=25,"Under 25",A799&lt;=35,"26–35",A799&lt;=45,"36–45",A799&gt;45,"46+")</f>
        <v>26–35</v>
      </c>
      <c r="AK799" t="str" cm="1">
        <f t="array" ref="AK799">_xlfn.IFS(R799&lt;=3000,"Low",R799&lt;=7000,"Mid",R799&lt;=12000,"High",R799&gt;12000,"Top")</f>
        <v>Top</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_xlfn.IFS(A800&lt;=25,"Under 25",A800&lt;=35,"26–35",A800&lt;=45,"36–45",A800&gt;45,"46+")</f>
        <v>26–35</v>
      </c>
      <c r="AK800" t="str" cm="1">
        <f t="array" ref="AK800">_xlfn.IFS(R800&lt;=3000,"Low",R800&lt;=7000,"Mid",R800&lt;=12000,"High",R800&gt;12000,"Top")</f>
        <v>Top</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_xlfn.IFS(A801&lt;=25,"Under 25",A801&lt;=35,"26–35",A801&lt;=45,"36–45",A801&gt;45,"46+")</f>
        <v>36–45</v>
      </c>
      <c r="AK801" t="str" cm="1">
        <f t="array" ref="AK801">_xlfn.IFS(R801&lt;=3000,"Low",R801&lt;=7000,"Mid",R801&lt;=12000,"High",R801&gt;12000,"Top")</f>
        <v>Top</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_xlfn.IFS(A802&lt;=25,"Under 25",A802&lt;=35,"26–35",A802&lt;=45,"36–45",A802&gt;45,"46+")</f>
        <v>26–35</v>
      </c>
      <c r="AK802" t="str" cm="1">
        <f t="array" ref="AK802">_xlfn.IFS(R802&lt;=3000,"Low",R802&lt;=7000,"Mid",R802&lt;=12000,"High",R802&gt;12000,"Top")</f>
        <v>Top</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_xlfn.IFS(A803&lt;=25,"Under 25",A803&lt;=35,"26–35",A803&lt;=45,"36–45",A803&gt;45,"46+")</f>
        <v>46+</v>
      </c>
      <c r="AK803" t="str" cm="1">
        <f t="array" ref="AK803">_xlfn.IFS(R803&lt;=3000,"Low",R803&lt;=7000,"Mid",R803&lt;=12000,"High",R803&gt;12000,"Top")</f>
        <v>Top</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_xlfn.IFS(A804&lt;=25,"Under 25",A804&lt;=35,"26–35",A804&lt;=45,"36–45",A804&gt;45,"46+")</f>
        <v>26–35</v>
      </c>
      <c r="AK804" t="str" cm="1">
        <f t="array" ref="AK804">_xlfn.IFS(R804&lt;=3000,"Low",R804&lt;=7000,"Mid",R804&lt;=12000,"High",R804&gt;12000,"Top")</f>
        <v>Top</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_xlfn.IFS(A805&lt;=25,"Under 25",A805&lt;=35,"26–35",A805&lt;=45,"36–45",A805&gt;45,"46+")</f>
        <v>26–35</v>
      </c>
      <c r="AK805" t="str" cm="1">
        <f t="array" ref="AK805">_xlfn.IFS(R805&lt;=3000,"Low",R805&lt;=7000,"Mid",R805&lt;=12000,"High",R805&gt;12000,"Top")</f>
        <v>Top</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_xlfn.IFS(A806&lt;=25,"Under 25",A806&lt;=35,"26–35",A806&lt;=45,"36–45",A806&gt;45,"46+")</f>
        <v>46+</v>
      </c>
      <c r="AK806" t="str" cm="1">
        <f t="array" ref="AK806">_xlfn.IFS(R806&lt;=3000,"Low",R806&lt;=7000,"Mid",R806&lt;=12000,"High",R806&gt;12000,"Top")</f>
        <v>Top</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_xlfn.IFS(A807&lt;=25,"Under 25",A807&lt;=35,"26–35",A807&lt;=45,"36–45",A807&gt;45,"46+")</f>
        <v>36–45</v>
      </c>
      <c r="AK807" t="str" cm="1">
        <f t="array" ref="AK807">_xlfn.IFS(R807&lt;=3000,"Low",R807&lt;=7000,"Mid",R807&lt;=12000,"High",R807&gt;12000,"Top")</f>
        <v>Top</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_xlfn.IFS(A808&lt;=25,"Under 25",A808&lt;=35,"26–35",A808&lt;=45,"36–45",A808&gt;45,"46+")</f>
        <v>46+</v>
      </c>
      <c r="AK808" t="str" cm="1">
        <f t="array" ref="AK808">_xlfn.IFS(R808&lt;=3000,"Low",R808&lt;=7000,"Mid",R808&lt;=12000,"High",R808&gt;12000,"Top")</f>
        <v>Top</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_xlfn.IFS(A809&lt;=25,"Under 25",A809&lt;=35,"26–35",A809&lt;=45,"36–45",A809&gt;45,"46+")</f>
        <v>36–45</v>
      </c>
      <c r="AK809" t="str" cm="1">
        <f t="array" ref="AK809">_xlfn.IFS(R809&lt;=3000,"Low",R809&lt;=7000,"Mid",R809&lt;=12000,"High",R809&gt;12000,"Top")</f>
        <v>Top</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_xlfn.IFS(A810&lt;=25,"Under 25",A810&lt;=35,"26–35",A810&lt;=45,"36–45",A810&gt;45,"46+")</f>
        <v>26–35</v>
      </c>
      <c r="AK810" t="str" cm="1">
        <f t="array" ref="AK810">_xlfn.IFS(R810&lt;=3000,"Low",R810&lt;=7000,"Mid",R810&lt;=12000,"High",R810&gt;12000,"Top")</f>
        <v>Top</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_xlfn.IFS(A811&lt;=25,"Under 25",A811&lt;=35,"26–35",A811&lt;=45,"36–45",A811&gt;45,"46+")</f>
        <v>26–35</v>
      </c>
      <c r="AK811" t="str" cm="1">
        <f t="array" ref="AK811">_xlfn.IFS(R811&lt;=3000,"Low",R811&lt;=7000,"Mid",R811&lt;=12000,"High",R811&gt;12000,"Top")</f>
        <v>Top</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_xlfn.IFS(A812&lt;=25,"Under 25",A812&lt;=35,"26–35",A812&lt;=45,"36–45",A812&gt;45,"46+")</f>
        <v>46+</v>
      </c>
      <c r="AK812" t="str" cm="1">
        <f t="array" ref="AK812">_xlfn.IFS(R812&lt;=3000,"Low",R812&lt;=7000,"Mid",R812&lt;=12000,"High",R812&gt;12000,"Top")</f>
        <v>Top</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_xlfn.IFS(A813&lt;=25,"Under 25",A813&lt;=35,"26–35",A813&lt;=45,"36–45",A813&gt;45,"46+")</f>
        <v>36–45</v>
      </c>
      <c r="AK813" t="str" cm="1">
        <f t="array" ref="AK813">_xlfn.IFS(R813&lt;=3000,"Low",R813&lt;=7000,"Mid",R813&lt;=12000,"High",R813&gt;12000,"Top")</f>
        <v>Top</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_xlfn.IFS(A814&lt;=25,"Under 25",A814&lt;=35,"26–35",A814&lt;=45,"36–45",A814&gt;45,"46+")</f>
        <v>36–45</v>
      </c>
      <c r="AK814" t="str" cm="1">
        <f t="array" ref="AK814">_xlfn.IFS(R814&lt;=3000,"Low",R814&lt;=7000,"Mid",R814&lt;=12000,"High",R814&gt;12000,"Top")</f>
        <v>Top</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_xlfn.IFS(A815&lt;=25,"Under 25",A815&lt;=35,"26–35",A815&lt;=45,"36–45",A815&gt;45,"46+")</f>
        <v>36–45</v>
      </c>
      <c r="AK815" t="str" cm="1">
        <f t="array" ref="AK815">_xlfn.IFS(R815&lt;=3000,"Low",R815&lt;=7000,"Mid",R815&lt;=12000,"High",R815&gt;12000,"Top")</f>
        <v>Top</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_xlfn.IFS(A816&lt;=25,"Under 25",A816&lt;=35,"26–35",A816&lt;=45,"36–45",A816&gt;45,"46+")</f>
        <v>36–45</v>
      </c>
      <c r="AK816" t="str" cm="1">
        <f t="array" ref="AK816">_xlfn.IFS(R816&lt;=3000,"Low",R816&lt;=7000,"Mid",R816&lt;=12000,"High",R816&gt;12000,"Top")</f>
        <v>Top</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_xlfn.IFS(A817&lt;=25,"Under 25",A817&lt;=35,"26–35",A817&lt;=45,"36–45",A817&gt;45,"46+")</f>
        <v>Under 25</v>
      </c>
      <c r="AK817" t="str" cm="1">
        <f t="array" ref="AK817">_xlfn.IFS(R817&lt;=3000,"Low",R817&lt;=7000,"Mid",R817&lt;=12000,"High",R817&gt;12000,"Top")</f>
        <v>Top</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_xlfn.IFS(A818&lt;=25,"Under 25",A818&lt;=35,"26–35",A818&lt;=45,"36–45",A818&gt;45,"46+")</f>
        <v>36–45</v>
      </c>
      <c r="AK818" t="str" cm="1">
        <f t="array" ref="AK818">_xlfn.IFS(R818&lt;=3000,"Low",R818&lt;=7000,"Mid",R818&lt;=12000,"High",R818&gt;12000,"Top")</f>
        <v>Top</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_xlfn.IFS(A819&lt;=25,"Under 25",A819&lt;=35,"26–35",A819&lt;=45,"36–45",A819&gt;45,"46+")</f>
        <v>36–45</v>
      </c>
      <c r="AK819" t="str" cm="1">
        <f t="array" ref="AK819">_xlfn.IFS(R819&lt;=3000,"Low",R819&lt;=7000,"Mid",R819&lt;=12000,"High",R819&gt;12000,"Top")</f>
        <v>Top</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_xlfn.IFS(A820&lt;=25,"Under 25",A820&lt;=35,"26–35",A820&lt;=45,"36–45",A820&gt;45,"46+")</f>
        <v>26–35</v>
      </c>
      <c r="AK820" t="str" cm="1">
        <f t="array" ref="AK820">_xlfn.IFS(R820&lt;=3000,"Low",R820&lt;=7000,"Mid",R820&lt;=12000,"High",R820&gt;12000,"Top")</f>
        <v>Top</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_xlfn.IFS(A821&lt;=25,"Under 25",A821&lt;=35,"26–35",A821&lt;=45,"36–45",A821&gt;45,"46+")</f>
        <v>26–35</v>
      </c>
      <c r="AK821" t="str" cm="1">
        <f t="array" ref="AK821">_xlfn.IFS(R821&lt;=3000,"Low",R821&lt;=7000,"Mid",R821&lt;=12000,"High",R821&gt;12000,"Top")</f>
        <v>Top</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_xlfn.IFS(A822&lt;=25,"Under 25",A822&lt;=35,"26–35",A822&lt;=45,"36–45",A822&gt;45,"46+")</f>
        <v>26–35</v>
      </c>
      <c r="AK822" t="str" cm="1">
        <f t="array" ref="AK822">_xlfn.IFS(R822&lt;=3000,"Low",R822&lt;=7000,"Mid",R822&lt;=12000,"High",R822&gt;12000,"Top")</f>
        <v>Top</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_xlfn.IFS(A823&lt;=25,"Under 25",A823&lt;=35,"26–35",A823&lt;=45,"36–45",A823&gt;45,"46+")</f>
        <v>46+</v>
      </c>
      <c r="AK823" t="str" cm="1">
        <f t="array" ref="AK823">_xlfn.IFS(R823&lt;=3000,"Low",R823&lt;=7000,"Mid",R823&lt;=12000,"High",R823&gt;12000,"Top")</f>
        <v>Top</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_xlfn.IFS(A824&lt;=25,"Under 25",A824&lt;=35,"26–35",A824&lt;=45,"36–45",A824&gt;45,"46+")</f>
        <v>26–35</v>
      </c>
      <c r="AK824" t="str" cm="1">
        <f t="array" ref="AK824">_xlfn.IFS(R824&lt;=3000,"Low",R824&lt;=7000,"Mid",R824&lt;=12000,"High",R824&gt;12000,"Top")</f>
        <v>Top</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_xlfn.IFS(A825&lt;=25,"Under 25",A825&lt;=35,"26–35",A825&lt;=45,"36–45",A825&gt;45,"46+")</f>
        <v>26–35</v>
      </c>
      <c r="AK825" t="str" cm="1">
        <f t="array" ref="AK825">_xlfn.IFS(R825&lt;=3000,"Low",R825&lt;=7000,"Mid",R825&lt;=12000,"High",R825&gt;12000,"Top")</f>
        <v>Top</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_xlfn.IFS(A826&lt;=25,"Under 25",A826&lt;=35,"26–35",A826&lt;=45,"36–45",A826&gt;45,"46+")</f>
        <v>36–45</v>
      </c>
      <c r="AK826" t="str" cm="1">
        <f t="array" ref="AK826">_xlfn.IFS(R826&lt;=3000,"Low",R826&lt;=7000,"Mid",R826&lt;=12000,"High",R826&gt;12000,"Top")</f>
        <v>Top</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_xlfn.IFS(A827&lt;=25,"Under 25",A827&lt;=35,"26–35",A827&lt;=45,"36–45",A827&gt;45,"46+")</f>
        <v>26–35</v>
      </c>
      <c r="AK827" t="str" cm="1">
        <f t="array" ref="AK827">_xlfn.IFS(R827&lt;=3000,"Low",R827&lt;=7000,"Mid",R827&lt;=12000,"High",R827&gt;12000,"Top")</f>
        <v>Top</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_xlfn.IFS(A828&lt;=25,"Under 25",A828&lt;=35,"26–35",A828&lt;=45,"36–45",A828&gt;45,"46+")</f>
        <v>36–45</v>
      </c>
      <c r="AK828" t="str" cm="1">
        <f t="array" ref="AK828">_xlfn.IFS(R828&lt;=3000,"Low",R828&lt;=7000,"Mid",R828&lt;=12000,"High",R828&gt;12000,"Top")</f>
        <v>Top</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_xlfn.IFS(A829&lt;=25,"Under 25",A829&lt;=35,"26–35",A829&lt;=45,"36–45",A829&gt;45,"46+")</f>
        <v>26–35</v>
      </c>
      <c r="AK829" t="str" cm="1">
        <f t="array" ref="AK829">_xlfn.IFS(R829&lt;=3000,"Low",R829&lt;=7000,"Mid",R829&lt;=12000,"High",R829&gt;12000,"Top")</f>
        <v>Top</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_xlfn.IFS(A830&lt;=25,"Under 25",A830&lt;=35,"26–35",A830&lt;=45,"36–45",A830&gt;45,"46+")</f>
        <v>Under 25</v>
      </c>
      <c r="AK830" t="str" cm="1">
        <f t="array" ref="AK830">_xlfn.IFS(R830&lt;=3000,"Low",R830&lt;=7000,"Mid",R830&lt;=12000,"High",R830&gt;12000,"Top")</f>
        <v>Top</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_xlfn.IFS(A831&lt;=25,"Under 25",A831&lt;=35,"26–35",A831&lt;=45,"36–45",A831&gt;45,"46+")</f>
        <v>26–35</v>
      </c>
      <c r="AK831" t="str" cm="1">
        <f t="array" ref="AK831">_xlfn.IFS(R831&lt;=3000,"Low",R831&lt;=7000,"Mid",R831&lt;=12000,"High",R831&gt;12000,"Top")</f>
        <v>Top</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_xlfn.IFS(A832&lt;=25,"Under 25",A832&lt;=35,"26–35",A832&lt;=45,"36–45",A832&gt;45,"46+")</f>
        <v>36–45</v>
      </c>
      <c r="AK832" t="str" cm="1">
        <f t="array" ref="AK832">_xlfn.IFS(R832&lt;=3000,"Low",R832&lt;=7000,"Mid",R832&lt;=12000,"High",R832&gt;12000,"Top")</f>
        <v>Top</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_xlfn.IFS(A833&lt;=25,"Under 25",A833&lt;=35,"26–35",A833&lt;=45,"36–45",A833&gt;45,"46+")</f>
        <v>26–35</v>
      </c>
      <c r="AK833" t="str" cm="1">
        <f t="array" ref="AK833">_xlfn.IFS(R833&lt;=3000,"Low",R833&lt;=7000,"Mid",R833&lt;=12000,"High",R833&gt;12000,"Top")</f>
        <v>Top</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_xlfn.IFS(A834&lt;=25,"Under 25",A834&lt;=35,"26–35",A834&lt;=45,"36–45",A834&gt;45,"46+")</f>
        <v>36–45</v>
      </c>
      <c r="AK834" t="str" cm="1">
        <f t="array" ref="AK834">_xlfn.IFS(R834&lt;=3000,"Low",R834&lt;=7000,"Mid",R834&lt;=12000,"High",R834&gt;12000,"Top")</f>
        <v>Top</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_xlfn.IFS(A835&lt;=25,"Under 25",A835&lt;=35,"26–35",A835&lt;=45,"36–45",A835&gt;45,"46+")</f>
        <v>26–35</v>
      </c>
      <c r="AK835" t="str" cm="1">
        <f t="array" ref="AK835">_xlfn.IFS(R835&lt;=3000,"Low",R835&lt;=7000,"Mid",R835&lt;=12000,"High",R835&gt;12000,"Top")</f>
        <v>Top</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_xlfn.IFS(A836&lt;=25,"Under 25",A836&lt;=35,"26–35",A836&lt;=45,"36–45",A836&gt;45,"46+")</f>
        <v>26–35</v>
      </c>
      <c r="AK836" t="str" cm="1">
        <f t="array" ref="AK836">_xlfn.IFS(R836&lt;=3000,"Low",R836&lt;=7000,"Mid",R836&lt;=12000,"High",R836&gt;12000,"Top")</f>
        <v>Top</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_xlfn.IFS(A837&lt;=25,"Under 25",A837&lt;=35,"26–35",A837&lt;=45,"36–45",A837&gt;45,"46+")</f>
        <v>26–35</v>
      </c>
      <c r="AK837" t="str" cm="1">
        <f t="array" ref="AK837">_xlfn.IFS(R837&lt;=3000,"Low",R837&lt;=7000,"Mid",R837&lt;=12000,"High",R837&gt;12000,"Top")</f>
        <v>Top</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_xlfn.IFS(A838&lt;=25,"Under 25",A838&lt;=35,"26–35",A838&lt;=45,"36–45",A838&gt;45,"46+")</f>
        <v>26–35</v>
      </c>
      <c r="AK838" t="str" cm="1">
        <f t="array" ref="AK838">_xlfn.IFS(R838&lt;=3000,"Low",R838&lt;=7000,"Mid",R838&lt;=12000,"High",R838&gt;12000,"Top")</f>
        <v>Top</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_xlfn.IFS(A839&lt;=25,"Under 25",A839&lt;=35,"26–35",A839&lt;=45,"36–45",A839&gt;45,"46+")</f>
        <v>36–45</v>
      </c>
      <c r="AK839" t="str" cm="1">
        <f t="array" ref="AK839">_xlfn.IFS(R839&lt;=3000,"Low",R839&lt;=7000,"Mid",R839&lt;=12000,"High",R839&gt;12000,"Top")</f>
        <v>Top</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_xlfn.IFS(A840&lt;=25,"Under 25",A840&lt;=35,"26–35",A840&lt;=45,"36–45",A840&gt;45,"46+")</f>
        <v>36–45</v>
      </c>
      <c r="AK840" t="str" cm="1">
        <f t="array" ref="AK840">_xlfn.IFS(R840&lt;=3000,"Low",R840&lt;=7000,"Mid",R840&lt;=12000,"High",R840&gt;12000,"Top")</f>
        <v>Top</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_xlfn.IFS(A841&lt;=25,"Under 25",A841&lt;=35,"26–35",A841&lt;=45,"36–45",A841&gt;45,"46+")</f>
        <v>36–45</v>
      </c>
      <c r="AK841" t="str" cm="1">
        <f t="array" ref="AK841">_xlfn.IFS(R841&lt;=3000,"Low",R841&lt;=7000,"Mid",R841&lt;=12000,"High",R841&gt;12000,"Top")</f>
        <v>Top</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_xlfn.IFS(A842&lt;=25,"Under 25",A842&lt;=35,"26–35",A842&lt;=45,"36–45",A842&gt;45,"46+")</f>
        <v>26–35</v>
      </c>
      <c r="AK842" t="str" cm="1">
        <f t="array" ref="AK842">_xlfn.IFS(R842&lt;=3000,"Low",R842&lt;=7000,"Mid",R842&lt;=12000,"High",R842&gt;12000,"Top")</f>
        <v>Top</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_xlfn.IFS(A843&lt;=25,"Under 25",A843&lt;=35,"26–35",A843&lt;=45,"36–45",A843&gt;45,"46+")</f>
        <v>Under 25</v>
      </c>
      <c r="AK843" t="str" cm="1">
        <f t="array" ref="AK843">_xlfn.IFS(R843&lt;=3000,"Low",R843&lt;=7000,"Mid",R843&lt;=12000,"High",R843&gt;12000,"Top")</f>
        <v>Top</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_xlfn.IFS(A844&lt;=25,"Under 25",A844&lt;=35,"26–35",A844&lt;=45,"36–45",A844&gt;45,"46+")</f>
        <v>26–35</v>
      </c>
      <c r="AK844" t="str" cm="1">
        <f t="array" ref="AK844">_xlfn.IFS(R844&lt;=3000,"Low",R844&lt;=7000,"Mid",R844&lt;=12000,"High",R844&gt;12000,"Top")</f>
        <v>Top</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_xlfn.IFS(A845&lt;=25,"Under 25",A845&lt;=35,"26–35",A845&lt;=45,"36–45",A845&gt;45,"46+")</f>
        <v>26–35</v>
      </c>
      <c r="AK845" t="str" cm="1">
        <f t="array" ref="AK845">_xlfn.IFS(R845&lt;=3000,"Low",R845&lt;=7000,"Mid",R845&lt;=12000,"High",R845&gt;12000,"Top")</f>
        <v>Top</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_xlfn.IFS(A846&lt;=25,"Under 25",A846&lt;=35,"26–35",A846&lt;=45,"36–45",A846&gt;45,"46+")</f>
        <v>26–35</v>
      </c>
      <c r="AK846" t="str" cm="1">
        <f t="array" ref="AK846">_xlfn.IFS(R846&lt;=3000,"Low",R846&lt;=7000,"Mid",R846&lt;=12000,"High",R846&gt;12000,"Top")</f>
        <v>Top</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_xlfn.IFS(A847&lt;=25,"Under 25",A847&lt;=35,"26–35",A847&lt;=45,"36–45",A847&gt;45,"46+")</f>
        <v>36–45</v>
      </c>
      <c r="AK847" t="str" cm="1">
        <f t="array" ref="AK847">_xlfn.IFS(R847&lt;=3000,"Low",R847&lt;=7000,"Mid",R847&lt;=12000,"High",R847&gt;12000,"Top")</f>
        <v>Top</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_xlfn.IFS(A848&lt;=25,"Under 25",A848&lt;=35,"26–35",A848&lt;=45,"36–45",A848&gt;45,"46+")</f>
        <v>26–35</v>
      </c>
      <c r="AK848" t="str" cm="1">
        <f t="array" ref="AK848">_xlfn.IFS(R848&lt;=3000,"Low",R848&lt;=7000,"Mid",R848&lt;=12000,"High",R848&gt;12000,"Top")</f>
        <v>Top</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_xlfn.IFS(A849&lt;=25,"Under 25",A849&lt;=35,"26–35",A849&lt;=45,"36–45",A849&gt;45,"46+")</f>
        <v>26–35</v>
      </c>
      <c r="AK849" t="str" cm="1">
        <f t="array" ref="AK849">_xlfn.IFS(R849&lt;=3000,"Low",R849&lt;=7000,"Mid",R849&lt;=12000,"High",R849&gt;12000,"Top")</f>
        <v>Top</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_xlfn.IFS(A850&lt;=25,"Under 25",A850&lt;=35,"26–35",A850&lt;=45,"36–45",A850&gt;45,"46+")</f>
        <v>26–35</v>
      </c>
      <c r="AK850" t="str" cm="1">
        <f t="array" ref="AK850">_xlfn.IFS(R850&lt;=3000,"Low",R850&lt;=7000,"Mid",R850&lt;=12000,"High",R850&gt;12000,"Top")</f>
        <v>Top</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_xlfn.IFS(A851&lt;=25,"Under 25",A851&lt;=35,"26–35",A851&lt;=45,"36–45",A851&gt;45,"46+")</f>
        <v>36–45</v>
      </c>
      <c r="AK851" t="str" cm="1">
        <f t="array" ref="AK851">_xlfn.IFS(R851&lt;=3000,"Low",R851&lt;=7000,"Mid",R851&lt;=12000,"High",R851&gt;12000,"Top")</f>
        <v>Top</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_xlfn.IFS(A852&lt;=25,"Under 25",A852&lt;=35,"26–35",A852&lt;=45,"36–45",A852&gt;45,"46+")</f>
        <v>26–35</v>
      </c>
      <c r="AK852" t="str" cm="1">
        <f t="array" ref="AK852">_xlfn.IFS(R852&lt;=3000,"Low",R852&lt;=7000,"Mid",R852&lt;=12000,"High",R852&gt;12000,"Top")</f>
        <v>Top</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_xlfn.IFS(A853&lt;=25,"Under 25",A853&lt;=35,"26–35",A853&lt;=45,"36–45",A853&gt;45,"46+")</f>
        <v>46+</v>
      </c>
      <c r="AK853" t="str" cm="1">
        <f t="array" ref="AK853">_xlfn.IFS(R853&lt;=3000,"Low",R853&lt;=7000,"Mid",R853&lt;=12000,"High",R853&gt;12000,"Top")</f>
        <v>Top</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_xlfn.IFS(A854&lt;=25,"Under 25",A854&lt;=35,"26–35",A854&lt;=45,"36–45",A854&gt;45,"46+")</f>
        <v>26–35</v>
      </c>
      <c r="AK854" t="str" cm="1">
        <f t="array" ref="AK854">_xlfn.IFS(R854&lt;=3000,"Low",R854&lt;=7000,"Mid",R854&lt;=12000,"High",R854&gt;12000,"Top")</f>
        <v>Top</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_xlfn.IFS(A855&lt;=25,"Under 25",A855&lt;=35,"26–35",A855&lt;=45,"36–45",A855&gt;45,"46+")</f>
        <v>Under 25</v>
      </c>
      <c r="AK855" t="str" cm="1">
        <f t="array" ref="AK855">_xlfn.IFS(R855&lt;=3000,"Low",R855&lt;=7000,"Mid",R855&lt;=12000,"High",R855&gt;12000,"Top")</f>
        <v>Top</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_xlfn.IFS(A856&lt;=25,"Under 25",A856&lt;=35,"26–35",A856&lt;=45,"36–45",A856&gt;45,"46+")</f>
        <v>36–45</v>
      </c>
      <c r="AK856" t="str" cm="1">
        <f t="array" ref="AK856">_xlfn.IFS(R856&lt;=3000,"Low",R856&lt;=7000,"Mid",R856&lt;=12000,"High",R856&gt;12000,"Top")</f>
        <v>Top</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_xlfn.IFS(A857&lt;=25,"Under 25",A857&lt;=35,"26–35",A857&lt;=45,"36–45",A857&gt;45,"46+")</f>
        <v>36–45</v>
      </c>
      <c r="AK857" t="str" cm="1">
        <f t="array" ref="AK857">_xlfn.IFS(R857&lt;=3000,"Low",R857&lt;=7000,"Mid",R857&lt;=12000,"High",R857&gt;12000,"Top")</f>
        <v>Top</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_xlfn.IFS(A858&lt;=25,"Under 25",A858&lt;=35,"26–35",A858&lt;=45,"36–45",A858&gt;45,"46+")</f>
        <v>Under 25</v>
      </c>
      <c r="AK858" t="str" cm="1">
        <f t="array" ref="AK858">_xlfn.IFS(R858&lt;=3000,"Low",R858&lt;=7000,"Mid",R858&lt;=12000,"High",R858&gt;12000,"Top")</f>
        <v>Top</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_xlfn.IFS(A859&lt;=25,"Under 25",A859&lt;=35,"26–35",A859&lt;=45,"36–45",A859&gt;45,"46+")</f>
        <v>36–45</v>
      </c>
      <c r="AK859" t="str" cm="1">
        <f t="array" ref="AK859">_xlfn.IFS(R859&lt;=3000,"Low",R859&lt;=7000,"Mid",R859&lt;=12000,"High",R859&gt;12000,"Top")</f>
        <v>Top</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_xlfn.IFS(A860&lt;=25,"Under 25",A860&lt;=35,"26–35",A860&lt;=45,"36–45",A860&gt;45,"46+")</f>
        <v>46+</v>
      </c>
      <c r="AK860" t="str" cm="1">
        <f t="array" ref="AK860">_xlfn.IFS(R860&lt;=3000,"Low",R860&lt;=7000,"Mid",R860&lt;=12000,"High",R860&gt;12000,"Top")</f>
        <v>Top</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_xlfn.IFS(A861&lt;=25,"Under 25",A861&lt;=35,"26–35",A861&lt;=45,"36–45",A861&gt;45,"46+")</f>
        <v>26–35</v>
      </c>
      <c r="AK861" t="str" cm="1">
        <f t="array" ref="AK861">_xlfn.IFS(R861&lt;=3000,"Low",R861&lt;=7000,"Mid",R861&lt;=12000,"High",R861&gt;12000,"Top")</f>
        <v>Top</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_xlfn.IFS(A862&lt;=25,"Under 25",A862&lt;=35,"26–35",A862&lt;=45,"36–45",A862&gt;45,"46+")</f>
        <v>Under 25</v>
      </c>
      <c r="AK862" t="str" cm="1">
        <f t="array" ref="AK862">_xlfn.IFS(R862&lt;=3000,"Low",R862&lt;=7000,"Mid",R862&lt;=12000,"High",R862&gt;12000,"Top")</f>
        <v>Top</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_xlfn.IFS(A863&lt;=25,"Under 25",A863&lt;=35,"26–35",A863&lt;=45,"36–45",A863&gt;45,"46+")</f>
        <v>46+</v>
      </c>
      <c r="AK863" t="str" cm="1">
        <f t="array" ref="AK863">_xlfn.IFS(R863&lt;=3000,"Low",R863&lt;=7000,"Mid",R863&lt;=12000,"High",R863&gt;12000,"Top")</f>
        <v>Top</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_xlfn.IFS(A864&lt;=25,"Under 25",A864&lt;=35,"26–35",A864&lt;=45,"36–45",A864&gt;45,"46+")</f>
        <v>36–45</v>
      </c>
      <c r="AK864" t="str" cm="1">
        <f t="array" ref="AK864">_xlfn.IFS(R864&lt;=3000,"Low",R864&lt;=7000,"Mid",R864&lt;=12000,"High",R864&gt;12000,"Top")</f>
        <v>Top</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_xlfn.IFS(A865&lt;=25,"Under 25",A865&lt;=35,"26–35",A865&lt;=45,"36–45",A865&gt;45,"46+")</f>
        <v>26–35</v>
      </c>
      <c r="AK865" t="str" cm="1">
        <f t="array" ref="AK865">_xlfn.IFS(R865&lt;=3000,"Low",R865&lt;=7000,"Mid",R865&lt;=12000,"High",R865&gt;12000,"Top")</f>
        <v>Top</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_xlfn.IFS(A866&lt;=25,"Under 25",A866&lt;=35,"26–35",A866&lt;=45,"36–45",A866&gt;45,"46+")</f>
        <v>36–45</v>
      </c>
      <c r="AK866" t="str" cm="1">
        <f t="array" ref="AK866">_xlfn.IFS(R866&lt;=3000,"Low",R866&lt;=7000,"Mid",R866&lt;=12000,"High",R866&gt;12000,"Top")</f>
        <v>Top</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_xlfn.IFS(A867&lt;=25,"Under 25",A867&lt;=35,"26–35",A867&lt;=45,"36–45",A867&gt;45,"46+")</f>
        <v>26–35</v>
      </c>
      <c r="AK867" t="str" cm="1">
        <f t="array" ref="AK867">_xlfn.IFS(R867&lt;=3000,"Low",R867&lt;=7000,"Mid",R867&lt;=12000,"High",R867&gt;12000,"Top")</f>
        <v>Top</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_xlfn.IFS(A868&lt;=25,"Under 25",A868&lt;=35,"26–35",A868&lt;=45,"36–45",A868&gt;45,"46+")</f>
        <v>36–45</v>
      </c>
      <c r="AK868" t="str" cm="1">
        <f t="array" ref="AK868">_xlfn.IFS(R868&lt;=3000,"Low",R868&lt;=7000,"Mid",R868&lt;=12000,"High",R868&gt;12000,"Top")</f>
        <v>Top</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_xlfn.IFS(A869&lt;=25,"Under 25",A869&lt;=35,"26–35",A869&lt;=45,"36–45",A869&gt;45,"46+")</f>
        <v>46+</v>
      </c>
      <c r="AK869" t="str" cm="1">
        <f t="array" ref="AK869">_xlfn.IFS(R869&lt;=3000,"Low",R869&lt;=7000,"Mid",R869&lt;=12000,"High",R869&gt;12000,"Top")</f>
        <v>Top</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_xlfn.IFS(A870&lt;=25,"Under 25",A870&lt;=35,"26–35",A870&lt;=45,"36–45",A870&gt;45,"46+")</f>
        <v>26–35</v>
      </c>
      <c r="AK870" t="str" cm="1">
        <f t="array" ref="AK870">_xlfn.IFS(R870&lt;=3000,"Low",R870&lt;=7000,"Mid",R870&lt;=12000,"High",R870&gt;12000,"Top")</f>
        <v>Top</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_xlfn.IFS(A871&lt;=25,"Under 25",A871&lt;=35,"26–35",A871&lt;=45,"36–45",A871&gt;45,"46+")</f>
        <v>46+</v>
      </c>
      <c r="AK871" t="str" cm="1">
        <f t="array" ref="AK871">_xlfn.IFS(R871&lt;=3000,"Low",R871&lt;=7000,"Mid",R871&lt;=12000,"High",R871&gt;12000,"Top")</f>
        <v>Top</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_xlfn.IFS(A872&lt;=25,"Under 25",A872&lt;=35,"26–35",A872&lt;=45,"36–45",A872&gt;45,"46+")</f>
        <v>26–35</v>
      </c>
      <c r="AK872" t="str" cm="1">
        <f t="array" ref="AK872">_xlfn.IFS(R872&lt;=3000,"Low",R872&lt;=7000,"Mid",R872&lt;=12000,"High",R872&gt;12000,"Top")</f>
        <v>Top</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_xlfn.IFS(A873&lt;=25,"Under 25",A873&lt;=35,"26–35",A873&lt;=45,"36–45",A873&gt;45,"46+")</f>
        <v>Under 25</v>
      </c>
      <c r="AK873" t="str" cm="1">
        <f t="array" ref="AK873">_xlfn.IFS(R873&lt;=3000,"Low",R873&lt;=7000,"Mid",R873&lt;=12000,"High",R873&gt;12000,"Top")</f>
        <v>Top</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_xlfn.IFS(A874&lt;=25,"Under 25",A874&lt;=35,"26–35",A874&lt;=45,"36–45",A874&gt;45,"46+")</f>
        <v>26–35</v>
      </c>
      <c r="AK874" t="str" cm="1">
        <f t="array" ref="AK874">_xlfn.IFS(R874&lt;=3000,"Low",R874&lt;=7000,"Mid",R874&lt;=12000,"High",R874&gt;12000,"Top")</f>
        <v>Top</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_xlfn.IFS(A875&lt;=25,"Under 25",A875&lt;=35,"26–35",A875&lt;=45,"36–45",A875&gt;45,"46+")</f>
        <v>36–45</v>
      </c>
      <c r="AK875" t="str" cm="1">
        <f t="array" ref="AK875">_xlfn.IFS(R875&lt;=3000,"Low",R875&lt;=7000,"Mid",R875&lt;=12000,"High",R875&gt;12000,"Top")</f>
        <v>Top</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_xlfn.IFS(A876&lt;=25,"Under 25",A876&lt;=35,"26–35",A876&lt;=45,"36–45",A876&gt;45,"46+")</f>
        <v>26–35</v>
      </c>
      <c r="AK876" t="str" cm="1">
        <f t="array" ref="AK876">_xlfn.IFS(R876&lt;=3000,"Low",R876&lt;=7000,"Mid",R876&lt;=12000,"High",R876&gt;12000,"Top")</f>
        <v>Top</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_xlfn.IFS(A877&lt;=25,"Under 25",A877&lt;=35,"26–35",A877&lt;=45,"36–45",A877&gt;45,"46+")</f>
        <v>36–45</v>
      </c>
      <c r="AK877" t="str" cm="1">
        <f t="array" ref="AK877">_xlfn.IFS(R877&lt;=3000,"Low",R877&lt;=7000,"Mid",R877&lt;=12000,"High",R877&gt;12000,"Top")</f>
        <v>Top</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_xlfn.IFS(A878&lt;=25,"Under 25",A878&lt;=35,"26–35",A878&lt;=45,"36–45",A878&gt;45,"46+")</f>
        <v>Under 25</v>
      </c>
      <c r="AK878" t="str" cm="1">
        <f t="array" ref="AK878">_xlfn.IFS(R878&lt;=3000,"Low",R878&lt;=7000,"Mid",R878&lt;=12000,"High",R878&gt;12000,"Top")</f>
        <v>Top</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_xlfn.IFS(A879&lt;=25,"Under 25",A879&lt;=35,"26–35",A879&lt;=45,"36–45",A879&gt;45,"46+")</f>
        <v>46+</v>
      </c>
      <c r="AK879" t="str" cm="1">
        <f t="array" ref="AK879">_xlfn.IFS(R879&lt;=3000,"Low",R879&lt;=7000,"Mid",R879&lt;=12000,"High",R879&gt;12000,"Top")</f>
        <v>Top</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_xlfn.IFS(A880&lt;=25,"Under 25",A880&lt;=35,"26–35",A880&lt;=45,"36–45",A880&gt;45,"46+")</f>
        <v>36–45</v>
      </c>
      <c r="AK880" t="str" cm="1">
        <f t="array" ref="AK880">_xlfn.IFS(R880&lt;=3000,"Low",R880&lt;=7000,"Mid",R880&lt;=12000,"High",R880&gt;12000,"Top")</f>
        <v>Top</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_xlfn.IFS(A881&lt;=25,"Under 25",A881&lt;=35,"26–35",A881&lt;=45,"36–45",A881&gt;45,"46+")</f>
        <v>46+</v>
      </c>
      <c r="AK881" t="str" cm="1">
        <f t="array" ref="AK881">_xlfn.IFS(R881&lt;=3000,"Low",R881&lt;=7000,"Mid",R881&lt;=12000,"High",R881&gt;12000,"Top")</f>
        <v>Top</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_xlfn.IFS(A882&lt;=25,"Under 25",A882&lt;=35,"26–35",A882&lt;=45,"36–45",A882&gt;45,"46+")</f>
        <v>26–35</v>
      </c>
      <c r="AK882" t="str" cm="1">
        <f t="array" ref="AK882">_xlfn.IFS(R882&lt;=3000,"Low",R882&lt;=7000,"Mid",R882&lt;=12000,"High",R882&gt;12000,"Top")</f>
        <v>Top</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_xlfn.IFS(A883&lt;=25,"Under 25",A883&lt;=35,"26–35",A883&lt;=45,"36–45",A883&gt;45,"46+")</f>
        <v>26–35</v>
      </c>
      <c r="AK883" t="str" cm="1">
        <f t="array" ref="AK883">_xlfn.IFS(R883&lt;=3000,"Low",R883&lt;=7000,"Mid",R883&lt;=12000,"High",R883&gt;12000,"Top")</f>
        <v>Top</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_xlfn.IFS(A884&lt;=25,"Under 25",A884&lt;=35,"26–35",A884&lt;=45,"36–45",A884&gt;45,"46+")</f>
        <v>36–45</v>
      </c>
      <c r="AK884" t="str" cm="1">
        <f t="array" ref="AK884">_xlfn.IFS(R884&lt;=3000,"Low",R884&lt;=7000,"Mid",R884&lt;=12000,"High",R884&gt;12000,"Top")</f>
        <v>Top</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_xlfn.IFS(A885&lt;=25,"Under 25",A885&lt;=35,"26–35",A885&lt;=45,"36–45",A885&gt;45,"46+")</f>
        <v>26–35</v>
      </c>
      <c r="AK885" t="str" cm="1">
        <f t="array" ref="AK885">_xlfn.IFS(R885&lt;=3000,"Low",R885&lt;=7000,"Mid",R885&lt;=12000,"High",R885&gt;12000,"Top")</f>
        <v>Top</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_xlfn.IFS(A886&lt;=25,"Under 25",A886&lt;=35,"26–35",A886&lt;=45,"36–45",A886&gt;45,"46+")</f>
        <v>36–45</v>
      </c>
      <c r="AK886" t="str" cm="1">
        <f t="array" ref="AK886">_xlfn.IFS(R886&lt;=3000,"Low",R886&lt;=7000,"Mid",R886&lt;=12000,"High",R886&gt;12000,"Top")</f>
        <v>Top</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_xlfn.IFS(A887&lt;=25,"Under 25",A887&lt;=35,"26–35",A887&lt;=45,"36–45",A887&gt;45,"46+")</f>
        <v>Under 25</v>
      </c>
      <c r="AK887" t="str" cm="1">
        <f t="array" ref="AK887">_xlfn.IFS(R887&lt;=3000,"Low",R887&lt;=7000,"Mid",R887&lt;=12000,"High",R887&gt;12000,"Top")</f>
        <v>Top</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_xlfn.IFS(A888&lt;=25,"Under 25",A888&lt;=35,"26–35",A888&lt;=45,"36–45",A888&gt;45,"46+")</f>
        <v>26–35</v>
      </c>
      <c r="AK888" t="str" cm="1">
        <f t="array" ref="AK888">_xlfn.IFS(R888&lt;=3000,"Low",R888&lt;=7000,"Mid",R888&lt;=12000,"High",R888&gt;12000,"Top")</f>
        <v>Top</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_xlfn.IFS(A889&lt;=25,"Under 25",A889&lt;=35,"26–35",A889&lt;=45,"36–45",A889&gt;45,"46+")</f>
        <v>36–45</v>
      </c>
      <c r="AK889" t="str" cm="1">
        <f t="array" ref="AK889">_xlfn.IFS(R889&lt;=3000,"Low",R889&lt;=7000,"Mid",R889&lt;=12000,"High",R889&gt;12000,"Top")</f>
        <v>Top</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_xlfn.IFS(A890&lt;=25,"Under 25",A890&lt;=35,"26–35",A890&lt;=45,"36–45",A890&gt;45,"46+")</f>
        <v>26–35</v>
      </c>
      <c r="AK890" t="str" cm="1">
        <f t="array" ref="AK890">_xlfn.IFS(R890&lt;=3000,"Low",R890&lt;=7000,"Mid",R890&lt;=12000,"High",R890&gt;12000,"Top")</f>
        <v>Top</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_xlfn.IFS(A891&lt;=25,"Under 25",A891&lt;=35,"26–35",A891&lt;=45,"36–45",A891&gt;45,"46+")</f>
        <v>26–35</v>
      </c>
      <c r="AK891" t="str" cm="1">
        <f t="array" ref="AK891">_xlfn.IFS(R891&lt;=3000,"Low",R891&lt;=7000,"Mid",R891&lt;=12000,"High",R891&gt;12000,"Top")</f>
        <v>Top</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_xlfn.IFS(A892&lt;=25,"Under 25",A892&lt;=35,"26–35",A892&lt;=45,"36–45",A892&gt;45,"46+")</f>
        <v>46+</v>
      </c>
      <c r="AK892" t="str" cm="1">
        <f t="array" ref="AK892">_xlfn.IFS(R892&lt;=3000,"Low",R892&lt;=7000,"Mid",R892&lt;=12000,"High",R892&gt;12000,"Top")</f>
        <v>Top</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_xlfn.IFS(A893&lt;=25,"Under 25",A893&lt;=35,"26–35",A893&lt;=45,"36–45",A893&gt;45,"46+")</f>
        <v>36–45</v>
      </c>
      <c r="AK893" t="str" cm="1">
        <f t="array" ref="AK893">_xlfn.IFS(R893&lt;=3000,"Low",R893&lt;=7000,"Mid",R893&lt;=12000,"High",R893&gt;12000,"Top")</f>
        <v>Top</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_xlfn.IFS(A894&lt;=25,"Under 25",A894&lt;=35,"26–35",A894&lt;=45,"36–45",A894&gt;45,"46+")</f>
        <v>Under 25</v>
      </c>
      <c r="AK894" t="str" cm="1">
        <f t="array" ref="AK894">_xlfn.IFS(R894&lt;=3000,"Low",R894&lt;=7000,"Mid",R894&lt;=12000,"High",R894&gt;12000,"Top")</f>
        <v>Top</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_xlfn.IFS(A895&lt;=25,"Under 25",A895&lt;=35,"26–35",A895&lt;=45,"36–45",A895&gt;45,"46+")</f>
        <v>26–35</v>
      </c>
      <c r="AK895" t="str" cm="1">
        <f t="array" ref="AK895">_xlfn.IFS(R895&lt;=3000,"Low",R895&lt;=7000,"Mid",R895&lt;=12000,"High",R895&gt;12000,"Top")</f>
        <v>Top</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_xlfn.IFS(A896&lt;=25,"Under 25",A896&lt;=35,"26–35",A896&lt;=45,"36–45",A896&gt;45,"46+")</f>
        <v>46+</v>
      </c>
      <c r="AK896" t="str" cm="1">
        <f t="array" ref="AK896">_xlfn.IFS(R896&lt;=3000,"Low",R896&lt;=7000,"Mid",R896&lt;=12000,"High",R896&gt;12000,"Top")</f>
        <v>Top</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_xlfn.IFS(A897&lt;=25,"Under 25",A897&lt;=35,"26–35",A897&lt;=45,"36–45",A897&gt;45,"46+")</f>
        <v>26–35</v>
      </c>
      <c r="AK897" t="str" cm="1">
        <f t="array" ref="AK897">_xlfn.IFS(R897&lt;=3000,"Low",R897&lt;=7000,"Mid",R897&lt;=12000,"High",R897&gt;12000,"Top")</f>
        <v>Top</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_xlfn.IFS(A898&lt;=25,"Under 25",A898&lt;=35,"26–35",A898&lt;=45,"36–45",A898&gt;45,"46+")</f>
        <v>26–35</v>
      </c>
      <c r="AK898" t="str" cm="1">
        <f t="array" ref="AK898">_xlfn.IFS(R898&lt;=3000,"Low",R898&lt;=7000,"Mid",R898&lt;=12000,"High",R898&gt;12000,"Top")</f>
        <v>Top</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_xlfn.IFS(A899&lt;=25,"Under 25",A899&lt;=35,"26–35",A899&lt;=45,"36–45",A899&gt;45,"46+")</f>
        <v>46+</v>
      </c>
      <c r="AK899" t="str" cm="1">
        <f t="array" ref="AK899">_xlfn.IFS(R899&lt;=3000,"Low",R899&lt;=7000,"Mid",R899&lt;=12000,"High",R899&gt;12000,"Top")</f>
        <v>Top</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_xlfn.IFS(A900&lt;=25,"Under 25",A900&lt;=35,"26–35",A900&lt;=45,"36–45",A900&gt;45,"46+")</f>
        <v>36–45</v>
      </c>
      <c r="AK900" t="str" cm="1">
        <f t="array" ref="AK900">_xlfn.IFS(R900&lt;=3000,"Low",R900&lt;=7000,"Mid",R900&lt;=12000,"High",R900&gt;12000,"Top")</f>
        <v>Top</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_xlfn.IFS(A901&lt;=25,"Under 25",A901&lt;=35,"26–35",A901&lt;=45,"36–45",A901&gt;45,"46+")</f>
        <v>46+</v>
      </c>
      <c r="AK901" t="str" cm="1">
        <f t="array" ref="AK901">_xlfn.IFS(R901&lt;=3000,"Low",R901&lt;=7000,"Mid",R901&lt;=12000,"High",R901&gt;12000,"Top")</f>
        <v>Top</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_xlfn.IFS(A902&lt;=25,"Under 25",A902&lt;=35,"26–35",A902&lt;=45,"36–45",A902&gt;45,"46+")</f>
        <v>36–45</v>
      </c>
      <c r="AK902" t="str" cm="1">
        <f t="array" ref="AK902">_xlfn.IFS(R902&lt;=3000,"Low",R902&lt;=7000,"Mid",R902&lt;=12000,"High",R902&gt;12000,"Top")</f>
        <v>Top</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_xlfn.IFS(A903&lt;=25,"Under 25",A903&lt;=35,"26–35",A903&lt;=45,"36–45",A903&gt;45,"46+")</f>
        <v>46+</v>
      </c>
      <c r="AK903" t="str" cm="1">
        <f t="array" ref="AK903">_xlfn.IFS(R903&lt;=3000,"Low",R903&lt;=7000,"Mid",R903&lt;=12000,"High",R903&gt;12000,"Top")</f>
        <v>Top</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_xlfn.IFS(A904&lt;=25,"Under 25",A904&lt;=35,"26–35",A904&lt;=45,"36–45",A904&gt;45,"46+")</f>
        <v>26–35</v>
      </c>
      <c r="AK904" t="str" cm="1">
        <f t="array" ref="AK904">_xlfn.IFS(R904&lt;=3000,"Low",R904&lt;=7000,"Mid",R904&lt;=12000,"High",R904&gt;12000,"Top")</f>
        <v>Top</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_xlfn.IFS(A905&lt;=25,"Under 25",A905&lt;=35,"26–35",A905&lt;=45,"36–45",A905&gt;45,"46+")</f>
        <v>26–35</v>
      </c>
      <c r="AK905" t="str" cm="1">
        <f t="array" ref="AK905">_xlfn.IFS(R905&lt;=3000,"Low",R905&lt;=7000,"Mid",R905&lt;=12000,"High",R905&gt;12000,"Top")</f>
        <v>Top</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_xlfn.IFS(A906&lt;=25,"Under 25",A906&lt;=35,"26–35",A906&lt;=45,"36–45",A906&gt;45,"46+")</f>
        <v>46+</v>
      </c>
      <c r="AK906" t="str" cm="1">
        <f t="array" ref="AK906">_xlfn.IFS(R906&lt;=3000,"Low",R906&lt;=7000,"Mid",R906&lt;=12000,"High",R906&gt;12000,"Top")</f>
        <v>Top</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_xlfn.IFS(A907&lt;=25,"Under 25",A907&lt;=35,"26–35",A907&lt;=45,"36–45",A907&gt;45,"46+")</f>
        <v>26–35</v>
      </c>
      <c r="AK907" t="str" cm="1">
        <f t="array" ref="AK907">_xlfn.IFS(R907&lt;=3000,"Low",R907&lt;=7000,"Mid",R907&lt;=12000,"High",R907&gt;12000,"Top")</f>
        <v>Top</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_xlfn.IFS(A908&lt;=25,"Under 25",A908&lt;=35,"26–35",A908&lt;=45,"36–45",A908&gt;45,"46+")</f>
        <v>26–35</v>
      </c>
      <c r="AK908" t="str" cm="1">
        <f t="array" ref="AK908">_xlfn.IFS(R908&lt;=3000,"Low",R908&lt;=7000,"Mid",R908&lt;=12000,"High",R908&gt;12000,"Top")</f>
        <v>Top</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_xlfn.IFS(A909&lt;=25,"Under 25",A909&lt;=35,"26–35",A909&lt;=45,"36–45",A909&gt;45,"46+")</f>
        <v>36–45</v>
      </c>
      <c r="AK909" t="str" cm="1">
        <f t="array" ref="AK909">_xlfn.IFS(R909&lt;=3000,"Low",R909&lt;=7000,"Mid",R909&lt;=12000,"High",R909&gt;12000,"Top")</f>
        <v>Top</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_xlfn.IFS(A910&lt;=25,"Under 25",A910&lt;=35,"26–35",A910&lt;=45,"36–45",A910&gt;45,"46+")</f>
        <v>26–35</v>
      </c>
      <c r="AK910" t="str" cm="1">
        <f t="array" ref="AK910">_xlfn.IFS(R910&lt;=3000,"Low",R910&lt;=7000,"Mid",R910&lt;=12000,"High",R910&gt;12000,"Top")</f>
        <v>Top</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_xlfn.IFS(A911&lt;=25,"Under 25",A911&lt;=35,"26–35",A911&lt;=45,"36–45",A911&gt;45,"46+")</f>
        <v>Under 25</v>
      </c>
      <c r="AK911" t="str" cm="1">
        <f t="array" ref="AK911">_xlfn.IFS(R911&lt;=3000,"Low",R911&lt;=7000,"Mid",R911&lt;=12000,"High",R911&gt;12000,"Top")</f>
        <v>Top</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_xlfn.IFS(A912&lt;=25,"Under 25",A912&lt;=35,"26–35",A912&lt;=45,"36–45",A912&gt;45,"46+")</f>
        <v>Under 25</v>
      </c>
      <c r="AK912" t="str" cm="1">
        <f t="array" ref="AK912">_xlfn.IFS(R912&lt;=3000,"Low",R912&lt;=7000,"Mid",R912&lt;=12000,"High",R912&gt;12000,"Top")</f>
        <v>Top</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_xlfn.IFS(A913&lt;=25,"Under 25",A913&lt;=35,"26–35",A913&lt;=45,"36–45",A913&gt;45,"46+")</f>
        <v>Under 25</v>
      </c>
      <c r="AK913" t="str" cm="1">
        <f t="array" ref="AK913">_xlfn.IFS(R913&lt;=3000,"Low",R913&lt;=7000,"Mid",R913&lt;=12000,"High",R913&gt;12000,"Top")</f>
        <v>Top</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_xlfn.IFS(A914&lt;=25,"Under 25",A914&lt;=35,"26–35",A914&lt;=45,"36–45",A914&gt;45,"46+")</f>
        <v>26–35</v>
      </c>
      <c r="AK914" t="str" cm="1">
        <f t="array" ref="AK914">_xlfn.IFS(R914&lt;=3000,"Low",R914&lt;=7000,"Mid",R914&lt;=12000,"High",R914&gt;12000,"Top")</f>
        <v>Top</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_xlfn.IFS(A915&lt;=25,"Under 25",A915&lt;=35,"26–35",A915&lt;=45,"36–45",A915&gt;45,"46+")</f>
        <v>36–45</v>
      </c>
      <c r="AK915" t="str" cm="1">
        <f t="array" ref="AK915">_xlfn.IFS(R915&lt;=3000,"Low",R915&lt;=7000,"Mid",R915&lt;=12000,"High",R915&gt;12000,"Top")</f>
        <v>Top</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_xlfn.IFS(A916&lt;=25,"Under 25",A916&lt;=35,"26–35",A916&lt;=45,"36–45",A916&gt;45,"46+")</f>
        <v>46+</v>
      </c>
      <c r="AK916" t="str" cm="1">
        <f t="array" ref="AK916">_xlfn.IFS(R916&lt;=3000,"Low",R916&lt;=7000,"Mid",R916&lt;=12000,"High",R916&gt;12000,"Top")</f>
        <v>Top</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_xlfn.IFS(A917&lt;=25,"Under 25",A917&lt;=35,"26–35",A917&lt;=45,"36–45",A917&gt;45,"46+")</f>
        <v>Under 25</v>
      </c>
      <c r="AK917" t="str" cm="1">
        <f t="array" ref="AK917">_xlfn.IFS(R917&lt;=3000,"Low",R917&lt;=7000,"Mid",R917&lt;=12000,"High",R917&gt;12000,"Top")</f>
        <v>Top</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_xlfn.IFS(A918&lt;=25,"Under 25",A918&lt;=35,"26–35",A918&lt;=45,"36–45",A918&gt;45,"46+")</f>
        <v>46+</v>
      </c>
      <c r="AK918" t="str" cm="1">
        <f t="array" ref="AK918">_xlfn.IFS(R918&lt;=3000,"Low",R918&lt;=7000,"Mid",R918&lt;=12000,"High",R918&gt;12000,"Top")</f>
        <v>Top</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_xlfn.IFS(A919&lt;=25,"Under 25",A919&lt;=35,"26–35",A919&lt;=45,"36–45",A919&gt;45,"46+")</f>
        <v>26–35</v>
      </c>
      <c r="AK919" t="str" cm="1">
        <f t="array" ref="AK919">_xlfn.IFS(R919&lt;=3000,"Low",R919&lt;=7000,"Mid",R919&lt;=12000,"High",R919&gt;12000,"Top")</f>
        <v>Top</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_xlfn.IFS(A920&lt;=25,"Under 25",A920&lt;=35,"26–35",A920&lt;=45,"36–45",A920&gt;45,"46+")</f>
        <v>46+</v>
      </c>
      <c r="AK920" t="str" cm="1">
        <f t="array" ref="AK920">_xlfn.IFS(R920&lt;=3000,"Low",R920&lt;=7000,"Mid",R920&lt;=12000,"High",R920&gt;12000,"Top")</f>
        <v>Top</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_xlfn.IFS(A921&lt;=25,"Under 25",A921&lt;=35,"26–35",A921&lt;=45,"36–45",A921&gt;45,"46+")</f>
        <v>46+</v>
      </c>
      <c r="AK921" t="str" cm="1">
        <f t="array" ref="AK921">_xlfn.IFS(R921&lt;=3000,"Low",R921&lt;=7000,"Mid",R921&lt;=12000,"High",R921&gt;12000,"Top")</f>
        <v>Top</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_xlfn.IFS(A922&lt;=25,"Under 25",A922&lt;=35,"26–35",A922&lt;=45,"36–45",A922&gt;45,"46+")</f>
        <v>26–35</v>
      </c>
      <c r="AK922" t="str" cm="1">
        <f t="array" ref="AK922">_xlfn.IFS(R922&lt;=3000,"Low",R922&lt;=7000,"Mid",R922&lt;=12000,"High",R922&gt;12000,"Top")</f>
        <v>Top</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_xlfn.IFS(A923&lt;=25,"Under 25",A923&lt;=35,"26–35",A923&lt;=45,"36–45",A923&gt;45,"46+")</f>
        <v>26–35</v>
      </c>
      <c r="AK923" t="str" cm="1">
        <f t="array" ref="AK923">_xlfn.IFS(R923&lt;=3000,"Low",R923&lt;=7000,"Mid",R923&lt;=12000,"High",R923&gt;12000,"Top")</f>
        <v>Top</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_xlfn.IFS(A924&lt;=25,"Under 25",A924&lt;=35,"26–35",A924&lt;=45,"36–45",A924&gt;45,"46+")</f>
        <v>36–45</v>
      </c>
      <c r="AK924" t="str" cm="1">
        <f t="array" ref="AK924">_xlfn.IFS(R924&lt;=3000,"Low",R924&lt;=7000,"Mid",R924&lt;=12000,"High",R924&gt;12000,"Top")</f>
        <v>Top</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_xlfn.IFS(A925&lt;=25,"Under 25",A925&lt;=35,"26–35",A925&lt;=45,"36–45",A925&gt;45,"46+")</f>
        <v>26–35</v>
      </c>
      <c r="AK925" t="str" cm="1">
        <f t="array" ref="AK925">_xlfn.IFS(R925&lt;=3000,"Low",R925&lt;=7000,"Mid",R925&lt;=12000,"High",R925&gt;12000,"Top")</f>
        <v>Top</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_xlfn.IFS(A926&lt;=25,"Under 25",A926&lt;=35,"26–35",A926&lt;=45,"36–45",A926&gt;45,"46+")</f>
        <v>26–35</v>
      </c>
      <c r="AK926" t="str" cm="1">
        <f t="array" ref="AK926">_xlfn.IFS(R926&lt;=3000,"Low",R926&lt;=7000,"Mid",R926&lt;=12000,"High",R926&gt;12000,"Top")</f>
        <v>Top</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_xlfn.IFS(A927&lt;=25,"Under 25",A927&lt;=35,"26–35",A927&lt;=45,"36–45",A927&gt;45,"46+")</f>
        <v>36–45</v>
      </c>
      <c r="AK927" t="str" cm="1">
        <f t="array" ref="AK927">_xlfn.IFS(R927&lt;=3000,"Low",R927&lt;=7000,"Mid",R927&lt;=12000,"High",R927&gt;12000,"Top")</f>
        <v>Top</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_xlfn.IFS(A928&lt;=25,"Under 25",A928&lt;=35,"26–35",A928&lt;=45,"36–45",A928&gt;45,"46+")</f>
        <v>36–45</v>
      </c>
      <c r="AK928" t="str" cm="1">
        <f t="array" ref="AK928">_xlfn.IFS(R928&lt;=3000,"Low",R928&lt;=7000,"Mid",R928&lt;=12000,"High",R928&gt;12000,"Top")</f>
        <v>Top</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_xlfn.IFS(A929&lt;=25,"Under 25",A929&lt;=35,"26–35",A929&lt;=45,"36–45",A929&gt;45,"46+")</f>
        <v>36–45</v>
      </c>
      <c r="AK929" t="str" cm="1">
        <f t="array" ref="AK929">_xlfn.IFS(R929&lt;=3000,"Low",R929&lt;=7000,"Mid",R929&lt;=12000,"High",R929&gt;12000,"Top")</f>
        <v>Top</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_xlfn.IFS(A930&lt;=25,"Under 25",A930&lt;=35,"26–35",A930&lt;=45,"36–45",A930&gt;45,"46+")</f>
        <v>36–45</v>
      </c>
      <c r="AK930" t="str" cm="1">
        <f t="array" ref="AK930">_xlfn.IFS(R930&lt;=3000,"Low",R930&lt;=7000,"Mid",R930&lt;=12000,"High",R930&gt;12000,"Top")</f>
        <v>Top</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_xlfn.IFS(A931&lt;=25,"Under 25",A931&lt;=35,"26–35",A931&lt;=45,"36–45",A931&gt;45,"46+")</f>
        <v>26–35</v>
      </c>
      <c r="AK931" t="str" cm="1">
        <f t="array" ref="AK931">_xlfn.IFS(R931&lt;=3000,"Low",R931&lt;=7000,"Mid",R931&lt;=12000,"High",R931&gt;12000,"Top")</f>
        <v>Top</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_xlfn.IFS(A932&lt;=25,"Under 25",A932&lt;=35,"26–35",A932&lt;=45,"36–45",A932&gt;45,"46+")</f>
        <v>46+</v>
      </c>
      <c r="AK932" t="str" cm="1">
        <f t="array" ref="AK932">_xlfn.IFS(R932&lt;=3000,"Low",R932&lt;=7000,"Mid",R932&lt;=12000,"High",R932&gt;12000,"Top")</f>
        <v>Top</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_xlfn.IFS(A933&lt;=25,"Under 25",A933&lt;=35,"26–35",A933&lt;=45,"36–45",A933&gt;45,"46+")</f>
        <v>26–35</v>
      </c>
      <c r="AK933" t="str" cm="1">
        <f t="array" ref="AK933">_xlfn.IFS(R933&lt;=3000,"Low",R933&lt;=7000,"Mid",R933&lt;=12000,"High",R933&gt;12000,"Top")</f>
        <v>Top</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_xlfn.IFS(A934&lt;=25,"Under 25",A934&lt;=35,"26–35",A934&lt;=45,"36–45",A934&gt;45,"46+")</f>
        <v>26–35</v>
      </c>
      <c r="AK934" t="str" cm="1">
        <f t="array" ref="AK934">_xlfn.IFS(R934&lt;=3000,"Low",R934&lt;=7000,"Mid",R934&lt;=12000,"High",R934&gt;12000,"Top")</f>
        <v>Top</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_xlfn.IFS(A935&lt;=25,"Under 25",A935&lt;=35,"26–35",A935&lt;=45,"36–45",A935&gt;45,"46+")</f>
        <v>26–35</v>
      </c>
      <c r="AK935" t="str" cm="1">
        <f t="array" ref="AK935">_xlfn.IFS(R935&lt;=3000,"Low",R935&lt;=7000,"Mid",R935&lt;=12000,"High",R935&gt;12000,"Top")</f>
        <v>Top</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_xlfn.IFS(A936&lt;=25,"Under 25",A936&lt;=35,"26–35",A936&lt;=45,"36–45",A936&gt;45,"46+")</f>
        <v>Under 25</v>
      </c>
      <c r="AK936" t="str" cm="1">
        <f t="array" ref="AK936">_xlfn.IFS(R936&lt;=3000,"Low",R936&lt;=7000,"Mid",R936&lt;=12000,"High",R936&gt;12000,"Top")</f>
        <v>Top</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_xlfn.IFS(A937&lt;=25,"Under 25",A937&lt;=35,"26–35",A937&lt;=45,"36–45",A937&gt;45,"46+")</f>
        <v>26–35</v>
      </c>
      <c r="AK937" t="str" cm="1">
        <f t="array" ref="AK937">_xlfn.IFS(R937&lt;=3000,"Low",R937&lt;=7000,"Mid",R937&lt;=12000,"High",R937&gt;12000,"Top")</f>
        <v>Top</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_xlfn.IFS(A938&lt;=25,"Under 25",A938&lt;=35,"26–35",A938&lt;=45,"36–45",A938&gt;45,"46+")</f>
        <v>36–45</v>
      </c>
      <c r="AK938" t="str" cm="1">
        <f t="array" ref="AK938">_xlfn.IFS(R938&lt;=3000,"Low",R938&lt;=7000,"Mid",R938&lt;=12000,"High",R938&gt;12000,"Top")</f>
        <v>Top</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_xlfn.IFS(A939&lt;=25,"Under 25",A939&lt;=35,"26–35",A939&lt;=45,"36–45",A939&gt;45,"46+")</f>
        <v>36–45</v>
      </c>
      <c r="AK939" t="str" cm="1">
        <f t="array" ref="AK939">_xlfn.IFS(R939&lt;=3000,"Low",R939&lt;=7000,"Mid",R939&lt;=12000,"High",R939&gt;12000,"Top")</f>
        <v>Top</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_xlfn.IFS(A940&lt;=25,"Under 25",A940&lt;=35,"26–35",A940&lt;=45,"36–45",A940&gt;45,"46+")</f>
        <v>46+</v>
      </c>
      <c r="AK940" t="str" cm="1">
        <f t="array" ref="AK940">_xlfn.IFS(R940&lt;=3000,"Low",R940&lt;=7000,"Mid",R940&lt;=12000,"High",R940&gt;12000,"Top")</f>
        <v>Top</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_xlfn.IFS(A941&lt;=25,"Under 25",A941&lt;=35,"26–35",A941&lt;=45,"36–45",A941&gt;45,"46+")</f>
        <v>26–35</v>
      </c>
      <c r="AK941" t="str" cm="1">
        <f t="array" ref="AK941">_xlfn.IFS(R941&lt;=3000,"Low",R941&lt;=7000,"Mid",R941&lt;=12000,"High",R941&gt;12000,"Top")</f>
        <v>Top</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_xlfn.IFS(A942&lt;=25,"Under 25",A942&lt;=35,"26–35",A942&lt;=45,"36–45",A942&gt;45,"46+")</f>
        <v>36–45</v>
      </c>
      <c r="AK942" t="str" cm="1">
        <f t="array" ref="AK942">_xlfn.IFS(R942&lt;=3000,"Low",R942&lt;=7000,"Mid",R942&lt;=12000,"High",R942&gt;12000,"Top")</f>
        <v>Top</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_xlfn.IFS(A943&lt;=25,"Under 25",A943&lt;=35,"26–35",A943&lt;=45,"36–45",A943&gt;45,"46+")</f>
        <v>26–35</v>
      </c>
      <c r="AK943" t="str" cm="1">
        <f t="array" ref="AK943">_xlfn.IFS(R943&lt;=3000,"Low",R943&lt;=7000,"Mid",R943&lt;=12000,"High",R943&gt;12000,"Top")</f>
        <v>Top</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_xlfn.IFS(A944&lt;=25,"Under 25",A944&lt;=35,"26–35",A944&lt;=45,"36–45",A944&gt;45,"46+")</f>
        <v>36–45</v>
      </c>
      <c r="AK944" t="str" cm="1">
        <f t="array" ref="AK944">_xlfn.IFS(R944&lt;=3000,"Low",R944&lt;=7000,"Mid",R944&lt;=12000,"High",R944&gt;12000,"Top")</f>
        <v>Top</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_xlfn.IFS(A945&lt;=25,"Under 25",A945&lt;=35,"26–35",A945&lt;=45,"36–45",A945&gt;45,"46+")</f>
        <v>46+</v>
      </c>
      <c r="AK945" t="str" cm="1">
        <f t="array" ref="AK945">_xlfn.IFS(R945&lt;=3000,"Low",R945&lt;=7000,"Mid",R945&lt;=12000,"High",R945&gt;12000,"Top")</f>
        <v>Top</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_xlfn.IFS(A946&lt;=25,"Under 25",A946&lt;=35,"26–35",A946&lt;=45,"36–45",A946&gt;45,"46+")</f>
        <v>26–35</v>
      </c>
      <c r="AK946" t="str" cm="1">
        <f t="array" ref="AK946">_xlfn.IFS(R946&lt;=3000,"Low",R946&lt;=7000,"Mid",R946&lt;=12000,"High",R946&gt;12000,"Top")</f>
        <v>Top</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_xlfn.IFS(A947&lt;=25,"Under 25",A947&lt;=35,"26–35",A947&lt;=45,"36–45",A947&gt;45,"46+")</f>
        <v>46+</v>
      </c>
      <c r="AK947" t="str" cm="1">
        <f t="array" ref="AK947">_xlfn.IFS(R947&lt;=3000,"Low",R947&lt;=7000,"Mid",R947&lt;=12000,"High",R947&gt;12000,"Top")</f>
        <v>Top</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_xlfn.IFS(A948&lt;=25,"Under 25",A948&lt;=35,"26–35",A948&lt;=45,"36–45",A948&gt;45,"46+")</f>
        <v>36–45</v>
      </c>
      <c r="AK948" t="str" cm="1">
        <f t="array" ref="AK948">_xlfn.IFS(R948&lt;=3000,"Low",R948&lt;=7000,"Mid",R948&lt;=12000,"High",R948&gt;12000,"Top")</f>
        <v>Top</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_xlfn.IFS(A949&lt;=25,"Under 25",A949&lt;=35,"26–35",A949&lt;=45,"36–45",A949&gt;45,"46+")</f>
        <v>46+</v>
      </c>
      <c r="AK949" t="str" cm="1">
        <f t="array" ref="AK949">_xlfn.IFS(R949&lt;=3000,"Low",R949&lt;=7000,"Mid",R949&lt;=12000,"High",R949&gt;12000,"Top")</f>
        <v>Top</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_xlfn.IFS(A950&lt;=25,"Under 25",A950&lt;=35,"26–35",A950&lt;=45,"36–45",A950&gt;45,"46+")</f>
        <v>26–35</v>
      </c>
      <c r="AK950" t="str" cm="1">
        <f t="array" ref="AK950">_xlfn.IFS(R950&lt;=3000,"Low",R950&lt;=7000,"Mid",R950&lt;=12000,"High",R950&gt;12000,"Top")</f>
        <v>Top</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_xlfn.IFS(A951&lt;=25,"Under 25",A951&lt;=35,"26–35",A951&lt;=45,"36–45",A951&gt;45,"46+")</f>
        <v>36–45</v>
      </c>
      <c r="AK951" t="str" cm="1">
        <f t="array" ref="AK951">_xlfn.IFS(R951&lt;=3000,"Low",R951&lt;=7000,"Mid",R951&lt;=12000,"High",R951&gt;12000,"Top")</f>
        <v>Top</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_xlfn.IFS(A952&lt;=25,"Under 25",A952&lt;=35,"26–35",A952&lt;=45,"36–45",A952&gt;45,"46+")</f>
        <v>26–35</v>
      </c>
      <c r="AK952" t="str" cm="1">
        <f t="array" ref="AK952">_xlfn.IFS(R952&lt;=3000,"Low",R952&lt;=7000,"Mid",R952&lt;=12000,"High",R952&gt;12000,"Top")</f>
        <v>Top</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_xlfn.IFS(A953&lt;=25,"Under 25",A953&lt;=35,"26–35",A953&lt;=45,"36–45",A953&gt;45,"46+")</f>
        <v>36–45</v>
      </c>
      <c r="AK953" t="str" cm="1">
        <f t="array" ref="AK953">_xlfn.IFS(R953&lt;=3000,"Low",R953&lt;=7000,"Mid",R953&lt;=12000,"High",R953&gt;12000,"Top")</f>
        <v>Top</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_xlfn.IFS(A954&lt;=25,"Under 25",A954&lt;=35,"26–35",A954&lt;=45,"36–45",A954&gt;45,"46+")</f>
        <v>26–35</v>
      </c>
      <c r="AK954" t="str" cm="1">
        <f t="array" ref="AK954">_xlfn.IFS(R954&lt;=3000,"Low",R954&lt;=7000,"Mid",R954&lt;=12000,"High",R954&gt;12000,"Top")</f>
        <v>Top</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_xlfn.IFS(A955&lt;=25,"Under 25",A955&lt;=35,"26–35",A955&lt;=45,"36–45",A955&gt;45,"46+")</f>
        <v>36–45</v>
      </c>
      <c r="AK955" t="str" cm="1">
        <f t="array" ref="AK955">_xlfn.IFS(R955&lt;=3000,"Low",R955&lt;=7000,"Mid",R955&lt;=12000,"High",R955&gt;12000,"Top")</f>
        <v>Top</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_xlfn.IFS(A956&lt;=25,"Under 25",A956&lt;=35,"26–35",A956&lt;=45,"36–45",A956&gt;45,"46+")</f>
        <v>36–45</v>
      </c>
      <c r="AK956" t="str" cm="1">
        <f t="array" ref="AK956">_xlfn.IFS(R956&lt;=3000,"Low",R956&lt;=7000,"Mid",R956&lt;=12000,"High",R956&gt;12000,"Top")</f>
        <v>Top</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_xlfn.IFS(A957&lt;=25,"Under 25",A957&lt;=35,"26–35",A957&lt;=45,"36–45",A957&gt;45,"46+")</f>
        <v>46+</v>
      </c>
      <c r="AK957" t="str" cm="1">
        <f t="array" ref="AK957">_xlfn.IFS(R957&lt;=3000,"Low",R957&lt;=7000,"Mid",R957&lt;=12000,"High",R957&gt;12000,"Top")</f>
        <v>Top</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_xlfn.IFS(A958&lt;=25,"Under 25",A958&lt;=35,"26–35",A958&lt;=45,"36–45",A958&gt;45,"46+")</f>
        <v>46+</v>
      </c>
      <c r="AK958" t="str" cm="1">
        <f t="array" ref="AK958">_xlfn.IFS(R958&lt;=3000,"Low",R958&lt;=7000,"Mid",R958&lt;=12000,"High",R958&gt;12000,"Top")</f>
        <v>Top</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_xlfn.IFS(A959&lt;=25,"Under 25",A959&lt;=35,"26–35",A959&lt;=45,"36–45",A959&gt;45,"46+")</f>
        <v>36–45</v>
      </c>
      <c r="AK959" t="str" cm="1">
        <f t="array" ref="AK959">_xlfn.IFS(R959&lt;=3000,"Low",R959&lt;=7000,"Mid",R959&lt;=12000,"High",R959&gt;12000,"Top")</f>
        <v>Top</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_xlfn.IFS(A960&lt;=25,"Under 25",A960&lt;=35,"26–35",A960&lt;=45,"36–45",A960&gt;45,"46+")</f>
        <v>26–35</v>
      </c>
      <c r="AK960" t="str" cm="1">
        <f t="array" ref="AK960">_xlfn.IFS(R960&lt;=3000,"Low",R960&lt;=7000,"Mid",R960&lt;=12000,"High",R960&gt;12000,"Top")</f>
        <v>Top</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_xlfn.IFS(A961&lt;=25,"Under 25",A961&lt;=35,"26–35",A961&lt;=45,"36–45",A961&gt;45,"46+")</f>
        <v>36–45</v>
      </c>
      <c r="AK961" t="str" cm="1">
        <f t="array" ref="AK961">_xlfn.IFS(R961&lt;=3000,"Low",R961&lt;=7000,"Mid",R961&lt;=12000,"High",R961&gt;12000,"Top")</f>
        <v>Top</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_xlfn.IFS(A962&lt;=25,"Under 25",A962&lt;=35,"26–35",A962&lt;=45,"36–45",A962&gt;45,"46+")</f>
        <v>36–45</v>
      </c>
      <c r="AK962" t="str" cm="1">
        <f t="array" ref="AK962">_xlfn.IFS(R962&lt;=3000,"Low",R962&lt;=7000,"Mid",R962&lt;=12000,"High",R962&gt;12000,"Top")</f>
        <v>Top</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_xlfn.IFS(A963&lt;=25,"Under 25",A963&lt;=35,"26–35",A963&lt;=45,"36–45",A963&gt;45,"46+")</f>
        <v>26–35</v>
      </c>
      <c r="AK963" t="str" cm="1">
        <f t="array" ref="AK963">_xlfn.IFS(R963&lt;=3000,"Low",R963&lt;=7000,"Mid",R963&lt;=12000,"High",R963&gt;12000,"Top")</f>
        <v>Top</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_xlfn.IFS(A964&lt;=25,"Under 25",A964&lt;=35,"26–35",A964&lt;=45,"36–45",A964&gt;45,"46+")</f>
        <v>46+</v>
      </c>
      <c r="AK964" t="str" cm="1">
        <f t="array" ref="AK964">_xlfn.IFS(R964&lt;=3000,"Low",R964&lt;=7000,"Mid",R964&lt;=12000,"High",R964&gt;12000,"Top")</f>
        <v>Top</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_xlfn.IFS(A965&lt;=25,"Under 25",A965&lt;=35,"26–35",A965&lt;=45,"36–45",A965&gt;45,"46+")</f>
        <v>36–45</v>
      </c>
      <c r="AK965" t="str" cm="1">
        <f t="array" ref="AK965">_xlfn.IFS(R965&lt;=3000,"Low",R965&lt;=7000,"Mid",R965&lt;=12000,"High",R965&gt;12000,"Top")</f>
        <v>Top</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_xlfn.IFS(A966&lt;=25,"Under 25",A966&lt;=35,"26–35",A966&lt;=45,"36–45",A966&gt;45,"46+")</f>
        <v>26–35</v>
      </c>
      <c r="AK966" t="str" cm="1">
        <f t="array" ref="AK966">_xlfn.IFS(R966&lt;=3000,"Low",R966&lt;=7000,"Mid",R966&lt;=12000,"High",R966&gt;12000,"Top")</f>
        <v>Top</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_xlfn.IFS(A967&lt;=25,"Under 25",A967&lt;=35,"26–35",A967&lt;=45,"36–45",A967&gt;45,"46+")</f>
        <v>Under 25</v>
      </c>
      <c r="AK967" t="str" cm="1">
        <f t="array" ref="AK967">_xlfn.IFS(R967&lt;=3000,"Low",R967&lt;=7000,"Mid",R967&lt;=12000,"High",R967&gt;12000,"Top")</f>
        <v>Top</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_xlfn.IFS(A968&lt;=25,"Under 25",A968&lt;=35,"26–35",A968&lt;=45,"36–45",A968&gt;45,"46+")</f>
        <v>46+</v>
      </c>
      <c r="AK968" t="str" cm="1">
        <f t="array" ref="AK968">_xlfn.IFS(R968&lt;=3000,"Low",R968&lt;=7000,"Mid",R968&lt;=12000,"High",R968&gt;12000,"Top")</f>
        <v>Top</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_xlfn.IFS(A969&lt;=25,"Under 25",A969&lt;=35,"26–35",A969&lt;=45,"36–45",A969&gt;45,"46+")</f>
        <v>36–45</v>
      </c>
      <c r="AK969" t="str" cm="1">
        <f t="array" ref="AK969">_xlfn.IFS(R969&lt;=3000,"Low",R969&lt;=7000,"Mid",R969&lt;=12000,"High",R969&gt;12000,"Top")</f>
        <v>Top</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_xlfn.IFS(A970&lt;=25,"Under 25",A970&lt;=35,"26–35",A970&lt;=45,"36–45",A970&gt;45,"46+")</f>
        <v>36–45</v>
      </c>
      <c r="AK970" t="str" cm="1">
        <f t="array" ref="AK970">_xlfn.IFS(R970&lt;=3000,"Low",R970&lt;=7000,"Mid",R970&lt;=12000,"High",R970&gt;12000,"Top")</f>
        <v>Top</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_xlfn.IFS(A971&lt;=25,"Under 25",A971&lt;=35,"26–35",A971&lt;=45,"36–45",A971&gt;45,"46+")</f>
        <v>46+</v>
      </c>
      <c r="AK971" t="str" cm="1">
        <f t="array" ref="AK971">_xlfn.IFS(R971&lt;=3000,"Low",R971&lt;=7000,"Mid",R971&lt;=12000,"High",R971&gt;12000,"Top")</f>
        <v>Top</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_xlfn.IFS(A972&lt;=25,"Under 25",A972&lt;=35,"26–35",A972&lt;=45,"36–45",A972&gt;45,"46+")</f>
        <v>26–35</v>
      </c>
      <c r="AK972" t="str" cm="1">
        <f t="array" ref="AK972">_xlfn.IFS(R972&lt;=3000,"Low",R972&lt;=7000,"Mid",R972&lt;=12000,"High",R972&gt;12000,"Top")</f>
        <v>Top</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_xlfn.IFS(A973&lt;=25,"Under 25",A973&lt;=35,"26–35",A973&lt;=45,"36–45",A973&gt;45,"46+")</f>
        <v>46+</v>
      </c>
      <c r="AK973" t="str" cm="1">
        <f t="array" ref="AK973">_xlfn.IFS(R973&lt;=3000,"Low",R973&lt;=7000,"Mid",R973&lt;=12000,"High",R973&gt;12000,"Top")</f>
        <v>Top</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_xlfn.IFS(A974&lt;=25,"Under 25",A974&lt;=35,"26–35",A974&lt;=45,"36–45",A974&gt;45,"46+")</f>
        <v>Under 25</v>
      </c>
      <c r="AK974" t="str" cm="1">
        <f t="array" ref="AK974">_xlfn.IFS(R974&lt;=3000,"Low",R974&lt;=7000,"Mid",R974&lt;=12000,"High",R974&gt;12000,"Top")</f>
        <v>Top</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_xlfn.IFS(A975&lt;=25,"Under 25",A975&lt;=35,"26–35",A975&lt;=45,"36–45",A975&gt;45,"46+")</f>
        <v>26–35</v>
      </c>
      <c r="AK975" t="str" cm="1">
        <f t="array" ref="AK975">_xlfn.IFS(R975&lt;=3000,"Low",R975&lt;=7000,"Mid",R975&lt;=12000,"High",R975&gt;12000,"Top")</f>
        <v>Top</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_xlfn.IFS(A976&lt;=25,"Under 25",A976&lt;=35,"26–35",A976&lt;=45,"36–45",A976&gt;45,"46+")</f>
        <v>26–35</v>
      </c>
      <c r="AK976" t="str" cm="1">
        <f t="array" ref="AK976">_xlfn.IFS(R976&lt;=3000,"Low",R976&lt;=7000,"Mid",R976&lt;=12000,"High",R976&gt;12000,"Top")</f>
        <v>Top</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_xlfn.IFS(A977&lt;=25,"Under 25",A977&lt;=35,"26–35",A977&lt;=45,"36–45",A977&gt;45,"46+")</f>
        <v>46+</v>
      </c>
      <c r="AK977" t="str" cm="1">
        <f t="array" ref="AK977">_xlfn.IFS(R977&lt;=3000,"Low",R977&lt;=7000,"Mid",R977&lt;=12000,"High",R977&gt;12000,"Top")</f>
        <v>Top</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_xlfn.IFS(A978&lt;=25,"Under 25",A978&lt;=35,"26–35",A978&lt;=45,"36–45",A978&gt;45,"46+")</f>
        <v>46+</v>
      </c>
      <c r="AK978" t="str" cm="1">
        <f t="array" ref="AK978">_xlfn.IFS(R978&lt;=3000,"Low",R978&lt;=7000,"Mid",R978&lt;=12000,"High",R978&gt;12000,"Top")</f>
        <v>Top</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_xlfn.IFS(A979&lt;=25,"Under 25",A979&lt;=35,"26–35",A979&lt;=45,"36–45",A979&gt;45,"46+")</f>
        <v>26–35</v>
      </c>
      <c r="AK979" t="str" cm="1">
        <f t="array" ref="AK979">_xlfn.IFS(R979&lt;=3000,"Low",R979&lt;=7000,"Mid",R979&lt;=12000,"High",R979&gt;12000,"Top")</f>
        <v>Top</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_xlfn.IFS(A980&lt;=25,"Under 25",A980&lt;=35,"26–35",A980&lt;=45,"36–45",A980&gt;45,"46+")</f>
        <v>36–45</v>
      </c>
      <c r="AK980" t="str" cm="1">
        <f t="array" ref="AK980">_xlfn.IFS(R980&lt;=3000,"Low",R980&lt;=7000,"Mid",R980&lt;=12000,"High",R980&gt;12000,"Top")</f>
        <v>Top</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_xlfn.IFS(A981&lt;=25,"Under 25",A981&lt;=35,"26–35",A981&lt;=45,"36–45",A981&gt;45,"46+")</f>
        <v>26–35</v>
      </c>
      <c r="AK981" t="str" cm="1">
        <f t="array" ref="AK981">_xlfn.IFS(R981&lt;=3000,"Low",R981&lt;=7000,"Mid",R981&lt;=12000,"High",R981&gt;12000,"Top")</f>
        <v>Top</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_xlfn.IFS(A982&lt;=25,"Under 25",A982&lt;=35,"26–35",A982&lt;=45,"36–45",A982&gt;45,"46+")</f>
        <v>26–35</v>
      </c>
      <c r="AK982" t="str" cm="1">
        <f t="array" ref="AK982">_xlfn.IFS(R982&lt;=3000,"Low",R982&lt;=7000,"Mid",R982&lt;=12000,"High",R982&gt;12000,"Top")</f>
        <v>Top</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_xlfn.IFS(A983&lt;=25,"Under 25",A983&lt;=35,"26–35",A983&lt;=45,"36–45",A983&gt;45,"46+")</f>
        <v>26–35</v>
      </c>
      <c r="AK983" t="str" cm="1">
        <f t="array" ref="AK983">_xlfn.IFS(R983&lt;=3000,"Low",R983&lt;=7000,"Mid",R983&lt;=12000,"High",R983&gt;12000,"Top")</f>
        <v>Top</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_xlfn.IFS(A984&lt;=25,"Under 25",A984&lt;=35,"26–35",A984&lt;=45,"36–45",A984&gt;45,"46+")</f>
        <v>36–45</v>
      </c>
      <c r="AK984" t="str" cm="1">
        <f t="array" ref="AK984">_xlfn.IFS(R984&lt;=3000,"Low",R984&lt;=7000,"Mid",R984&lt;=12000,"High",R984&gt;12000,"Top")</f>
        <v>Top</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_xlfn.IFS(A985&lt;=25,"Under 25",A985&lt;=35,"26–35",A985&lt;=45,"36–45",A985&gt;45,"46+")</f>
        <v>26–35</v>
      </c>
      <c r="AK985" t="str" cm="1">
        <f t="array" ref="AK985">_xlfn.IFS(R985&lt;=3000,"Low",R985&lt;=7000,"Mid",R985&lt;=12000,"High",R985&gt;12000,"Top")</f>
        <v>Top</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_xlfn.IFS(A986&lt;=25,"Under 25",A986&lt;=35,"26–35",A986&lt;=45,"36–45",A986&gt;45,"46+")</f>
        <v>26–35</v>
      </c>
      <c r="AK986" t="str" cm="1">
        <f t="array" ref="AK986">_xlfn.IFS(R986&lt;=3000,"Low",R986&lt;=7000,"Mid",R986&lt;=12000,"High",R986&gt;12000,"Top")</f>
        <v>Top</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_xlfn.IFS(A987&lt;=25,"Under 25",A987&lt;=35,"26–35",A987&lt;=45,"36–45",A987&gt;45,"46+")</f>
        <v>26–35</v>
      </c>
      <c r="AK987" t="str" cm="1">
        <f t="array" ref="AK987">_xlfn.IFS(R987&lt;=3000,"Low",R987&lt;=7000,"Mid",R987&lt;=12000,"High",R987&gt;12000,"Top")</f>
        <v>Top</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_xlfn.IFS(A988&lt;=25,"Under 25",A988&lt;=35,"26–35",A988&lt;=45,"36–45",A988&gt;45,"46+")</f>
        <v>36–45</v>
      </c>
      <c r="AK988" t="str" cm="1">
        <f t="array" ref="AK988">_xlfn.IFS(R988&lt;=3000,"Low",R988&lt;=7000,"Mid",R988&lt;=12000,"High",R988&gt;12000,"Top")</f>
        <v>Top</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_xlfn.IFS(A989&lt;=25,"Under 25",A989&lt;=35,"26–35",A989&lt;=45,"36–45",A989&gt;45,"46+")</f>
        <v>46+</v>
      </c>
      <c r="AK989" t="str" cm="1">
        <f t="array" ref="AK989">_xlfn.IFS(R989&lt;=3000,"Low",R989&lt;=7000,"Mid",R989&lt;=12000,"High",R989&gt;12000,"Top")</f>
        <v>Top</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_xlfn.IFS(A990&lt;=25,"Under 25",A990&lt;=35,"26–35",A990&lt;=45,"36–45",A990&gt;45,"46+")</f>
        <v>36–45</v>
      </c>
      <c r="AK990" t="str" cm="1">
        <f t="array" ref="AK990">_xlfn.IFS(R990&lt;=3000,"Low",R990&lt;=7000,"Mid",R990&lt;=12000,"High",R990&gt;12000,"Top")</f>
        <v>Top</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_xlfn.IFS(A991&lt;=25,"Under 25",A991&lt;=35,"26–35",A991&lt;=45,"36–45",A991&gt;45,"46+")</f>
        <v>36–45</v>
      </c>
      <c r="AK991" t="str" cm="1">
        <f t="array" ref="AK991">_xlfn.IFS(R991&lt;=3000,"Low",R991&lt;=7000,"Mid",R991&lt;=12000,"High",R991&gt;12000,"Top")</f>
        <v>Top</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_xlfn.IFS(A992&lt;=25,"Under 25",A992&lt;=35,"26–35",A992&lt;=45,"36–45",A992&gt;45,"46+")</f>
        <v>26–35</v>
      </c>
      <c r="AK992" t="str" cm="1">
        <f t="array" ref="AK992">_xlfn.IFS(R992&lt;=3000,"Low",R992&lt;=7000,"Mid",R992&lt;=12000,"High",R992&gt;12000,"Top")</f>
        <v>Top</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_xlfn.IFS(A993&lt;=25,"Under 25",A993&lt;=35,"26–35",A993&lt;=45,"36–45",A993&gt;45,"46+")</f>
        <v>26–35</v>
      </c>
      <c r="AK993" t="str" cm="1">
        <f t="array" ref="AK993">_xlfn.IFS(R993&lt;=3000,"Low",R993&lt;=7000,"Mid",R993&lt;=12000,"High",R993&gt;12000,"Top")</f>
        <v>Top</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_xlfn.IFS(A994&lt;=25,"Under 25",A994&lt;=35,"26–35",A994&lt;=45,"36–45",A994&gt;45,"46+")</f>
        <v>36–45</v>
      </c>
      <c r="AK994" t="str" cm="1">
        <f t="array" ref="AK994">_xlfn.IFS(R994&lt;=3000,"Low",R994&lt;=7000,"Mid",R994&lt;=12000,"High",R994&gt;12000,"Top")</f>
        <v>Top</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_xlfn.IFS(A995&lt;=25,"Under 25",A995&lt;=35,"26–35",A995&lt;=45,"36–45",A995&gt;45,"46+")</f>
        <v>Under 25</v>
      </c>
      <c r="AK995" t="str" cm="1">
        <f t="array" ref="AK995">_xlfn.IFS(R995&lt;=3000,"Low",R995&lt;=7000,"Mid",R995&lt;=12000,"High",R995&gt;12000,"Top")</f>
        <v>Top</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_xlfn.IFS(A996&lt;=25,"Under 25",A996&lt;=35,"26–35",A996&lt;=45,"36–45",A996&gt;45,"46+")</f>
        <v>46+</v>
      </c>
      <c r="AK996" t="str" cm="1">
        <f t="array" ref="AK996">_xlfn.IFS(R996&lt;=3000,"Low",R996&lt;=7000,"Mid",R996&lt;=12000,"High",R996&gt;12000,"Top")</f>
        <v>Top</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_xlfn.IFS(A997&lt;=25,"Under 25",A997&lt;=35,"26–35",A997&lt;=45,"36–45",A997&gt;45,"46+")</f>
        <v>36–45</v>
      </c>
      <c r="AK997" t="str" cm="1">
        <f t="array" ref="AK997">_xlfn.IFS(R997&lt;=3000,"Low",R997&lt;=7000,"Mid",R997&lt;=12000,"High",R997&gt;12000,"Top")</f>
        <v>Top</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_xlfn.IFS(A998&lt;=25,"Under 25",A998&lt;=35,"26–35",A998&lt;=45,"36–45",A998&gt;45,"46+")</f>
        <v>26–35</v>
      </c>
      <c r="AK998" t="str" cm="1">
        <f t="array" ref="AK998">_xlfn.IFS(R998&lt;=3000,"Low",R998&lt;=7000,"Mid",R998&lt;=12000,"High",R998&gt;12000,"Top")</f>
        <v>Top</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_xlfn.IFS(A999&lt;=25,"Under 25",A999&lt;=35,"26–35",A999&lt;=45,"36–45",A999&gt;45,"46+")</f>
        <v>26–35</v>
      </c>
      <c r="AK999" t="str" cm="1">
        <f t="array" ref="AK999">_xlfn.IFS(R999&lt;=3000,"Low",R999&lt;=7000,"Mid",R999&lt;=12000,"High",R999&gt;12000,"Top")</f>
        <v>Top</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_xlfn.IFS(A1000&lt;=25,"Under 25",A1000&lt;=35,"26–35",A1000&lt;=45,"36–45",A1000&gt;45,"46+")</f>
        <v>26–35</v>
      </c>
      <c r="AK1000" t="str" cm="1">
        <f t="array" ref="AK1000">_xlfn.IFS(R1000&lt;=3000,"Low",R1000&lt;=7000,"Mid",R1000&lt;=12000,"High",R1000&gt;12000,"Top")</f>
        <v>Top</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_xlfn.IFS(A1001&lt;=25,"Under 25",A1001&lt;=35,"26–35",A1001&lt;=45,"36–45",A1001&gt;45,"46+")</f>
        <v>36–45</v>
      </c>
      <c r="AK1001" t="str" cm="1">
        <f t="array" ref="AK1001">_xlfn.IFS(R1001&lt;=3000,"Low",R1001&lt;=7000,"Mid",R1001&lt;=12000,"High",R1001&gt;12000,"Top")</f>
        <v>Top</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_xlfn.IFS(A1002&lt;=25,"Under 25",A1002&lt;=35,"26–35",A1002&lt;=45,"36–45",A1002&gt;45,"46+")</f>
        <v>46+</v>
      </c>
      <c r="AK1002" t="str" cm="1">
        <f t="array" ref="AK1002">_xlfn.IFS(R1002&lt;=3000,"Low",R1002&lt;=7000,"Mid",R1002&lt;=12000,"High",R1002&gt;12000,"Top")</f>
        <v>Top</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_xlfn.IFS(A1003&lt;=25,"Under 25",A1003&lt;=35,"26–35",A1003&lt;=45,"36–45",A1003&gt;45,"46+")</f>
        <v>36–45</v>
      </c>
      <c r="AK1003" t="str" cm="1">
        <f t="array" ref="AK1003">_xlfn.IFS(R1003&lt;=3000,"Low",R1003&lt;=7000,"Mid",R1003&lt;=12000,"High",R1003&gt;12000,"Top")</f>
        <v>Top</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_xlfn.IFS(A1004&lt;=25,"Under 25",A1004&lt;=35,"26–35",A1004&lt;=45,"36–45",A1004&gt;45,"46+")</f>
        <v>26–35</v>
      </c>
      <c r="AK1004" t="str" cm="1">
        <f t="array" ref="AK1004">_xlfn.IFS(R1004&lt;=3000,"Low",R1004&lt;=7000,"Mid",R1004&lt;=12000,"High",R1004&gt;12000,"Top")</f>
        <v>Top</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_xlfn.IFS(A1005&lt;=25,"Under 25",A1005&lt;=35,"26–35",A1005&lt;=45,"36–45",A1005&gt;45,"46+")</f>
        <v>Under 25</v>
      </c>
      <c r="AK1005" t="str" cm="1">
        <f t="array" ref="AK1005">_xlfn.IFS(R1005&lt;=3000,"Low",R1005&lt;=7000,"Mid",R1005&lt;=12000,"High",R1005&gt;12000,"Top")</f>
        <v>Top</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_xlfn.IFS(A1006&lt;=25,"Under 25",A1006&lt;=35,"26–35",A1006&lt;=45,"36–45",A1006&gt;45,"46+")</f>
        <v>26–35</v>
      </c>
      <c r="AK1006" t="str" cm="1">
        <f t="array" ref="AK1006">_xlfn.IFS(R1006&lt;=3000,"Low",R1006&lt;=7000,"Mid",R1006&lt;=12000,"High",R1006&gt;12000,"Top")</f>
        <v>Top</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_xlfn.IFS(A1007&lt;=25,"Under 25",A1007&lt;=35,"26–35",A1007&lt;=45,"36–45",A1007&gt;45,"46+")</f>
        <v>26–35</v>
      </c>
      <c r="AK1007" t="str" cm="1">
        <f t="array" ref="AK1007">_xlfn.IFS(R1007&lt;=3000,"Low",R1007&lt;=7000,"Mid",R1007&lt;=12000,"High",R1007&gt;12000,"Top")</f>
        <v>Top</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_xlfn.IFS(A1008&lt;=25,"Under 25",A1008&lt;=35,"26–35",A1008&lt;=45,"36–45",A1008&gt;45,"46+")</f>
        <v>46+</v>
      </c>
      <c r="AK1008" t="str" cm="1">
        <f t="array" ref="AK1008">_xlfn.IFS(R1008&lt;=3000,"Low",R1008&lt;=7000,"Mid",R1008&lt;=12000,"High",R1008&gt;12000,"Top")</f>
        <v>Top</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_xlfn.IFS(A1009&lt;=25,"Under 25",A1009&lt;=35,"26–35",A1009&lt;=45,"36–45",A1009&gt;45,"46+")</f>
        <v>26–35</v>
      </c>
      <c r="AK1009" t="str" cm="1">
        <f t="array" ref="AK1009">_xlfn.IFS(R1009&lt;=3000,"Low",R1009&lt;=7000,"Mid",R1009&lt;=12000,"High",R1009&gt;12000,"Top")</f>
        <v>Top</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_xlfn.IFS(A1010&lt;=25,"Under 25",A1010&lt;=35,"26–35",A1010&lt;=45,"36–45",A1010&gt;45,"46+")</f>
        <v>46+</v>
      </c>
      <c r="AK1010" t="str" cm="1">
        <f t="array" ref="AK1010">_xlfn.IFS(R1010&lt;=3000,"Low",R1010&lt;=7000,"Mid",R1010&lt;=12000,"High",R1010&gt;12000,"Top")</f>
        <v>Top</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_xlfn.IFS(A1011&lt;=25,"Under 25",A1011&lt;=35,"26–35",A1011&lt;=45,"36–45",A1011&gt;45,"46+")</f>
        <v>46+</v>
      </c>
      <c r="AK1011" t="str" cm="1">
        <f t="array" ref="AK1011">_xlfn.IFS(R1011&lt;=3000,"Low",R1011&lt;=7000,"Mid",R1011&lt;=12000,"High",R1011&gt;12000,"Top")</f>
        <v>Top</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_xlfn.IFS(A1012&lt;=25,"Under 25",A1012&lt;=35,"26–35",A1012&lt;=45,"36–45",A1012&gt;45,"46+")</f>
        <v>46+</v>
      </c>
      <c r="AK1012" t="str" cm="1">
        <f t="array" ref="AK1012">_xlfn.IFS(R1012&lt;=3000,"Low",R1012&lt;=7000,"Mid",R1012&lt;=12000,"High",R1012&gt;12000,"Top")</f>
        <v>Top</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_xlfn.IFS(A1013&lt;=25,"Under 25",A1013&lt;=35,"26–35",A1013&lt;=45,"36–45",A1013&gt;45,"46+")</f>
        <v>36–45</v>
      </c>
      <c r="AK1013" t="str" cm="1">
        <f t="array" ref="AK1013">_xlfn.IFS(R1013&lt;=3000,"Low",R1013&lt;=7000,"Mid",R1013&lt;=12000,"High",R1013&gt;12000,"Top")</f>
        <v>Top</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_xlfn.IFS(A1014&lt;=25,"Under 25",A1014&lt;=35,"26–35",A1014&lt;=45,"36–45",A1014&gt;45,"46+")</f>
        <v>26–35</v>
      </c>
      <c r="AK1014" t="str" cm="1">
        <f t="array" ref="AK1014">_xlfn.IFS(R1014&lt;=3000,"Low",R1014&lt;=7000,"Mid",R1014&lt;=12000,"High",R1014&gt;12000,"Top")</f>
        <v>Top</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_xlfn.IFS(A1015&lt;=25,"Under 25",A1015&lt;=35,"26–35",A1015&lt;=45,"36–45",A1015&gt;45,"46+")</f>
        <v>26–35</v>
      </c>
      <c r="AK1015" t="str" cm="1">
        <f t="array" ref="AK1015">_xlfn.IFS(R1015&lt;=3000,"Low",R1015&lt;=7000,"Mid",R1015&lt;=12000,"High",R1015&gt;12000,"Top")</f>
        <v>Top</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_xlfn.IFS(A1016&lt;=25,"Under 25",A1016&lt;=35,"26–35",A1016&lt;=45,"36–45",A1016&gt;45,"46+")</f>
        <v>26–35</v>
      </c>
      <c r="AK1016" t="str" cm="1">
        <f t="array" ref="AK1016">_xlfn.IFS(R1016&lt;=3000,"Low",R1016&lt;=7000,"Mid",R1016&lt;=12000,"High",R1016&gt;12000,"Top")</f>
        <v>Top</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_xlfn.IFS(A1017&lt;=25,"Under 25",A1017&lt;=35,"26–35",A1017&lt;=45,"36–45",A1017&gt;45,"46+")</f>
        <v>26–35</v>
      </c>
      <c r="AK1017" t="str" cm="1">
        <f t="array" ref="AK1017">_xlfn.IFS(R1017&lt;=3000,"Low",R1017&lt;=7000,"Mid",R1017&lt;=12000,"High",R1017&gt;12000,"Top")</f>
        <v>Top</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_xlfn.IFS(A1018&lt;=25,"Under 25",A1018&lt;=35,"26–35",A1018&lt;=45,"36–45",A1018&gt;45,"46+")</f>
        <v>26–35</v>
      </c>
      <c r="AK1018" t="str" cm="1">
        <f t="array" ref="AK1018">_xlfn.IFS(R1018&lt;=3000,"Low",R1018&lt;=7000,"Mid",R1018&lt;=12000,"High",R1018&gt;12000,"Top")</f>
        <v>Top</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_xlfn.IFS(A1019&lt;=25,"Under 25",A1019&lt;=35,"26–35",A1019&lt;=45,"36–45",A1019&gt;45,"46+")</f>
        <v>26–35</v>
      </c>
      <c r="AK1019" t="str" cm="1">
        <f t="array" ref="AK1019">_xlfn.IFS(R1019&lt;=3000,"Low",R1019&lt;=7000,"Mid",R1019&lt;=12000,"High",R1019&gt;12000,"Top")</f>
        <v>Top</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_xlfn.IFS(A1020&lt;=25,"Under 25",A1020&lt;=35,"26–35",A1020&lt;=45,"36–45",A1020&gt;45,"46+")</f>
        <v>36–45</v>
      </c>
      <c r="AK1020" t="str" cm="1">
        <f t="array" ref="AK1020">_xlfn.IFS(R1020&lt;=3000,"Low",R1020&lt;=7000,"Mid",R1020&lt;=12000,"High",R1020&gt;12000,"Top")</f>
        <v>Top</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_xlfn.IFS(A1021&lt;=25,"Under 25",A1021&lt;=35,"26–35",A1021&lt;=45,"36–45",A1021&gt;45,"46+")</f>
        <v>36–45</v>
      </c>
      <c r="AK1021" t="str" cm="1">
        <f t="array" ref="AK1021">_xlfn.IFS(R1021&lt;=3000,"Low",R1021&lt;=7000,"Mid",R1021&lt;=12000,"High",R1021&gt;12000,"Top")</f>
        <v>Top</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_xlfn.IFS(A1022&lt;=25,"Under 25",A1022&lt;=35,"26–35",A1022&lt;=45,"36–45",A1022&gt;45,"46+")</f>
        <v>46+</v>
      </c>
      <c r="AK1022" t="str" cm="1">
        <f t="array" ref="AK1022">_xlfn.IFS(R1022&lt;=3000,"Low",R1022&lt;=7000,"Mid",R1022&lt;=12000,"High",R1022&gt;12000,"Top")</f>
        <v>Top</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_xlfn.IFS(A1023&lt;=25,"Under 25",A1023&lt;=35,"26–35",A1023&lt;=45,"36–45",A1023&gt;45,"46+")</f>
        <v>Under 25</v>
      </c>
      <c r="AK1023" t="str" cm="1">
        <f t="array" ref="AK1023">_xlfn.IFS(R1023&lt;=3000,"Low",R1023&lt;=7000,"Mid",R1023&lt;=12000,"High",R1023&gt;12000,"Top")</f>
        <v>Top</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_xlfn.IFS(A1024&lt;=25,"Under 25",A1024&lt;=35,"26–35",A1024&lt;=45,"36–45",A1024&gt;45,"46+")</f>
        <v>36–45</v>
      </c>
      <c r="AK1024" t="str" cm="1">
        <f t="array" ref="AK1024">_xlfn.IFS(R1024&lt;=3000,"Low",R1024&lt;=7000,"Mid",R1024&lt;=12000,"High",R1024&gt;12000,"Top")</f>
        <v>Top</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_xlfn.IFS(A1025&lt;=25,"Under 25",A1025&lt;=35,"26–35",A1025&lt;=45,"36–45",A1025&gt;45,"46+")</f>
        <v>46+</v>
      </c>
      <c r="AK1025" t="str" cm="1">
        <f t="array" ref="AK1025">_xlfn.IFS(R1025&lt;=3000,"Low",R1025&lt;=7000,"Mid",R1025&lt;=12000,"High",R1025&gt;12000,"Top")</f>
        <v>Top</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_xlfn.IFS(A1026&lt;=25,"Under 25",A1026&lt;=35,"26–35",A1026&lt;=45,"36–45",A1026&gt;45,"46+")</f>
        <v>46+</v>
      </c>
      <c r="AK1026" t="str" cm="1">
        <f t="array" ref="AK1026">_xlfn.IFS(R1026&lt;=3000,"Low",R1026&lt;=7000,"Mid",R1026&lt;=12000,"High",R1026&gt;12000,"Top")</f>
        <v>Top</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_xlfn.IFS(A1027&lt;=25,"Under 25",A1027&lt;=35,"26–35",A1027&lt;=45,"36–45",A1027&gt;45,"46+")</f>
        <v>Under 25</v>
      </c>
      <c r="AK1027" t="str" cm="1">
        <f t="array" ref="AK1027">_xlfn.IFS(R1027&lt;=3000,"Low",R1027&lt;=7000,"Mid",R1027&lt;=12000,"High",R1027&gt;12000,"Top")</f>
        <v>Top</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_xlfn.IFS(A1028&lt;=25,"Under 25",A1028&lt;=35,"26–35",A1028&lt;=45,"36–45",A1028&gt;45,"46+")</f>
        <v>26–35</v>
      </c>
      <c r="AK1028" t="str" cm="1">
        <f t="array" ref="AK1028">_xlfn.IFS(R1028&lt;=3000,"Low",R1028&lt;=7000,"Mid",R1028&lt;=12000,"High",R1028&gt;12000,"Top")</f>
        <v>Top</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_xlfn.IFS(A1029&lt;=25,"Under 25",A1029&lt;=35,"26–35",A1029&lt;=45,"36–45",A1029&gt;45,"46+")</f>
        <v>26–35</v>
      </c>
      <c r="AK1029" t="str" cm="1">
        <f t="array" ref="AK1029">_xlfn.IFS(R1029&lt;=3000,"Low",R1029&lt;=7000,"Mid",R1029&lt;=12000,"High",R1029&gt;12000,"Top")</f>
        <v>Top</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_xlfn.IFS(A1030&lt;=25,"Under 25",A1030&lt;=35,"26–35",A1030&lt;=45,"36–45",A1030&gt;45,"46+")</f>
        <v>36–45</v>
      </c>
      <c r="AK1030" t="str" cm="1">
        <f t="array" ref="AK1030">_xlfn.IFS(R1030&lt;=3000,"Low",R1030&lt;=7000,"Mid",R1030&lt;=12000,"High",R1030&gt;12000,"Top")</f>
        <v>Top</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_xlfn.IFS(A1031&lt;=25,"Under 25",A1031&lt;=35,"26–35",A1031&lt;=45,"36–45",A1031&gt;45,"46+")</f>
        <v>36–45</v>
      </c>
      <c r="AK1031" t="str" cm="1">
        <f t="array" ref="AK1031">_xlfn.IFS(R1031&lt;=3000,"Low",R1031&lt;=7000,"Mid",R1031&lt;=12000,"High",R1031&gt;12000,"Top")</f>
        <v>Top</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_xlfn.IFS(A1032&lt;=25,"Under 25",A1032&lt;=35,"26–35",A1032&lt;=45,"36–45",A1032&gt;45,"46+")</f>
        <v>26–35</v>
      </c>
      <c r="AK1032" t="str" cm="1">
        <f t="array" ref="AK1032">_xlfn.IFS(R1032&lt;=3000,"Low",R1032&lt;=7000,"Mid",R1032&lt;=12000,"High",R1032&gt;12000,"Top")</f>
        <v>Top</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_xlfn.IFS(A1033&lt;=25,"Under 25",A1033&lt;=35,"26–35",A1033&lt;=45,"36–45",A1033&gt;45,"46+")</f>
        <v>46+</v>
      </c>
      <c r="AK1033" t="str" cm="1">
        <f t="array" ref="AK1033">_xlfn.IFS(R1033&lt;=3000,"Low",R1033&lt;=7000,"Mid",R1033&lt;=12000,"High",R1033&gt;12000,"Top")</f>
        <v>Top</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_xlfn.IFS(A1034&lt;=25,"Under 25",A1034&lt;=35,"26–35",A1034&lt;=45,"36–45",A1034&gt;45,"46+")</f>
        <v>36–45</v>
      </c>
      <c r="AK1034" t="str" cm="1">
        <f t="array" ref="AK1034">_xlfn.IFS(R1034&lt;=3000,"Low",R1034&lt;=7000,"Mid",R1034&lt;=12000,"High",R1034&gt;12000,"Top")</f>
        <v>Top</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_xlfn.IFS(A1035&lt;=25,"Under 25",A1035&lt;=35,"26–35",A1035&lt;=45,"36–45",A1035&gt;45,"46+")</f>
        <v>26–35</v>
      </c>
      <c r="AK1035" t="str" cm="1">
        <f t="array" ref="AK1035">_xlfn.IFS(R1035&lt;=3000,"Low",R1035&lt;=7000,"Mid",R1035&lt;=12000,"High",R1035&gt;12000,"Top")</f>
        <v>Top</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_xlfn.IFS(A1036&lt;=25,"Under 25",A1036&lt;=35,"26–35",A1036&lt;=45,"36–45",A1036&gt;45,"46+")</f>
        <v>36–45</v>
      </c>
      <c r="AK1036" t="str" cm="1">
        <f t="array" ref="AK1036">_xlfn.IFS(R1036&lt;=3000,"Low",R1036&lt;=7000,"Mid",R1036&lt;=12000,"High",R1036&gt;12000,"Top")</f>
        <v>Top</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_xlfn.IFS(A1037&lt;=25,"Under 25",A1037&lt;=35,"26–35",A1037&lt;=45,"36–45",A1037&gt;45,"46+")</f>
        <v>26–35</v>
      </c>
      <c r="AK1037" t="str" cm="1">
        <f t="array" ref="AK1037">_xlfn.IFS(R1037&lt;=3000,"Low",R1037&lt;=7000,"Mid",R1037&lt;=12000,"High",R1037&gt;12000,"Top")</f>
        <v>Top</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_xlfn.IFS(A1038&lt;=25,"Under 25",A1038&lt;=35,"26–35",A1038&lt;=45,"36–45",A1038&gt;45,"46+")</f>
        <v>26–35</v>
      </c>
      <c r="AK1038" t="str" cm="1">
        <f t="array" ref="AK1038">_xlfn.IFS(R1038&lt;=3000,"Low",R1038&lt;=7000,"Mid",R1038&lt;=12000,"High",R1038&gt;12000,"Top")</f>
        <v>Top</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_xlfn.IFS(A1039&lt;=25,"Under 25",A1039&lt;=35,"26–35",A1039&lt;=45,"36–45",A1039&gt;45,"46+")</f>
        <v>36–45</v>
      </c>
      <c r="AK1039" t="str" cm="1">
        <f t="array" ref="AK1039">_xlfn.IFS(R1039&lt;=3000,"Low",R1039&lt;=7000,"Mid",R1039&lt;=12000,"High",R1039&gt;12000,"Top")</f>
        <v>Top</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_xlfn.IFS(A1040&lt;=25,"Under 25",A1040&lt;=35,"26–35",A1040&lt;=45,"36–45",A1040&gt;45,"46+")</f>
        <v>46+</v>
      </c>
      <c r="AK1040" t="str" cm="1">
        <f t="array" ref="AK1040">_xlfn.IFS(R1040&lt;=3000,"Low",R1040&lt;=7000,"Mid",R1040&lt;=12000,"High",R1040&gt;12000,"Top")</f>
        <v>Top</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_xlfn.IFS(A1041&lt;=25,"Under 25",A1041&lt;=35,"26–35",A1041&lt;=45,"36–45",A1041&gt;45,"46+")</f>
        <v>26–35</v>
      </c>
      <c r="AK1041" t="str" cm="1">
        <f t="array" ref="AK1041">_xlfn.IFS(R1041&lt;=3000,"Low",R1041&lt;=7000,"Mid",R1041&lt;=12000,"High",R1041&gt;12000,"Top")</f>
        <v>Top</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_xlfn.IFS(A1042&lt;=25,"Under 25",A1042&lt;=35,"26–35",A1042&lt;=45,"36–45",A1042&gt;45,"46+")</f>
        <v>36–45</v>
      </c>
      <c r="AK1042" t="str" cm="1">
        <f t="array" ref="AK1042">_xlfn.IFS(R1042&lt;=3000,"Low",R1042&lt;=7000,"Mid",R1042&lt;=12000,"High",R1042&gt;12000,"Top")</f>
        <v>Top</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_xlfn.IFS(A1043&lt;=25,"Under 25",A1043&lt;=35,"26–35",A1043&lt;=45,"36–45",A1043&gt;45,"46+")</f>
        <v>26–35</v>
      </c>
      <c r="AK1043" t="str" cm="1">
        <f t="array" ref="AK1043">_xlfn.IFS(R1043&lt;=3000,"Low",R1043&lt;=7000,"Mid",R1043&lt;=12000,"High",R1043&gt;12000,"Top")</f>
        <v>Top</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_xlfn.IFS(A1044&lt;=25,"Under 25",A1044&lt;=35,"26–35",A1044&lt;=45,"36–45",A1044&gt;45,"46+")</f>
        <v>36–45</v>
      </c>
      <c r="AK1044" t="str" cm="1">
        <f t="array" ref="AK1044">_xlfn.IFS(R1044&lt;=3000,"Low",R1044&lt;=7000,"Mid",R1044&lt;=12000,"High",R1044&gt;12000,"Top")</f>
        <v>Top</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_xlfn.IFS(A1045&lt;=25,"Under 25",A1045&lt;=35,"26–35",A1045&lt;=45,"36–45",A1045&gt;45,"46+")</f>
        <v>46+</v>
      </c>
      <c r="AK1045" t="str" cm="1">
        <f t="array" ref="AK1045">_xlfn.IFS(R1045&lt;=3000,"Low",R1045&lt;=7000,"Mid",R1045&lt;=12000,"High",R1045&gt;12000,"Top")</f>
        <v>Top</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_xlfn.IFS(A1046&lt;=25,"Under 25",A1046&lt;=35,"26–35",A1046&lt;=45,"36–45",A1046&gt;45,"46+")</f>
        <v>46+</v>
      </c>
      <c r="AK1046" t="str" cm="1">
        <f t="array" ref="AK1046">_xlfn.IFS(R1046&lt;=3000,"Low",R1046&lt;=7000,"Mid",R1046&lt;=12000,"High",R1046&gt;12000,"Top")</f>
        <v>Top</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_xlfn.IFS(A1047&lt;=25,"Under 25",A1047&lt;=35,"26–35",A1047&lt;=45,"36–45",A1047&gt;45,"46+")</f>
        <v>36–45</v>
      </c>
      <c r="AK1047" t="str" cm="1">
        <f t="array" ref="AK1047">_xlfn.IFS(R1047&lt;=3000,"Low",R1047&lt;=7000,"Mid",R1047&lt;=12000,"High",R1047&gt;12000,"Top")</f>
        <v>Top</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_xlfn.IFS(A1048&lt;=25,"Under 25",A1048&lt;=35,"26–35",A1048&lt;=45,"36–45",A1048&gt;45,"46+")</f>
        <v>36–45</v>
      </c>
      <c r="AK1048" t="str" cm="1">
        <f t="array" ref="AK1048">_xlfn.IFS(R1048&lt;=3000,"Low",R1048&lt;=7000,"Mid",R1048&lt;=12000,"High",R1048&gt;12000,"Top")</f>
        <v>Top</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_xlfn.IFS(A1049&lt;=25,"Under 25",A1049&lt;=35,"26–35",A1049&lt;=45,"36–45",A1049&gt;45,"46+")</f>
        <v>26–35</v>
      </c>
      <c r="AK1049" t="str" cm="1">
        <f t="array" ref="AK1049">_xlfn.IFS(R1049&lt;=3000,"Low",R1049&lt;=7000,"Mid",R1049&lt;=12000,"High",R1049&gt;12000,"Top")</f>
        <v>Top</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_xlfn.IFS(A1050&lt;=25,"Under 25",A1050&lt;=35,"26–35",A1050&lt;=45,"36–45",A1050&gt;45,"46+")</f>
        <v>26–35</v>
      </c>
      <c r="AK1050" t="str" cm="1">
        <f t="array" ref="AK1050">_xlfn.IFS(R1050&lt;=3000,"Low",R1050&lt;=7000,"Mid",R1050&lt;=12000,"High",R1050&gt;12000,"Top")</f>
        <v>Top</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_xlfn.IFS(A1051&lt;=25,"Under 25",A1051&lt;=35,"26–35",A1051&lt;=45,"36–45",A1051&gt;45,"46+")</f>
        <v>26–35</v>
      </c>
      <c r="AK1051" t="str" cm="1">
        <f t="array" ref="AK1051">_xlfn.IFS(R1051&lt;=3000,"Low",R1051&lt;=7000,"Mid",R1051&lt;=12000,"High",R1051&gt;12000,"Top")</f>
        <v>Top</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_xlfn.IFS(A1052&lt;=25,"Under 25",A1052&lt;=35,"26–35",A1052&lt;=45,"36–45",A1052&gt;45,"46+")</f>
        <v>36–45</v>
      </c>
      <c r="AK1052" t="str" cm="1">
        <f t="array" ref="AK1052">_xlfn.IFS(R1052&lt;=3000,"Low",R1052&lt;=7000,"Mid",R1052&lt;=12000,"High",R1052&gt;12000,"Top")</f>
        <v>Top</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_xlfn.IFS(A1053&lt;=25,"Under 25",A1053&lt;=35,"26–35",A1053&lt;=45,"36–45",A1053&gt;45,"46+")</f>
        <v>36–45</v>
      </c>
      <c r="AK1053" t="str" cm="1">
        <f t="array" ref="AK1053">_xlfn.IFS(R1053&lt;=3000,"Low",R1053&lt;=7000,"Mid",R1053&lt;=12000,"High",R1053&gt;12000,"Top")</f>
        <v>Top</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_xlfn.IFS(A1054&lt;=25,"Under 25",A1054&lt;=35,"26–35",A1054&lt;=45,"36–45",A1054&gt;45,"46+")</f>
        <v>26–35</v>
      </c>
      <c r="AK1054" t="str" cm="1">
        <f t="array" ref="AK1054">_xlfn.IFS(R1054&lt;=3000,"Low",R1054&lt;=7000,"Mid",R1054&lt;=12000,"High",R1054&gt;12000,"Top")</f>
        <v>Top</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_xlfn.IFS(A1055&lt;=25,"Under 25",A1055&lt;=35,"26–35",A1055&lt;=45,"36–45",A1055&gt;45,"46+")</f>
        <v>46+</v>
      </c>
      <c r="AK1055" t="str" cm="1">
        <f t="array" ref="AK1055">_xlfn.IFS(R1055&lt;=3000,"Low",R1055&lt;=7000,"Mid",R1055&lt;=12000,"High",R1055&gt;12000,"Top")</f>
        <v>Top</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_xlfn.IFS(A1056&lt;=25,"Under 25",A1056&lt;=35,"26–35",A1056&lt;=45,"36–45",A1056&gt;45,"46+")</f>
        <v>46+</v>
      </c>
      <c r="AK1056" t="str" cm="1">
        <f t="array" ref="AK1056">_xlfn.IFS(R1056&lt;=3000,"Low",R1056&lt;=7000,"Mid",R1056&lt;=12000,"High",R1056&gt;12000,"Top")</f>
        <v>Top</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_xlfn.IFS(A1057&lt;=25,"Under 25",A1057&lt;=35,"26–35",A1057&lt;=45,"36–45",A1057&gt;45,"46+")</f>
        <v>26–35</v>
      </c>
      <c r="AK1057" t="str" cm="1">
        <f t="array" ref="AK1057">_xlfn.IFS(R1057&lt;=3000,"Low",R1057&lt;=7000,"Mid",R1057&lt;=12000,"High",R1057&gt;12000,"Top")</f>
        <v>Top</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_xlfn.IFS(A1058&lt;=25,"Under 25",A1058&lt;=35,"26–35",A1058&lt;=45,"36–45",A1058&gt;45,"46+")</f>
        <v>26–35</v>
      </c>
      <c r="AK1058" t="str" cm="1">
        <f t="array" ref="AK1058">_xlfn.IFS(R1058&lt;=3000,"Low",R1058&lt;=7000,"Mid",R1058&lt;=12000,"High",R1058&gt;12000,"Top")</f>
        <v>Top</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_xlfn.IFS(A1059&lt;=25,"Under 25",A1059&lt;=35,"26–35",A1059&lt;=45,"36–45",A1059&gt;45,"46+")</f>
        <v>26–35</v>
      </c>
      <c r="AK1059" t="str" cm="1">
        <f t="array" ref="AK1059">_xlfn.IFS(R1059&lt;=3000,"Low",R1059&lt;=7000,"Mid",R1059&lt;=12000,"High",R1059&gt;12000,"Top")</f>
        <v>Top</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_xlfn.IFS(A1060&lt;=25,"Under 25",A1060&lt;=35,"26–35",A1060&lt;=45,"36–45",A1060&gt;45,"46+")</f>
        <v>26–35</v>
      </c>
      <c r="AK1060" t="str" cm="1">
        <f t="array" ref="AK1060">_xlfn.IFS(R1060&lt;=3000,"Low",R1060&lt;=7000,"Mid",R1060&lt;=12000,"High",R1060&gt;12000,"Top")</f>
        <v>Top</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_xlfn.IFS(A1061&lt;=25,"Under 25",A1061&lt;=35,"26–35",A1061&lt;=45,"36–45",A1061&gt;45,"46+")</f>
        <v>26–35</v>
      </c>
      <c r="AK1061" t="str" cm="1">
        <f t="array" ref="AK1061">_xlfn.IFS(R1061&lt;=3000,"Low",R1061&lt;=7000,"Mid",R1061&lt;=12000,"High",R1061&gt;12000,"Top")</f>
        <v>Top</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_xlfn.IFS(A1062&lt;=25,"Under 25",A1062&lt;=35,"26–35",A1062&lt;=45,"36–45",A1062&gt;45,"46+")</f>
        <v>Under 25</v>
      </c>
      <c r="AK1062" t="str" cm="1">
        <f t="array" ref="AK1062">_xlfn.IFS(R1062&lt;=3000,"Low",R1062&lt;=7000,"Mid",R1062&lt;=12000,"High",R1062&gt;12000,"Top")</f>
        <v>Top</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_xlfn.IFS(A1063&lt;=25,"Under 25",A1063&lt;=35,"26–35",A1063&lt;=45,"36–45",A1063&gt;45,"46+")</f>
        <v>Under 25</v>
      </c>
      <c r="AK1063" t="str" cm="1">
        <f t="array" ref="AK1063">_xlfn.IFS(R1063&lt;=3000,"Low",R1063&lt;=7000,"Mid",R1063&lt;=12000,"High",R1063&gt;12000,"Top")</f>
        <v>Top</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_xlfn.IFS(A1064&lt;=25,"Under 25",A1064&lt;=35,"26–35",A1064&lt;=45,"36–45",A1064&gt;45,"46+")</f>
        <v>36–45</v>
      </c>
      <c r="AK1064" t="str" cm="1">
        <f t="array" ref="AK1064">_xlfn.IFS(R1064&lt;=3000,"Low",R1064&lt;=7000,"Mid",R1064&lt;=12000,"High",R1064&gt;12000,"Top")</f>
        <v>Top</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_xlfn.IFS(A1065&lt;=25,"Under 25",A1065&lt;=35,"26–35",A1065&lt;=45,"36–45",A1065&gt;45,"46+")</f>
        <v>26–35</v>
      </c>
      <c r="AK1065" t="str" cm="1">
        <f t="array" ref="AK1065">_xlfn.IFS(R1065&lt;=3000,"Low",R1065&lt;=7000,"Mid",R1065&lt;=12000,"High",R1065&gt;12000,"Top")</f>
        <v>Top</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_xlfn.IFS(A1066&lt;=25,"Under 25",A1066&lt;=35,"26–35",A1066&lt;=45,"36–45",A1066&gt;45,"46+")</f>
        <v>26–35</v>
      </c>
      <c r="AK1066" t="str" cm="1">
        <f t="array" ref="AK1066">_xlfn.IFS(R1066&lt;=3000,"Low",R1066&lt;=7000,"Mid",R1066&lt;=12000,"High",R1066&gt;12000,"Top")</f>
        <v>Top</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_xlfn.IFS(A1067&lt;=25,"Under 25",A1067&lt;=35,"26–35",A1067&lt;=45,"36–45",A1067&gt;45,"46+")</f>
        <v>46+</v>
      </c>
      <c r="AK1067" t="str" cm="1">
        <f t="array" ref="AK1067">_xlfn.IFS(R1067&lt;=3000,"Low",R1067&lt;=7000,"Mid",R1067&lt;=12000,"High",R1067&gt;12000,"Top")</f>
        <v>Top</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_xlfn.IFS(A1068&lt;=25,"Under 25",A1068&lt;=35,"26–35",A1068&lt;=45,"36–45",A1068&gt;45,"46+")</f>
        <v>26–35</v>
      </c>
      <c r="AK1068" t="str" cm="1">
        <f t="array" ref="AK1068">_xlfn.IFS(R1068&lt;=3000,"Low",R1068&lt;=7000,"Mid",R1068&lt;=12000,"High",R1068&gt;12000,"Top")</f>
        <v>Top</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_xlfn.IFS(A1069&lt;=25,"Under 25",A1069&lt;=35,"26–35",A1069&lt;=45,"36–45",A1069&gt;45,"46+")</f>
        <v>46+</v>
      </c>
      <c r="AK1069" t="str" cm="1">
        <f t="array" ref="AK1069">_xlfn.IFS(R1069&lt;=3000,"Low",R1069&lt;=7000,"Mid",R1069&lt;=12000,"High",R1069&gt;12000,"Top")</f>
        <v>Top</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_xlfn.IFS(A1070&lt;=25,"Under 25",A1070&lt;=35,"26–35",A1070&lt;=45,"36–45",A1070&gt;45,"46+")</f>
        <v>26–35</v>
      </c>
      <c r="AK1070" t="str" cm="1">
        <f t="array" ref="AK1070">_xlfn.IFS(R1070&lt;=3000,"Low",R1070&lt;=7000,"Mid",R1070&lt;=12000,"High",R1070&gt;12000,"Top")</f>
        <v>Top</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_xlfn.IFS(A1071&lt;=25,"Under 25",A1071&lt;=35,"26–35",A1071&lt;=45,"36–45",A1071&gt;45,"46+")</f>
        <v>26–35</v>
      </c>
      <c r="AK1071" t="str" cm="1">
        <f t="array" ref="AK1071">_xlfn.IFS(R1071&lt;=3000,"Low",R1071&lt;=7000,"Mid",R1071&lt;=12000,"High",R1071&gt;12000,"Top")</f>
        <v>Top</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_xlfn.IFS(A1072&lt;=25,"Under 25",A1072&lt;=35,"26–35",A1072&lt;=45,"36–45",A1072&gt;45,"46+")</f>
        <v>26–35</v>
      </c>
      <c r="AK1072" t="str" cm="1">
        <f t="array" ref="AK1072">_xlfn.IFS(R1072&lt;=3000,"Low",R1072&lt;=7000,"Mid",R1072&lt;=12000,"High",R1072&gt;12000,"Top")</f>
        <v>Top</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_xlfn.IFS(A1073&lt;=25,"Under 25",A1073&lt;=35,"26–35",A1073&lt;=45,"36–45",A1073&gt;45,"46+")</f>
        <v>46+</v>
      </c>
      <c r="AK1073" t="str" cm="1">
        <f t="array" ref="AK1073">_xlfn.IFS(R1073&lt;=3000,"Low",R1073&lt;=7000,"Mid",R1073&lt;=12000,"High",R1073&gt;12000,"Top")</f>
        <v>Top</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_xlfn.IFS(A1074&lt;=25,"Under 25",A1074&lt;=35,"26–35",A1074&lt;=45,"36–45",A1074&gt;45,"46+")</f>
        <v>26–35</v>
      </c>
      <c r="AK1074" t="str" cm="1">
        <f t="array" ref="AK1074">_xlfn.IFS(R1074&lt;=3000,"Low",R1074&lt;=7000,"Mid",R1074&lt;=12000,"High",R1074&gt;12000,"Top")</f>
        <v>Top</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_xlfn.IFS(A1075&lt;=25,"Under 25",A1075&lt;=35,"26–35",A1075&lt;=45,"36–45",A1075&gt;45,"46+")</f>
        <v>26–35</v>
      </c>
      <c r="AK1075" t="str" cm="1">
        <f t="array" ref="AK1075">_xlfn.IFS(R1075&lt;=3000,"Low",R1075&lt;=7000,"Mid",R1075&lt;=12000,"High",R1075&gt;12000,"Top")</f>
        <v>Top</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_xlfn.IFS(A1076&lt;=25,"Under 25",A1076&lt;=35,"26–35",A1076&lt;=45,"36–45",A1076&gt;45,"46+")</f>
        <v>26–35</v>
      </c>
      <c r="AK1076" t="str" cm="1">
        <f t="array" ref="AK1076">_xlfn.IFS(R1076&lt;=3000,"Low",R1076&lt;=7000,"Mid",R1076&lt;=12000,"High",R1076&gt;12000,"Top")</f>
        <v>Top</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_xlfn.IFS(A1077&lt;=25,"Under 25",A1077&lt;=35,"26–35",A1077&lt;=45,"36–45",A1077&gt;45,"46+")</f>
        <v>26–35</v>
      </c>
      <c r="AK1077" t="str" cm="1">
        <f t="array" ref="AK1077">_xlfn.IFS(R1077&lt;=3000,"Low",R1077&lt;=7000,"Mid",R1077&lt;=12000,"High",R1077&gt;12000,"Top")</f>
        <v>Top</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_xlfn.IFS(A1078&lt;=25,"Under 25",A1078&lt;=35,"26–35",A1078&lt;=45,"36–45",A1078&gt;45,"46+")</f>
        <v>46+</v>
      </c>
      <c r="AK1078" t="str" cm="1">
        <f t="array" ref="AK1078">_xlfn.IFS(R1078&lt;=3000,"Low",R1078&lt;=7000,"Mid",R1078&lt;=12000,"High",R1078&gt;12000,"Top")</f>
        <v>Top</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_xlfn.IFS(A1079&lt;=25,"Under 25",A1079&lt;=35,"26–35",A1079&lt;=45,"36–45",A1079&gt;45,"46+")</f>
        <v>26–35</v>
      </c>
      <c r="AK1079" t="str" cm="1">
        <f t="array" ref="AK1079">_xlfn.IFS(R1079&lt;=3000,"Low",R1079&lt;=7000,"Mid",R1079&lt;=12000,"High",R1079&gt;12000,"Top")</f>
        <v>Top</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_xlfn.IFS(A1080&lt;=25,"Under 25",A1080&lt;=35,"26–35",A1080&lt;=45,"36–45",A1080&gt;45,"46+")</f>
        <v>36–45</v>
      </c>
      <c r="AK1080" t="str" cm="1">
        <f t="array" ref="AK1080">_xlfn.IFS(R1080&lt;=3000,"Low",R1080&lt;=7000,"Mid",R1080&lt;=12000,"High",R1080&gt;12000,"Top")</f>
        <v>Top</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_xlfn.IFS(A1081&lt;=25,"Under 25",A1081&lt;=35,"26–35",A1081&lt;=45,"36–45",A1081&gt;45,"46+")</f>
        <v>36–45</v>
      </c>
      <c r="AK1081" t="str" cm="1">
        <f t="array" ref="AK1081">_xlfn.IFS(R1081&lt;=3000,"Low",R1081&lt;=7000,"Mid",R1081&lt;=12000,"High",R1081&gt;12000,"Top")</f>
        <v>Top</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_xlfn.IFS(A1082&lt;=25,"Under 25",A1082&lt;=35,"26–35",A1082&lt;=45,"36–45",A1082&gt;45,"46+")</f>
        <v>46+</v>
      </c>
      <c r="AK1082" t="str" cm="1">
        <f t="array" ref="AK1082">_xlfn.IFS(R1082&lt;=3000,"Low",R1082&lt;=7000,"Mid",R1082&lt;=12000,"High",R1082&gt;12000,"Top")</f>
        <v>Top</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_xlfn.IFS(A1083&lt;=25,"Under 25",A1083&lt;=35,"26–35",A1083&lt;=45,"36–45",A1083&gt;45,"46+")</f>
        <v>26–35</v>
      </c>
      <c r="AK1083" t="str" cm="1">
        <f t="array" ref="AK1083">_xlfn.IFS(R1083&lt;=3000,"Low",R1083&lt;=7000,"Mid",R1083&lt;=12000,"High",R1083&gt;12000,"Top")</f>
        <v>Top</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_xlfn.IFS(A1084&lt;=25,"Under 25",A1084&lt;=35,"26–35",A1084&lt;=45,"36–45",A1084&gt;45,"46+")</f>
        <v>Under 25</v>
      </c>
      <c r="AK1084" t="str" cm="1">
        <f t="array" ref="AK1084">_xlfn.IFS(R1084&lt;=3000,"Low",R1084&lt;=7000,"Mid",R1084&lt;=12000,"High",R1084&gt;12000,"Top")</f>
        <v>Top</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_xlfn.IFS(A1085&lt;=25,"Under 25",A1085&lt;=35,"26–35",A1085&lt;=45,"36–45",A1085&gt;45,"46+")</f>
        <v>36–45</v>
      </c>
      <c r="AK1085" t="str" cm="1">
        <f t="array" ref="AK1085">_xlfn.IFS(R1085&lt;=3000,"Low",R1085&lt;=7000,"Mid",R1085&lt;=12000,"High",R1085&gt;12000,"Top")</f>
        <v>Top</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_xlfn.IFS(A1086&lt;=25,"Under 25",A1086&lt;=35,"26–35",A1086&lt;=45,"36–45",A1086&gt;45,"46+")</f>
        <v>26–35</v>
      </c>
      <c r="AK1086" t="str" cm="1">
        <f t="array" ref="AK1086">_xlfn.IFS(R1086&lt;=3000,"Low",R1086&lt;=7000,"Mid",R1086&lt;=12000,"High",R1086&gt;12000,"Top")</f>
        <v>Top</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_xlfn.IFS(A1087&lt;=25,"Under 25",A1087&lt;=35,"26–35",A1087&lt;=45,"36–45",A1087&gt;45,"46+")</f>
        <v>26–35</v>
      </c>
      <c r="AK1087" t="str" cm="1">
        <f t="array" ref="AK1087">_xlfn.IFS(R1087&lt;=3000,"Low",R1087&lt;=7000,"Mid",R1087&lt;=12000,"High",R1087&gt;12000,"Top")</f>
        <v>Top</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_xlfn.IFS(A1088&lt;=25,"Under 25",A1088&lt;=35,"26–35",A1088&lt;=45,"36–45",A1088&gt;45,"46+")</f>
        <v>46+</v>
      </c>
      <c r="AK1088" t="str" cm="1">
        <f t="array" ref="AK1088">_xlfn.IFS(R1088&lt;=3000,"Low",R1088&lt;=7000,"Mid",R1088&lt;=12000,"High",R1088&gt;12000,"Top")</f>
        <v>Top</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_xlfn.IFS(A1089&lt;=25,"Under 25",A1089&lt;=35,"26–35",A1089&lt;=45,"36–45",A1089&gt;45,"46+")</f>
        <v>26–35</v>
      </c>
      <c r="AK1089" t="str" cm="1">
        <f t="array" ref="AK1089">_xlfn.IFS(R1089&lt;=3000,"Low",R1089&lt;=7000,"Mid",R1089&lt;=12000,"High",R1089&gt;12000,"Top")</f>
        <v>Top</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_xlfn.IFS(A1090&lt;=25,"Under 25",A1090&lt;=35,"26–35",A1090&lt;=45,"36–45",A1090&gt;45,"46+")</f>
        <v>36–45</v>
      </c>
      <c r="AK1090" t="str" cm="1">
        <f t="array" ref="AK1090">_xlfn.IFS(R1090&lt;=3000,"Low",R1090&lt;=7000,"Mid",R1090&lt;=12000,"High",R1090&gt;12000,"Top")</f>
        <v>Top</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_xlfn.IFS(A1091&lt;=25,"Under 25",A1091&lt;=35,"26–35",A1091&lt;=45,"36–45",A1091&gt;45,"46+")</f>
        <v>36–45</v>
      </c>
      <c r="AK1091" t="str" cm="1">
        <f t="array" ref="AK1091">_xlfn.IFS(R1091&lt;=3000,"Low",R1091&lt;=7000,"Mid",R1091&lt;=12000,"High",R1091&gt;12000,"Top")</f>
        <v>Top</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_xlfn.IFS(A1092&lt;=25,"Under 25",A1092&lt;=35,"26–35",A1092&lt;=45,"36–45",A1092&gt;45,"46+")</f>
        <v>26–35</v>
      </c>
      <c r="AK1092" t="str" cm="1">
        <f t="array" ref="AK1092">_xlfn.IFS(R1092&lt;=3000,"Low",R1092&lt;=7000,"Mid",R1092&lt;=12000,"High",R1092&gt;12000,"Top")</f>
        <v>Top</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_xlfn.IFS(A1093&lt;=25,"Under 25",A1093&lt;=35,"26–35",A1093&lt;=45,"36–45",A1093&gt;45,"46+")</f>
        <v>26–35</v>
      </c>
      <c r="AK1093" t="str" cm="1">
        <f t="array" ref="AK1093">_xlfn.IFS(R1093&lt;=3000,"Low",R1093&lt;=7000,"Mid",R1093&lt;=12000,"High",R1093&gt;12000,"Top")</f>
        <v>Top</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_xlfn.IFS(A1094&lt;=25,"Under 25",A1094&lt;=35,"26–35",A1094&lt;=45,"36–45",A1094&gt;45,"46+")</f>
        <v>36–45</v>
      </c>
      <c r="AK1094" t="str" cm="1">
        <f t="array" ref="AK1094">_xlfn.IFS(R1094&lt;=3000,"Low",R1094&lt;=7000,"Mid",R1094&lt;=12000,"High",R1094&gt;12000,"Top")</f>
        <v>Top</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_xlfn.IFS(A1095&lt;=25,"Under 25",A1095&lt;=35,"26–35",A1095&lt;=45,"36–45",A1095&gt;45,"46+")</f>
        <v>36–45</v>
      </c>
      <c r="AK1095" t="str" cm="1">
        <f t="array" ref="AK1095">_xlfn.IFS(R1095&lt;=3000,"Low",R1095&lt;=7000,"Mid",R1095&lt;=12000,"High",R1095&gt;12000,"Top")</f>
        <v>Top</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_xlfn.IFS(A1096&lt;=25,"Under 25",A1096&lt;=35,"26–35",A1096&lt;=45,"36–45",A1096&gt;45,"46+")</f>
        <v>36–45</v>
      </c>
      <c r="AK1096" t="str" cm="1">
        <f t="array" ref="AK1096">_xlfn.IFS(R1096&lt;=3000,"Low",R1096&lt;=7000,"Mid",R1096&lt;=12000,"High",R1096&gt;12000,"Top")</f>
        <v>Top</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_xlfn.IFS(A1097&lt;=25,"Under 25",A1097&lt;=35,"26–35",A1097&lt;=45,"36–45",A1097&gt;45,"46+")</f>
        <v>26–35</v>
      </c>
      <c r="AK1097" t="str" cm="1">
        <f t="array" ref="AK1097">_xlfn.IFS(R1097&lt;=3000,"Low",R1097&lt;=7000,"Mid",R1097&lt;=12000,"High",R1097&gt;12000,"Top")</f>
        <v>Top</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_xlfn.IFS(A1098&lt;=25,"Under 25",A1098&lt;=35,"26–35",A1098&lt;=45,"36–45",A1098&gt;45,"46+")</f>
        <v>36–45</v>
      </c>
      <c r="AK1098" t="str" cm="1">
        <f t="array" ref="AK1098">_xlfn.IFS(R1098&lt;=3000,"Low",R1098&lt;=7000,"Mid",R1098&lt;=12000,"High",R1098&gt;12000,"Top")</f>
        <v>Top</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_xlfn.IFS(A1099&lt;=25,"Under 25",A1099&lt;=35,"26–35",A1099&lt;=45,"36–45",A1099&gt;45,"46+")</f>
        <v>Under 25</v>
      </c>
      <c r="AK1099" t="str" cm="1">
        <f t="array" ref="AK1099">_xlfn.IFS(R1099&lt;=3000,"Low",R1099&lt;=7000,"Mid",R1099&lt;=12000,"High",R1099&gt;12000,"Top")</f>
        <v>Top</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_xlfn.IFS(A1100&lt;=25,"Under 25",A1100&lt;=35,"26–35",A1100&lt;=45,"36–45",A1100&gt;45,"46+")</f>
        <v>36–45</v>
      </c>
      <c r="AK1100" t="str" cm="1">
        <f t="array" ref="AK1100">_xlfn.IFS(R1100&lt;=3000,"Low",R1100&lt;=7000,"Mid",R1100&lt;=12000,"High",R1100&gt;12000,"Top")</f>
        <v>Top</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_xlfn.IFS(A1101&lt;=25,"Under 25",A1101&lt;=35,"26–35",A1101&lt;=45,"36–45",A1101&gt;45,"46+")</f>
        <v>36–45</v>
      </c>
      <c r="AK1101" t="str" cm="1">
        <f t="array" ref="AK1101">_xlfn.IFS(R1101&lt;=3000,"Low",R1101&lt;=7000,"Mid",R1101&lt;=12000,"High",R1101&gt;12000,"Top")</f>
        <v>Top</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_xlfn.IFS(A1102&lt;=25,"Under 25",A1102&lt;=35,"26–35",A1102&lt;=45,"36–45",A1102&gt;45,"46+")</f>
        <v>26–35</v>
      </c>
      <c r="AK1102" t="str" cm="1">
        <f t="array" ref="AK1102">_xlfn.IFS(R1102&lt;=3000,"Low",R1102&lt;=7000,"Mid",R1102&lt;=12000,"High",R1102&gt;12000,"Top")</f>
        <v>Top</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_xlfn.IFS(A1103&lt;=25,"Under 25",A1103&lt;=35,"26–35",A1103&lt;=45,"36–45",A1103&gt;45,"46+")</f>
        <v>26–35</v>
      </c>
      <c r="AK1103" t="str" cm="1">
        <f t="array" ref="AK1103">_xlfn.IFS(R1103&lt;=3000,"Low",R1103&lt;=7000,"Mid",R1103&lt;=12000,"High",R1103&gt;12000,"Top")</f>
        <v>Top</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_xlfn.IFS(A1104&lt;=25,"Under 25",A1104&lt;=35,"26–35",A1104&lt;=45,"36–45",A1104&gt;45,"46+")</f>
        <v>36–45</v>
      </c>
      <c r="AK1104" t="str" cm="1">
        <f t="array" ref="AK1104">_xlfn.IFS(R1104&lt;=3000,"Low",R1104&lt;=7000,"Mid",R1104&lt;=12000,"High",R1104&gt;12000,"Top")</f>
        <v>Top</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_xlfn.IFS(A1105&lt;=25,"Under 25",A1105&lt;=35,"26–35",A1105&lt;=45,"36–45",A1105&gt;45,"46+")</f>
        <v>46+</v>
      </c>
      <c r="AK1105" t="str" cm="1">
        <f t="array" ref="AK1105">_xlfn.IFS(R1105&lt;=3000,"Low",R1105&lt;=7000,"Mid",R1105&lt;=12000,"High",R1105&gt;12000,"Top")</f>
        <v>Top</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_xlfn.IFS(A1106&lt;=25,"Under 25",A1106&lt;=35,"26–35",A1106&lt;=45,"36–45",A1106&gt;45,"46+")</f>
        <v>26–35</v>
      </c>
      <c r="AK1106" t="str" cm="1">
        <f t="array" ref="AK1106">_xlfn.IFS(R1106&lt;=3000,"Low",R1106&lt;=7000,"Mid",R1106&lt;=12000,"High",R1106&gt;12000,"Top")</f>
        <v>Top</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_xlfn.IFS(A1107&lt;=25,"Under 25",A1107&lt;=35,"26–35",A1107&lt;=45,"36–45",A1107&gt;45,"46+")</f>
        <v>26–35</v>
      </c>
      <c r="AK1107" t="str" cm="1">
        <f t="array" ref="AK1107">_xlfn.IFS(R1107&lt;=3000,"Low",R1107&lt;=7000,"Mid",R1107&lt;=12000,"High",R1107&gt;12000,"Top")</f>
        <v>Top</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_xlfn.IFS(A1108&lt;=25,"Under 25",A1108&lt;=35,"26–35",A1108&lt;=45,"36–45",A1108&gt;45,"46+")</f>
        <v>26–35</v>
      </c>
      <c r="AK1108" t="str" cm="1">
        <f t="array" ref="AK1108">_xlfn.IFS(R1108&lt;=3000,"Low",R1108&lt;=7000,"Mid",R1108&lt;=12000,"High",R1108&gt;12000,"Top")</f>
        <v>Top</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_xlfn.IFS(A1109&lt;=25,"Under 25",A1109&lt;=35,"26–35",A1109&lt;=45,"36–45",A1109&gt;45,"46+")</f>
        <v>36–45</v>
      </c>
      <c r="AK1109" t="str" cm="1">
        <f t="array" ref="AK1109">_xlfn.IFS(R1109&lt;=3000,"Low",R1109&lt;=7000,"Mid",R1109&lt;=12000,"High",R1109&gt;12000,"Top")</f>
        <v>Top</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_xlfn.IFS(A1110&lt;=25,"Under 25",A1110&lt;=35,"26–35",A1110&lt;=45,"36–45",A1110&gt;45,"46+")</f>
        <v>26–35</v>
      </c>
      <c r="AK1110" t="str" cm="1">
        <f t="array" ref="AK1110">_xlfn.IFS(R1110&lt;=3000,"Low",R1110&lt;=7000,"Mid",R1110&lt;=12000,"High",R1110&gt;12000,"Top")</f>
        <v>Top</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_xlfn.IFS(A1111&lt;=25,"Under 25",A1111&lt;=35,"26–35",A1111&lt;=45,"36–45",A1111&gt;45,"46+")</f>
        <v>26–35</v>
      </c>
      <c r="AK1111" t="str" cm="1">
        <f t="array" ref="AK1111">_xlfn.IFS(R1111&lt;=3000,"Low",R1111&lt;=7000,"Mid",R1111&lt;=12000,"High",R1111&gt;12000,"Top")</f>
        <v>Top</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_xlfn.IFS(A1112&lt;=25,"Under 25",A1112&lt;=35,"26–35",A1112&lt;=45,"36–45",A1112&gt;45,"46+")</f>
        <v>26–35</v>
      </c>
      <c r="AK1112" t="str" cm="1">
        <f t="array" ref="AK1112">_xlfn.IFS(R1112&lt;=3000,"Low",R1112&lt;=7000,"Mid",R1112&lt;=12000,"High",R1112&gt;12000,"Top")</f>
        <v>Top</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_xlfn.IFS(A1113&lt;=25,"Under 25",A1113&lt;=35,"26–35",A1113&lt;=45,"36–45",A1113&gt;45,"46+")</f>
        <v>46+</v>
      </c>
      <c r="AK1113" t="str" cm="1">
        <f t="array" ref="AK1113">_xlfn.IFS(R1113&lt;=3000,"Low",R1113&lt;=7000,"Mid",R1113&lt;=12000,"High",R1113&gt;12000,"Top")</f>
        <v>Top</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_xlfn.IFS(A1114&lt;=25,"Under 25",A1114&lt;=35,"26–35",A1114&lt;=45,"36–45",A1114&gt;45,"46+")</f>
        <v>36–45</v>
      </c>
      <c r="AK1114" t="str" cm="1">
        <f t="array" ref="AK1114">_xlfn.IFS(R1114&lt;=3000,"Low",R1114&lt;=7000,"Mid",R1114&lt;=12000,"High",R1114&gt;12000,"Top")</f>
        <v>Top</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_xlfn.IFS(A1115&lt;=25,"Under 25",A1115&lt;=35,"26–35",A1115&lt;=45,"36–45",A1115&gt;45,"46+")</f>
        <v>26–35</v>
      </c>
      <c r="AK1115" t="str" cm="1">
        <f t="array" ref="AK1115">_xlfn.IFS(R1115&lt;=3000,"Low",R1115&lt;=7000,"Mid",R1115&lt;=12000,"High",R1115&gt;12000,"Top")</f>
        <v>Top</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_xlfn.IFS(A1116&lt;=25,"Under 25",A1116&lt;=35,"26–35",A1116&lt;=45,"36–45",A1116&gt;45,"46+")</f>
        <v>46+</v>
      </c>
      <c r="AK1116" t="str" cm="1">
        <f t="array" ref="AK1116">_xlfn.IFS(R1116&lt;=3000,"Low",R1116&lt;=7000,"Mid",R1116&lt;=12000,"High",R1116&gt;12000,"Top")</f>
        <v>Top</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_xlfn.IFS(A1117&lt;=25,"Under 25",A1117&lt;=35,"26–35",A1117&lt;=45,"36–45",A1117&gt;45,"46+")</f>
        <v>26–35</v>
      </c>
      <c r="AK1117" t="str" cm="1">
        <f t="array" ref="AK1117">_xlfn.IFS(R1117&lt;=3000,"Low",R1117&lt;=7000,"Mid",R1117&lt;=12000,"High",R1117&gt;12000,"Top")</f>
        <v>Top</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_xlfn.IFS(A1118&lt;=25,"Under 25",A1118&lt;=35,"26–35",A1118&lt;=45,"36–45",A1118&gt;45,"46+")</f>
        <v>46+</v>
      </c>
      <c r="AK1118" t="str" cm="1">
        <f t="array" ref="AK1118">_xlfn.IFS(R1118&lt;=3000,"Low",R1118&lt;=7000,"Mid",R1118&lt;=12000,"High",R1118&gt;12000,"Top")</f>
        <v>Top</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_xlfn.IFS(A1119&lt;=25,"Under 25",A1119&lt;=35,"26–35",A1119&lt;=45,"36–45",A1119&gt;45,"46+")</f>
        <v>26–35</v>
      </c>
      <c r="AK1119" t="str" cm="1">
        <f t="array" ref="AK1119">_xlfn.IFS(R1119&lt;=3000,"Low",R1119&lt;=7000,"Mid",R1119&lt;=12000,"High",R1119&gt;12000,"Top")</f>
        <v>Top</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_xlfn.IFS(A1120&lt;=25,"Under 25",A1120&lt;=35,"26–35",A1120&lt;=45,"36–45",A1120&gt;45,"46+")</f>
        <v>26–35</v>
      </c>
      <c r="AK1120" t="str" cm="1">
        <f t="array" ref="AK1120">_xlfn.IFS(R1120&lt;=3000,"Low",R1120&lt;=7000,"Mid",R1120&lt;=12000,"High",R1120&gt;12000,"Top")</f>
        <v>Top</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_xlfn.IFS(A1121&lt;=25,"Under 25",A1121&lt;=35,"26–35",A1121&lt;=45,"36–45",A1121&gt;45,"46+")</f>
        <v>36–45</v>
      </c>
      <c r="AK1121" t="str" cm="1">
        <f t="array" ref="AK1121">_xlfn.IFS(R1121&lt;=3000,"Low",R1121&lt;=7000,"Mid",R1121&lt;=12000,"High",R1121&gt;12000,"Top")</f>
        <v>Top</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_xlfn.IFS(A1122&lt;=25,"Under 25",A1122&lt;=35,"26–35",A1122&lt;=45,"36–45",A1122&gt;45,"46+")</f>
        <v>36–45</v>
      </c>
      <c r="AK1122" t="str" cm="1">
        <f t="array" ref="AK1122">_xlfn.IFS(R1122&lt;=3000,"Low",R1122&lt;=7000,"Mid",R1122&lt;=12000,"High",R1122&gt;12000,"Top")</f>
        <v>Top</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_xlfn.IFS(A1123&lt;=25,"Under 25",A1123&lt;=35,"26–35",A1123&lt;=45,"36–45",A1123&gt;45,"46+")</f>
        <v>36–45</v>
      </c>
      <c r="AK1123" t="str" cm="1">
        <f t="array" ref="AK1123">_xlfn.IFS(R1123&lt;=3000,"Low",R1123&lt;=7000,"Mid",R1123&lt;=12000,"High",R1123&gt;12000,"Top")</f>
        <v>Top</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_xlfn.IFS(A1124&lt;=25,"Under 25",A1124&lt;=35,"26–35",A1124&lt;=45,"36–45",A1124&gt;45,"46+")</f>
        <v>26–35</v>
      </c>
      <c r="AK1124" t="str" cm="1">
        <f t="array" ref="AK1124">_xlfn.IFS(R1124&lt;=3000,"Low",R1124&lt;=7000,"Mid",R1124&lt;=12000,"High",R1124&gt;12000,"Top")</f>
        <v>Top</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_xlfn.IFS(A1125&lt;=25,"Under 25",A1125&lt;=35,"26–35",A1125&lt;=45,"36–45",A1125&gt;45,"46+")</f>
        <v>26–35</v>
      </c>
      <c r="AK1125" t="str" cm="1">
        <f t="array" ref="AK1125">_xlfn.IFS(R1125&lt;=3000,"Low",R1125&lt;=7000,"Mid",R1125&lt;=12000,"High",R1125&gt;12000,"Top")</f>
        <v>Top</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_xlfn.IFS(A1126&lt;=25,"Under 25",A1126&lt;=35,"26–35",A1126&lt;=45,"36–45",A1126&gt;45,"46+")</f>
        <v>36–45</v>
      </c>
      <c r="AK1126" t="str" cm="1">
        <f t="array" ref="AK1126">_xlfn.IFS(R1126&lt;=3000,"Low",R1126&lt;=7000,"Mid",R1126&lt;=12000,"High",R1126&gt;12000,"Top")</f>
        <v>Top</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_xlfn.IFS(A1127&lt;=25,"Under 25",A1127&lt;=35,"26–35",A1127&lt;=45,"36–45",A1127&gt;45,"46+")</f>
        <v>26–35</v>
      </c>
      <c r="AK1127" t="str" cm="1">
        <f t="array" ref="AK1127">_xlfn.IFS(R1127&lt;=3000,"Low",R1127&lt;=7000,"Mid",R1127&lt;=12000,"High",R1127&gt;12000,"Top")</f>
        <v>Top</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_xlfn.IFS(A1128&lt;=25,"Under 25",A1128&lt;=35,"26–35",A1128&lt;=45,"36–45",A1128&gt;45,"46+")</f>
        <v>46+</v>
      </c>
      <c r="AK1128" t="str" cm="1">
        <f t="array" ref="AK1128">_xlfn.IFS(R1128&lt;=3000,"Low",R1128&lt;=7000,"Mid",R1128&lt;=12000,"High",R1128&gt;12000,"Top")</f>
        <v>Top</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_xlfn.IFS(A1129&lt;=25,"Under 25",A1129&lt;=35,"26–35",A1129&lt;=45,"36–45",A1129&gt;45,"46+")</f>
        <v>Under 25</v>
      </c>
      <c r="AK1129" t="str" cm="1">
        <f t="array" ref="AK1129">_xlfn.IFS(R1129&lt;=3000,"Low",R1129&lt;=7000,"Mid",R1129&lt;=12000,"High",R1129&gt;12000,"Top")</f>
        <v>Top</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_xlfn.IFS(A1130&lt;=25,"Under 25",A1130&lt;=35,"26–35",A1130&lt;=45,"36–45",A1130&gt;45,"46+")</f>
        <v>36–45</v>
      </c>
      <c r="AK1130" t="str" cm="1">
        <f t="array" ref="AK1130">_xlfn.IFS(R1130&lt;=3000,"Low",R1130&lt;=7000,"Mid",R1130&lt;=12000,"High",R1130&gt;12000,"Top")</f>
        <v>Top</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_xlfn.IFS(A1131&lt;=25,"Under 25",A1131&lt;=35,"26–35",A1131&lt;=45,"36–45",A1131&gt;45,"46+")</f>
        <v>36–45</v>
      </c>
      <c r="AK1131" t="str" cm="1">
        <f t="array" ref="AK1131">_xlfn.IFS(R1131&lt;=3000,"Low",R1131&lt;=7000,"Mid",R1131&lt;=12000,"High",R1131&gt;12000,"Top")</f>
        <v>Top</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_xlfn.IFS(A1132&lt;=25,"Under 25",A1132&lt;=35,"26–35",A1132&lt;=45,"36–45",A1132&gt;45,"46+")</f>
        <v>26–35</v>
      </c>
      <c r="AK1132" t="str" cm="1">
        <f t="array" ref="AK1132">_xlfn.IFS(R1132&lt;=3000,"Low",R1132&lt;=7000,"Mid",R1132&lt;=12000,"High",R1132&gt;12000,"Top")</f>
        <v>Top</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_xlfn.IFS(A1133&lt;=25,"Under 25",A1133&lt;=35,"26–35",A1133&lt;=45,"36–45",A1133&gt;45,"46+")</f>
        <v>26–35</v>
      </c>
      <c r="AK1133" t="str" cm="1">
        <f t="array" ref="AK1133">_xlfn.IFS(R1133&lt;=3000,"Low",R1133&lt;=7000,"Mid",R1133&lt;=12000,"High",R1133&gt;12000,"Top")</f>
        <v>Top</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_xlfn.IFS(A1134&lt;=25,"Under 25",A1134&lt;=35,"26–35",A1134&lt;=45,"36–45",A1134&gt;45,"46+")</f>
        <v>36–45</v>
      </c>
      <c r="AK1134" t="str" cm="1">
        <f t="array" ref="AK1134">_xlfn.IFS(R1134&lt;=3000,"Low",R1134&lt;=7000,"Mid",R1134&lt;=12000,"High",R1134&gt;12000,"Top")</f>
        <v>Top</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_xlfn.IFS(A1135&lt;=25,"Under 25",A1135&lt;=35,"26–35",A1135&lt;=45,"36–45",A1135&gt;45,"46+")</f>
        <v>36–45</v>
      </c>
      <c r="AK1135" t="str" cm="1">
        <f t="array" ref="AK1135">_xlfn.IFS(R1135&lt;=3000,"Low",R1135&lt;=7000,"Mid",R1135&lt;=12000,"High",R1135&gt;12000,"Top")</f>
        <v>Top</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_xlfn.IFS(A1136&lt;=25,"Under 25",A1136&lt;=35,"26–35",A1136&lt;=45,"36–45",A1136&gt;45,"46+")</f>
        <v>26–35</v>
      </c>
      <c r="AK1136" t="str" cm="1">
        <f t="array" ref="AK1136">_xlfn.IFS(R1136&lt;=3000,"Low",R1136&lt;=7000,"Mid",R1136&lt;=12000,"High",R1136&gt;12000,"Top")</f>
        <v>Top</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_xlfn.IFS(A1137&lt;=25,"Under 25",A1137&lt;=35,"26–35",A1137&lt;=45,"36–45",A1137&gt;45,"46+")</f>
        <v>46+</v>
      </c>
      <c r="AK1137" t="str" cm="1">
        <f t="array" ref="AK1137">_xlfn.IFS(R1137&lt;=3000,"Low",R1137&lt;=7000,"Mid",R1137&lt;=12000,"High",R1137&gt;12000,"Top")</f>
        <v>Top</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_xlfn.IFS(A1138&lt;=25,"Under 25",A1138&lt;=35,"26–35",A1138&lt;=45,"36–45",A1138&gt;45,"46+")</f>
        <v>26–35</v>
      </c>
      <c r="AK1138" t="str" cm="1">
        <f t="array" ref="AK1138">_xlfn.IFS(R1138&lt;=3000,"Low",R1138&lt;=7000,"Mid",R1138&lt;=12000,"High",R1138&gt;12000,"Top")</f>
        <v>Top</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_xlfn.IFS(A1139&lt;=25,"Under 25",A1139&lt;=35,"26–35",A1139&lt;=45,"36–45",A1139&gt;45,"46+")</f>
        <v>Under 25</v>
      </c>
      <c r="AK1139" t="str" cm="1">
        <f t="array" ref="AK1139">_xlfn.IFS(R1139&lt;=3000,"Low",R1139&lt;=7000,"Mid",R1139&lt;=12000,"High",R1139&gt;12000,"Top")</f>
        <v>Top</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_xlfn.IFS(A1140&lt;=25,"Under 25",A1140&lt;=35,"26–35",A1140&lt;=45,"36–45",A1140&gt;45,"46+")</f>
        <v>46+</v>
      </c>
      <c r="AK1140" t="str" cm="1">
        <f t="array" ref="AK1140">_xlfn.IFS(R1140&lt;=3000,"Low",R1140&lt;=7000,"Mid",R1140&lt;=12000,"High",R1140&gt;12000,"Top")</f>
        <v>Top</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_xlfn.IFS(A1141&lt;=25,"Under 25",A1141&lt;=35,"26–35",A1141&lt;=45,"36–45",A1141&gt;45,"46+")</f>
        <v>26–35</v>
      </c>
      <c r="AK1141" t="str" cm="1">
        <f t="array" ref="AK1141">_xlfn.IFS(R1141&lt;=3000,"Low",R1141&lt;=7000,"Mid",R1141&lt;=12000,"High",R1141&gt;12000,"Top")</f>
        <v>Top</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_xlfn.IFS(A1142&lt;=25,"Under 25",A1142&lt;=35,"26–35",A1142&lt;=45,"36–45",A1142&gt;45,"46+")</f>
        <v>36–45</v>
      </c>
      <c r="AK1142" t="str" cm="1">
        <f t="array" ref="AK1142">_xlfn.IFS(R1142&lt;=3000,"Low",R1142&lt;=7000,"Mid",R1142&lt;=12000,"High",R1142&gt;12000,"Top")</f>
        <v>Top</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_xlfn.IFS(A1143&lt;=25,"Under 25",A1143&lt;=35,"26–35",A1143&lt;=45,"36–45",A1143&gt;45,"46+")</f>
        <v>26–35</v>
      </c>
      <c r="AK1143" t="str" cm="1">
        <f t="array" ref="AK1143">_xlfn.IFS(R1143&lt;=3000,"Low",R1143&lt;=7000,"Mid",R1143&lt;=12000,"High",R1143&gt;12000,"Top")</f>
        <v>Top</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_xlfn.IFS(A1144&lt;=25,"Under 25",A1144&lt;=35,"26–35",A1144&lt;=45,"36–45",A1144&gt;45,"46+")</f>
        <v>36–45</v>
      </c>
      <c r="AK1144" t="str" cm="1">
        <f t="array" ref="AK1144">_xlfn.IFS(R1144&lt;=3000,"Low",R1144&lt;=7000,"Mid",R1144&lt;=12000,"High",R1144&gt;12000,"Top")</f>
        <v>Top</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_xlfn.IFS(A1145&lt;=25,"Under 25",A1145&lt;=35,"26–35",A1145&lt;=45,"36–45",A1145&gt;45,"46+")</f>
        <v>36–45</v>
      </c>
      <c r="AK1145" t="str" cm="1">
        <f t="array" ref="AK1145">_xlfn.IFS(R1145&lt;=3000,"Low",R1145&lt;=7000,"Mid",R1145&lt;=12000,"High",R1145&gt;12000,"Top")</f>
        <v>Top</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_xlfn.IFS(A1146&lt;=25,"Under 25",A1146&lt;=35,"26–35",A1146&lt;=45,"36–45",A1146&gt;45,"46+")</f>
        <v>26–35</v>
      </c>
      <c r="AK1146" t="str" cm="1">
        <f t="array" ref="AK1146">_xlfn.IFS(R1146&lt;=3000,"Low",R1146&lt;=7000,"Mid",R1146&lt;=12000,"High",R1146&gt;12000,"Top")</f>
        <v>Top</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_xlfn.IFS(A1147&lt;=25,"Under 25",A1147&lt;=35,"26–35",A1147&lt;=45,"36–45",A1147&gt;45,"46+")</f>
        <v>36–45</v>
      </c>
      <c r="AK1147" t="str" cm="1">
        <f t="array" ref="AK1147">_xlfn.IFS(R1147&lt;=3000,"Low",R1147&lt;=7000,"Mid",R1147&lt;=12000,"High",R1147&gt;12000,"Top")</f>
        <v>Top</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_xlfn.IFS(A1148&lt;=25,"Under 25",A1148&lt;=35,"26–35",A1148&lt;=45,"36–45",A1148&gt;45,"46+")</f>
        <v>26–35</v>
      </c>
      <c r="AK1148" t="str" cm="1">
        <f t="array" ref="AK1148">_xlfn.IFS(R1148&lt;=3000,"Low",R1148&lt;=7000,"Mid",R1148&lt;=12000,"High",R1148&gt;12000,"Top")</f>
        <v>Top</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_xlfn.IFS(A1149&lt;=25,"Under 25",A1149&lt;=35,"26–35",A1149&lt;=45,"36–45",A1149&gt;45,"46+")</f>
        <v>46+</v>
      </c>
      <c r="AK1149" t="str" cm="1">
        <f t="array" ref="AK1149">_xlfn.IFS(R1149&lt;=3000,"Low",R1149&lt;=7000,"Mid",R1149&lt;=12000,"High",R1149&gt;12000,"Top")</f>
        <v>Top</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_xlfn.IFS(A1150&lt;=25,"Under 25",A1150&lt;=35,"26–35",A1150&lt;=45,"36–45",A1150&gt;45,"46+")</f>
        <v>36–45</v>
      </c>
      <c r="AK1150" t="str" cm="1">
        <f t="array" ref="AK1150">_xlfn.IFS(R1150&lt;=3000,"Low",R1150&lt;=7000,"Mid",R1150&lt;=12000,"High",R1150&gt;12000,"Top")</f>
        <v>Top</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_xlfn.IFS(A1151&lt;=25,"Under 25",A1151&lt;=35,"26–35",A1151&lt;=45,"36–45",A1151&gt;45,"46+")</f>
        <v>26–35</v>
      </c>
      <c r="AK1151" t="str" cm="1">
        <f t="array" ref="AK1151">_xlfn.IFS(R1151&lt;=3000,"Low",R1151&lt;=7000,"Mid",R1151&lt;=12000,"High",R1151&gt;12000,"Top")</f>
        <v>Top</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_xlfn.IFS(A1152&lt;=25,"Under 25",A1152&lt;=35,"26–35",A1152&lt;=45,"36–45",A1152&gt;45,"46+")</f>
        <v>26–35</v>
      </c>
      <c r="AK1152" t="str" cm="1">
        <f t="array" ref="AK1152">_xlfn.IFS(R1152&lt;=3000,"Low",R1152&lt;=7000,"Mid",R1152&lt;=12000,"High",R1152&gt;12000,"Top")</f>
        <v>Top</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_xlfn.IFS(A1153&lt;=25,"Under 25",A1153&lt;=35,"26–35",A1153&lt;=45,"36–45",A1153&gt;45,"46+")</f>
        <v>26–35</v>
      </c>
      <c r="AK1153" t="str" cm="1">
        <f t="array" ref="AK1153">_xlfn.IFS(R1153&lt;=3000,"Low",R1153&lt;=7000,"Mid",R1153&lt;=12000,"High",R1153&gt;12000,"Top")</f>
        <v>Top</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_xlfn.IFS(A1154&lt;=25,"Under 25",A1154&lt;=35,"26–35",A1154&lt;=45,"36–45",A1154&gt;45,"46+")</f>
        <v>Under 25</v>
      </c>
      <c r="AK1154" t="str" cm="1">
        <f t="array" ref="AK1154">_xlfn.IFS(R1154&lt;=3000,"Low",R1154&lt;=7000,"Mid",R1154&lt;=12000,"High",R1154&gt;12000,"Top")</f>
        <v>Top</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_xlfn.IFS(A1155&lt;=25,"Under 25",A1155&lt;=35,"26–35",A1155&lt;=45,"36–45",A1155&gt;45,"46+")</f>
        <v>Under 25</v>
      </c>
      <c r="AK1155" t="str" cm="1">
        <f t="array" ref="AK1155">_xlfn.IFS(R1155&lt;=3000,"Low",R1155&lt;=7000,"Mid",R1155&lt;=12000,"High",R1155&gt;12000,"Top")</f>
        <v>Top</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_xlfn.IFS(A1156&lt;=25,"Under 25",A1156&lt;=35,"26–35",A1156&lt;=45,"36–45",A1156&gt;45,"46+")</f>
        <v>46+</v>
      </c>
      <c r="AK1156" t="str" cm="1">
        <f t="array" ref="AK1156">_xlfn.IFS(R1156&lt;=3000,"Low",R1156&lt;=7000,"Mid",R1156&lt;=12000,"High",R1156&gt;12000,"Top")</f>
        <v>Top</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_xlfn.IFS(A1157&lt;=25,"Under 25",A1157&lt;=35,"26–35",A1157&lt;=45,"36–45",A1157&gt;45,"46+")</f>
        <v>36–45</v>
      </c>
      <c r="AK1157" t="str" cm="1">
        <f t="array" ref="AK1157">_xlfn.IFS(R1157&lt;=3000,"Low",R1157&lt;=7000,"Mid",R1157&lt;=12000,"High",R1157&gt;12000,"Top")</f>
        <v>Top</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_xlfn.IFS(A1158&lt;=25,"Under 25",A1158&lt;=35,"26–35",A1158&lt;=45,"36–45",A1158&gt;45,"46+")</f>
        <v>36–45</v>
      </c>
      <c r="AK1158" t="str" cm="1">
        <f t="array" ref="AK1158">_xlfn.IFS(R1158&lt;=3000,"Low",R1158&lt;=7000,"Mid",R1158&lt;=12000,"High",R1158&gt;12000,"Top")</f>
        <v>Top</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_xlfn.IFS(A1159&lt;=25,"Under 25",A1159&lt;=35,"26–35",A1159&lt;=45,"36–45",A1159&gt;45,"46+")</f>
        <v>26–35</v>
      </c>
      <c r="AK1159" t="str" cm="1">
        <f t="array" ref="AK1159">_xlfn.IFS(R1159&lt;=3000,"Low",R1159&lt;=7000,"Mid",R1159&lt;=12000,"High",R1159&gt;12000,"Top")</f>
        <v>Top</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_xlfn.IFS(A1160&lt;=25,"Under 25",A1160&lt;=35,"26–35",A1160&lt;=45,"36–45",A1160&gt;45,"46+")</f>
        <v>36–45</v>
      </c>
      <c r="AK1160" t="str" cm="1">
        <f t="array" ref="AK1160">_xlfn.IFS(R1160&lt;=3000,"Low",R1160&lt;=7000,"Mid",R1160&lt;=12000,"High",R1160&gt;12000,"Top")</f>
        <v>Top</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_xlfn.IFS(A1161&lt;=25,"Under 25",A1161&lt;=35,"26–35",A1161&lt;=45,"36–45",A1161&gt;45,"46+")</f>
        <v>36–45</v>
      </c>
      <c r="AK1161" t="str" cm="1">
        <f t="array" ref="AK1161">_xlfn.IFS(R1161&lt;=3000,"Low",R1161&lt;=7000,"Mid",R1161&lt;=12000,"High",R1161&gt;12000,"Top")</f>
        <v>Top</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_xlfn.IFS(A1162&lt;=25,"Under 25",A1162&lt;=35,"26–35",A1162&lt;=45,"36–45",A1162&gt;45,"46+")</f>
        <v>36–45</v>
      </c>
      <c r="AK1162" t="str" cm="1">
        <f t="array" ref="AK1162">_xlfn.IFS(R1162&lt;=3000,"Low",R1162&lt;=7000,"Mid",R1162&lt;=12000,"High",R1162&gt;12000,"Top")</f>
        <v>Top</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_xlfn.IFS(A1163&lt;=25,"Under 25",A1163&lt;=35,"26–35",A1163&lt;=45,"36–45",A1163&gt;45,"46+")</f>
        <v>36–45</v>
      </c>
      <c r="AK1163" t="str" cm="1">
        <f t="array" ref="AK1163">_xlfn.IFS(R1163&lt;=3000,"Low",R1163&lt;=7000,"Mid",R1163&lt;=12000,"High",R1163&gt;12000,"Top")</f>
        <v>Top</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_xlfn.IFS(A1164&lt;=25,"Under 25",A1164&lt;=35,"26–35",A1164&lt;=45,"36–45",A1164&gt;45,"46+")</f>
        <v>26–35</v>
      </c>
      <c r="AK1164" t="str" cm="1">
        <f t="array" ref="AK1164">_xlfn.IFS(R1164&lt;=3000,"Low",R1164&lt;=7000,"Mid",R1164&lt;=12000,"High",R1164&gt;12000,"Top")</f>
        <v>Top</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_xlfn.IFS(A1165&lt;=25,"Under 25",A1165&lt;=35,"26–35",A1165&lt;=45,"36–45",A1165&gt;45,"46+")</f>
        <v>36–45</v>
      </c>
      <c r="AK1165" t="str" cm="1">
        <f t="array" ref="AK1165">_xlfn.IFS(R1165&lt;=3000,"Low",R1165&lt;=7000,"Mid",R1165&lt;=12000,"High",R1165&gt;12000,"Top")</f>
        <v>Top</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_xlfn.IFS(A1166&lt;=25,"Under 25",A1166&lt;=35,"26–35",A1166&lt;=45,"36–45",A1166&gt;45,"46+")</f>
        <v>36–45</v>
      </c>
      <c r="AK1166" t="str" cm="1">
        <f t="array" ref="AK1166">_xlfn.IFS(R1166&lt;=3000,"Low",R1166&lt;=7000,"Mid",R1166&lt;=12000,"High",R1166&gt;12000,"Top")</f>
        <v>Top</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_xlfn.IFS(A1167&lt;=25,"Under 25",A1167&lt;=35,"26–35",A1167&lt;=45,"36–45",A1167&gt;45,"46+")</f>
        <v>36–45</v>
      </c>
      <c r="AK1167" t="str" cm="1">
        <f t="array" ref="AK1167">_xlfn.IFS(R1167&lt;=3000,"Low",R1167&lt;=7000,"Mid",R1167&lt;=12000,"High",R1167&gt;12000,"Top")</f>
        <v>Top</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_xlfn.IFS(A1168&lt;=25,"Under 25",A1168&lt;=35,"26–35",A1168&lt;=45,"36–45",A1168&gt;45,"46+")</f>
        <v>46+</v>
      </c>
      <c r="AK1168" t="str" cm="1">
        <f t="array" ref="AK1168">_xlfn.IFS(R1168&lt;=3000,"Low",R1168&lt;=7000,"Mid",R1168&lt;=12000,"High",R1168&gt;12000,"Top")</f>
        <v>Top</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_xlfn.IFS(A1169&lt;=25,"Under 25",A1169&lt;=35,"26–35",A1169&lt;=45,"36–45",A1169&gt;45,"46+")</f>
        <v>26–35</v>
      </c>
      <c r="AK1169" t="str" cm="1">
        <f t="array" ref="AK1169">_xlfn.IFS(R1169&lt;=3000,"Low",R1169&lt;=7000,"Mid",R1169&lt;=12000,"High",R1169&gt;12000,"Top")</f>
        <v>Top</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_xlfn.IFS(A1170&lt;=25,"Under 25",A1170&lt;=35,"26–35",A1170&lt;=45,"36–45",A1170&gt;45,"46+")</f>
        <v>Under 25</v>
      </c>
      <c r="AK1170" t="str" cm="1">
        <f t="array" ref="AK1170">_xlfn.IFS(R1170&lt;=3000,"Low",R1170&lt;=7000,"Mid",R1170&lt;=12000,"High",R1170&gt;12000,"Top")</f>
        <v>Top</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_xlfn.IFS(A1171&lt;=25,"Under 25",A1171&lt;=35,"26–35",A1171&lt;=45,"36–45",A1171&gt;45,"46+")</f>
        <v>26–35</v>
      </c>
      <c r="AK1171" t="str" cm="1">
        <f t="array" ref="AK1171">_xlfn.IFS(R1171&lt;=3000,"Low",R1171&lt;=7000,"Mid",R1171&lt;=12000,"High",R1171&gt;12000,"Top")</f>
        <v>Top</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_xlfn.IFS(A1172&lt;=25,"Under 25",A1172&lt;=35,"26–35",A1172&lt;=45,"36–45",A1172&gt;45,"46+")</f>
        <v>26–35</v>
      </c>
      <c r="AK1172" t="str" cm="1">
        <f t="array" ref="AK1172">_xlfn.IFS(R1172&lt;=3000,"Low",R1172&lt;=7000,"Mid",R1172&lt;=12000,"High",R1172&gt;12000,"Top")</f>
        <v>Top</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_xlfn.IFS(A1173&lt;=25,"Under 25",A1173&lt;=35,"26–35",A1173&lt;=45,"36–45",A1173&gt;45,"46+")</f>
        <v>36–45</v>
      </c>
      <c r="AK1173" t="str" cm="1">
        <f t="array" ref="AK1173">_xlfn.IFS(R1173&lt;=3000,"Low",R1173&lt;=7000,"Mid",R1173&lt;=12000,"High",R1173&gt;12000,"Top")</f>
        <v>Top</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_xlfn.IFS(A1174&lt;=25,"Under 25",A1174&lt;=35,"26–35",A1174&lt;=45,"36–45",A1174&gt;45,"46+")</f>
        <v>26–35</v>
      </c>
      <c r="AK1174" t="str" cm="1">
        <f t="array" ref="AK1174">_xlfn.IFS(R1174&lt;=3000,"Low",R1174&lt;=7000,"Mid",R1174&lt;=12000,"High",R1174&gt;12000,"Top")</f>
        <v>Top</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_xlfn.IFS(A1175&lt;=25,"Under 25",A1175&lt;=35,"26–35",A1175&lt;=45,"36–45",A1175&gt;45,"46+")</f>
        <v>36–45</v>
      </c>
      <c r="AK1175" t="str" cm="1">
        <f t="array" ref="AK1175">_xlfn.IFS(R1175&lt;=3000,"Low",R1175&lt;=7000,"Mid",R1175&lt;=12000,"High",R1175&gt;12000,"Top")</f>
        <v>Top</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_xlfn.IFS(A1176&lt;=25,"Under 25",A1176&lt;=35,"26–35",A1176&lt;=45,"36–45",A1176&gt;45,"46+")</f>
        <v>Under 25</v>
      </c>
      <c r="AK1176" t="str" cm="1">
        <f t="array" ref="AK1176">_xlfn.IFS(R1176&lt;=3000,"Low",R1176&lt;=7000,"Mid",R1176&lt;=12000,"High",R1176&gt;12000,"Top")</f>
        <v>Top</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_xlfn.IFS(A1177&lt;=25,"Under 25",A1177&lt;=35,"26–35",A1177&lt;=45,"36–45",A1177&gt;45,"46+")</f>
        <v>36–45</v>
      </c>
      <c r="AK1177" t="str" cm="1">
        <f t="array" ref="AK1177">_xlfn.IFS(R1177&lt;=3000,"Low",R1177&lt;=7000,"Mid",R1177&lt;=12000,"High",R1177&gt;12000,"Top")</f>
        <v>Top</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_xlfn.IFS(A1178&lt;=25,"Under 25",A1178&lt;=35,"26–35",A1178&lt;=45,"36–45",A1178&gt;45,"46+")</f>
        <v>46+</v>
      </c>
      <c r="AK1178" t="str" cm="1">
        <f t="array" ref="AK1178">_xlfn.IFS(R1178&lt;=3000,"Low",R1178&lt;=7000,"Mid",R1178&lt;=12000,"High",R1178&gt;12000,"Top")</f>
        <v>Top</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_xlfn.IFS(A1179&lt;=25,"Under 25",A1179&lt;=35,"26–35",A1179&lt;=45,"36–45",A1179&gt;45,"46+")</f>
        <v>46+</v>
      </c>
      <c r="AK1179" t="str" cm="1">
        <f t="array" ref="AK1179">_xlfn.IFS(R1179&lt;=3000,"Low",R1179&lt;=7000,"Mid",R1179&lt;=12000,"High",R1179&gt;12000,"Top")</f>
        <v>Top</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_xlfn.IFS(A1180&lt;=25,"Under 25",A1180&lt;=35,"26–35",A1180&lt;=45,"36–45",A1180&gt;45,"46+")</f>
        <v>Under 25</v>
      </c>
      <c r="AK1180" t="str" cm="1">
        <f t="array" ref="AK1180">_xlfn.IFS(R1180&lt;=3000,"Low",R1180&lt;=7000,"Mid",R1180&lt;=12000,"High",R1180&gt;12000,"Top")</f>
        <v>Top</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_xlfn.IFS(A1181&lt;=25,"Under 25",A1181&lt;=35,"26–35",A1181&lt;=45,"36–45",A1181&gt;45,"46+")</f>
        <v>26–35</v>
      </c>
      <c r="AK1181" t="str" cm="1">
        <f t="array" ref="AK1181">_xlfn.IFS(R1181&lt;=3000,"Low",R1181&lt;=7000,"Mid",R1181&lt;=12000,"High",R1181&gt;12000,"Top")</f>
        <v>Top</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_xlfn.IFS(A1182&lt;=25,"Under 25",A1182&lt;=35,"26–35",A1182&lt;=45,"36–45",A1182&gt;45,"46+")</f>
        <v>36–45</v>
      </c>
      <c r="AK1182" t="str" cm="1">
        <f t="array" ref="AK1182">_xlfn.IFS(R1182&lt;=3000,"Low",R1182&lt;=7000,"Mid",R1182&lt;=12000,"High",R1182&gt;12000,"Top")</f>
        <v>Top</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_xlfn.IFS(A1183&lt;=25,"Under 25",A1183&lt;=35,"26–35",A1183&lt;=45,"36–45",A1183&gt;45,"46+")</f>
        <v>46+</v>
      </c>
      <c r="AK1183" t="str" cm="1">
        <f t="array" ref="AK1183">_xlfn.IFS(R1183&lt;=3000,"Low",R1183&lt;=7000,"Mid",R1183&lt;=12000,"High",R1183&gt;12000,"Top")</f>
        <v>Top</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_xlfn.IFS(A1184&lt;=25,"Under 25",A1184&lt;=35,"26–35",A1184&lt;=45,"36–45",A1184&gt;45,"46+")</f>
        <v>36–45</v>
      </c>
      <c r="AK1184" t="str" cm="1">
        <f t="array" ref="AK1184">_xlfn.IFS(R1184&lt;=3000,"Low",R1184&lt;=7000,"Mid",R1184&lt;=12000,"High",R1184&gt;12000,"Top")</f>
        <v>Top</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_xlfn.IFS(A1185&lt;=25,"Under 25",A1185&lt;=35,"26–35",A1185&lt;=45,"36–45",A1185&gt;45,"46+")</f>
        <v>36–45</v>
      </c>
      <c r="AK1185" t="str" cm="1">
        <f t="array" ref="AK1185">_xlfn.IFS(R1185&lt;=3000,"Low",R1185&lt;=7000,"Mid",R1185&lt;=12000,"High",R1185&gt;12000,"Top")</f>
        <v>Top</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_xlfn.IFS(A1186&lt;=25,"Under 25",A1186&lt;=35,"26–35",A1186&lt;=45,"36–45",A1186&gt;45,"46+")</f>
        <v>46+</v>
      </c>
      <c r="AK1186" t="str" cm="1">
        <f t="array" ref="AK1186">_xlfn.IFS(R1186&lt;=3000,"Low",R1186&lt;=7000,"Mid",R1186&lt;=12000,"High",R1186&gt;12000,"Top")</f>
        <v>Top</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_xlfn.IFS(A1187&lt;=25,"Under 25",A1187&lt;=35,"26–35",A1187&lt;=45,"36–45",A1187&gt;45,"46+")</f>
        <v>36–45</v>
      </c>
      <c r="AK1187" t="str" cm="1">
        <f t="array" ref="AK1187">_xlfn.IFS(R1187&lt;=3000,"Low",R1187&lt;=7000,"Mid",R1187&lt;=12000,"High",R1187&gt;12000,"Top")</f>
        <v>Top</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_xlfn.IFS(A1188&lt;=25,"Under 25",A1188&lt;=35,"26–35",A1188&lt;=45,"36–45",A1188&gt;45,"46+")</f>
        <v>26–35</v>
      </c>
      <c r="AK1188" t="str" cm="1">
        <f t="array" ref="AK1188">_xlfn.IFS(R1188&lt;=3000,"Low",R1188&lt;=7000,"Mid",R1188&lt;=12000,"High",R1188&gt;12000,"Top")</f>
        <v>Top</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_xlfn.IFS(A1189&lt;=25,"Under 25",A1189&lt;=35,"26–35",A1189&lt;=45,"36–45",A1189&gt;45,"46+")</f>
        <v>36–45</v>
      </c>
      <c r="AK1189" t="str" cm="1">
        <f t="array" ref="AK1189">_xlfn.IFS(R1189&lt;=3000,"Low",R1189&lt;=7000,"Mid",R1189&lt;=12000,"High",R1189&gt;12000,"Top")</f>
        <v>Top</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_xlfn.IFS(A1190&lt;=25,"Under 25",A1190&lt;=35,"26–35",A1190&lt;=45,"36–45",A1190&gt;45,"46+")</f>
        <v>26–35</v>
      </c>
      <c r="AK1190" t="str" cm="1">
        <f t="array" ref="AK1190">_xlfn.IFS(R1190&lt;=3000,"Low",R1190&lt;=7000,"Mid",R1190&lt;=12000,"High",R1190&gt;12000,"Top")</f>
        <v>Top</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_xlfn.IFS(A1191&lt;=25,"Under 25",A1191&lt;=35,"26–35",A1191&lt;=45,"36–45",A1191&gt;45,"46+")</f>
        <v>26–35</v>
      </c>
      <c r="AK1191" t="str" cm="1">
        <f t="array" ref="AK1191">_xlfn.IFS(R1191&lt;=3000,"Low",R1191&lt;=7000,"Mid",R1191&lt;=12000,"High",R1191&gt;12000,"Top")</f>
        <v>Top</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_xlfn.IFS(A1192&lt;=25,"Under 25",A1192&lt;=35,"26–35",A1192&lt;=45,"36–45",A1192&gt;45,"46+")</f>
        <v>26–35</v>
      </c>
      <c r="AK1192" t="str" cm="1">
        <f t="array" ref="AK1192">_xlfn.IFS(R1192&lt;=3000,"Low",R1192&lt;=7000,"Mid",R1192&lt;=12000,"High",R1192&gt;12000,"Top")</f>
        <v>Top</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_xlfn.IFS(A1193&lt;=25,"Under 25",A1193&lt;=35,"26–35",A1193&lt;=45,"36–45",A1193&gt;45,"46+")</f>
        <v>26–35</v>
      </c>
      <c r="AK1193" t="str" cm="1">
        <f t="array" ref="AK1193">_xlfn.IFS(R1193&lt;=3000,"Low",R1193&lt;=7000,"Mid",R1193&lt;=12000,"High",R1193&gt;12000,"Top")</f>
        <v>Top</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_xlfn.IFS(A1194&lt;=25,"Under 25",A1194&lt;=35,"26–35",A1194&lt;=45,"36–45",A1194&gt;45,"46+")</f>
        <v>46+</v>
      </c>
      <c r="AK1194" t="str" cm="1">
        <f t="array" ref="AK1194">_xlfn.IFS(R1194&lt;=3000,"Low",R1194&lt;=7000,"Mid",R1194&lt;=12000,"High",R1194&gt;12000,"Top")</f>
        <v>Top</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_xlfn.IFS(A1195&lt;=25,"Under 25",A1195&lt;=35,"26–35",A1195&lt;=45,"36–45",A1195&gt;45,"46+")</f>
        <v>36–45</v>
      </c>
      <c r="AK1195" t="str" cm="1">
        <f t="array" ref="AK1195">_xlfn.IFS(R1195&lt;=3000,"Low",R1195&lt;=7000,"Mid",R1195&lt;=12000,"High",R1195&gt;12000,"Top")</f>
        <v>Top</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_xlfn.IFS(A1196&lt;=25,"Under 25",A1196&lt;=35,"26–35",A1196&lt;=45,"36–45",A1196&gt;45,"46+")</f>
        <v>46+</v>
      </c>
      <c r="AK1196" t="str" cm="1">
        <f t="array" ref="AK1196">_xlfn.IFS(R1196&lt;=3000,"Low",R1196&lt;=7000,"Mid",R1196&lt;=12000,"High",R1196&gt;12000,"Top")</f>
        <v>Top</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_xlfn.IFS(A1197&lt;=25,"Under 25",A1197&lt;=35,"26–35",A1197&lt;=45,"36–45",A1197&gt;45,"46+")</f>
        <v>46+</v>
      </c>
      <c r="AK1197" t="str" cm="1">
        <f t="array" ref="AK1197">_xlfn.IFS(R1197&lt;=3000,"Low",R1197&lt;=7000,"Mid",R1197&lt;=12000,"High",R1197&gt;12000,"Top")</f>
        <v>Top</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_xlfn.IFS(A1198&lt;=25,"Under 25",A1198&lt;=35,"26–35",A1198&lt;=45,"36–45",A1198&gt;45,"46+")</f>
        <v>36–45</v>
      </c>
      <c r="AK1198" t="str" cm="1">
        <f t="array" ref="AK1198">_xlfn.IFS(R1198&lt;=3000,"Low",R1198&lt;=7000,"Mid",R1198&lt;=12000,"High",R1198&gt;12000,"Top")</f>
        <v>Top</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_xlfn.IFS(A1199&lt;=25,"Under 25",A1199&lt;=35,"26–35",A1199&lt;=45,"36–45",A1199&gt;45,"46+")</f>
        <v>Under 25</v>
      </c>
      <c r="AK1199" t="str" cm="1">
        <f t="array" ref="AK1199">_xlfn.IFS(R1199&lt;=3000,"Low",R1199&lt;=7000,"Mid",R1199&lt;=12000,"High",R1199&gt;12000,"Top")</f>
        <v>Top</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_xlfn.IFS(A1200&lt;=25,"Under 25",A1200&lt;=35,"26–35",A1200&lt;=45,"36–45",A1200&gt;45,"46+")</f>
        <v>26–35</v>
      </c>
      <c r="AK1200" t="str" cm="1">
        <f t="array" ref="AK1200">_xlfn.IFS(R1200&lt;=3000,"Low",R1200&lt;=7000,"Mid",R1200&lt;=12000,"High",R1200&gt;12000,"Top")</f>
        <v>Top</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_xlfn.IFS(A1201&lt;=25,"Under 25",A1201&lt;=35,"26–35",A1201&lt;=45,"36–45",A1201&gt;45,"46+")</f>
        <v>36–45</v>
      </c>
      <c r="AK1201" t="str" cm="1">
        <f t="array" ref="AK1201">_xlfn.IFS(R1201&lt;=3000,"Low",R1201&lt;=7000,"Mid",R1201&lt;=12000,"High",R1201&gt;12000,"Top")</f>
        <v>Top</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_xlfn.IFS(A1202&lt;=25,"Under 25",A1202&lt;=35,"26–35",A1202&lt;=45,"36–45",A1202&gt;45,"46+")</f>
        <v>36–45</v>
      </c>
      <c r="AK1202" t="str" cm="1">
        <f t="array" ref="AK1202">_xlfn.IFS(R1202&lt;=3000,"Low",R1202&lt;=7000,"Mid",R1202&lt;=12000,"High",R1202&gt;12000,"Top")</f>
        <v>Top</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_xlfn.IFS(A1203&lt;=25,"Under 25",A1203&lt;=35,"26–35",A1203&lt;=45,"36–45",A1203&gt;45,"46+")</f>
        <v>Under 25</v>
      </c>
      <c r="AK1203" t="str" cm="1">
        <f t="array" ref="AK1203">_xlfn.IFS(R1203&lt;=3000,"Low",R1203&lt;=7000,"Mid",R1203&lt;=12000,"High",R1203&gt;12000,"Top")</f>
        <v>Top</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_xlfn.IFS(A1204&lt;=25,"Under 25",A1204&lt;=35,"26–35",A1204&lt;=45,"36–45",A1204&gt;45,"46+")</f>
        <v>36–45</v>
      </c>
      <c r="AK1204" t="str" cm="1">
        <f t="array" ref="AK1204">_xlfn.IFS(R1204&lt;=3000,"Low",R1204&lt;=7000,"Mid",R1204&lt;=12000,"High",R1204&gt;12000,"Top")</f>
        <v>Top</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_xlfn.IFS(A1205&lt;=25,"Under 25",A1205&lt;=35,"26–35",A1205&lt;=45,"36–45",A1205&gt;45,"46+")</f>
        <v>46+</v>
      </c>
      <c r="AK1205" t="str" cm="1">
        <f t="array" ref="AK1205">_xlfn.IFS(R1205&lt;=3000,"Low",R1205&lt;=7000,"Mid",R1205&lt;=12000,"High",R1205&gt;12000,"Top")</f>
        <v>Top</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_xlfn.IFS(A1206&lt;=25,"Under 25",A1206&lt;=35,"26–35",A1206&lt;=45,"36–45",A1206&gt;45,"46+")</f>
        <v>46+</v>
      </c>
      <c r="AK1206" t="str" cm="1">
        <f t="array" ref="AK1206">_xlfn.IFS(R1206&lt;=3000,"Low",R1206&lt;=7000,"Mid",R1206&lt;=12000,"High",R1206&gt;12000,"Top")</f>
        <v>Top</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_xlfn.IFS(A1207&lt;=25,"Under 25",A1207&lt;=35,"26–35",A1207&lt;=45,"36–45",A1207&gt;45,"46+")</f>
        <v>26–35</v>
      </c>
      <c r="AK1207" t="str" cm="1">
        <f t="array" ref="AK1207">_xlfn.IFS(R1207&lt;=3000,"Low",R1207&lt;=7000,"Mid",R1207&lt;=12000,"High",R1207&gt;12000,"Top")</f>
        <v>Top</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_xlfn.IFS(A1208&lt;=25,"Under 25",A1208&lt;=35,"26–35",A1208&lt;=45,"36–45",A1208&gt;45,"46+")</f>
        <v>26–35</v>
      </c>
      <c r="AK1208" t="str" cm="1">
        <f t="array" ref="AK1208">_xlfn.IFS(R1208&lt;=3000,"Low",R1208&lt;=7000,"Mid",R1208&lt;=12000,"High",R1208&gt;12000,"Top")</f>
        <v>Top</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_xlfn.IFS(A1209&lt;=25,"Under 25",A1209&lt;=35,"26–35",A1209&lt;=45,"36–45",A1209&gt;45,"46+")</f>
        <v>46+</v>
      </c>
      <c r="AK1209" t="str" cm="1">
        <f t="array" ref="AK1209">_xlfn.IFS(R1209&lt;=3000,"Low",R1209&lt;=7000,"Mid",R1209&lt;=12000,"High",R1209&gt;12000,"Top")</f>
        <v>Top</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_xlfn.IFS(A1210&lt;=25,"Under 25",A1210&lt;=35,"26–35",A1210&lt;=45,"36–45",A1210&gt;45,"46+")</f>
        <v>26–35</v>
      </c>
      <c r="AK1210" t="str" cm="1">
        <f t="array" ref="AK1210">_xlfn.IFS(R1210&lt;=3000,"Low",R1210&lt;=7000,"Mid",R1210&lt;=12000,"High",R1210&gt;12000,"Top")</f>
        <v>Top</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_xlfn.IFS(A1211&lt;=25,"Under 25",A1211&lt;=35,"26–35",A1211&lt;=45,"36–45",A1211&gt;45,"46+")</f>
        <v>46+</v>
      </c>
      <c r="AK1211" t="str" cm="1">
        <f t="array" ref="AK1211">_xlfn.IFS(R1211&lt;=3000,"Low",R1211&lt;=7000,"Mid",R1211&lt;=12000,"High",R1211&gt;12000,"Top")</f>
        <v>Top</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_xlfn.IFS(A1212&lt;=25,"Under 25",A1212&lt;=35,"26–35",A1212&lt;=45,"36–45",A1212&gt;45,"46+")</f>
        <v>26–35</v>
      </c>
      <c r="AK1212" t="str" cm="1">
        <f t="array" ref="AK1212">_xlfn.IFS(R1212&lt;=3000,"Low",R1212&lt;=7000,"Mid",R1212&lt;=12000,"High",R1212&gt;12000,"Top")</f>
        <v>Top</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_xlfn.IFS(A1213&lt;=25,"Under 25",A1213&lt;=35,"26–35",A1213&lt;=45,"36–45",A1213&gt;45,"46+")</f>
        <v>36–45</v>
      </c>
      <c r="AK1213" t="str" cm="1">
        <f t="array" ref="AK1213">_xlfn.IFS(R1213&lt;=3000,"Low",R1213&lt;=7000,"Mid",R1213&lt;=12000,"High",R1213&gt;12000,"Top")</f>
        <v>Top</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_xlfn.IFS(A1214&lt;=25,"Under 25",A1214&lt;=35,"26–35",A1214&lt;=45,"36–45",A1214&gt;45,"46+")</f>
        <v>26–35</v>
      </c>
      <c r="AK1214" t="str" cm="1">
        <f t="array" ref="AK1214">_xlfn.IFS(R1214&lt;=3000,"Low",R1214&lt;=7000,"Mid",R1214&lt;=12000,"High",R1214&gt;12000,"Top")</f>
        <v>Top</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_xlfn.IFS(A1215&lt;=25,"Under 25",A1215&lt;=35,"26–35",A1215&lt;=45,"36–45",A1215&gt;45,"46+")</f>
        <v>Under 25</v>
      </c>
      <c r="AK1215" t="str" cm="1">
        <f t="array" ref="AK1215">_xlfn.IFS(R1215&lt;=3000,"Low",R1215&lt;=7000,"Mid",R1215&lt;=12000,"High",R1215&gt;12000,"Top")</f>
        <v>Top</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_xlfn.IFS(A1216&lt;=25,"Under 25",A1216&lt;=35,"26–35",A1216&lt;=45,"36–45",A1216&gt;45,"46+")</f>
        <v>36–45</v>
      </c>
      <c r="AK1216" t="str" cm="1">
        <f t="array" ref="AK1216">_xlfn.IFS(R1216&lt;=3000,"Low",R1216&lt;=7000,"Mid",R1216&lt;=12000,"High",R1216&gt;12000,"Top")</f>
        <v>Top</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_xlfn.IFS(A1217&lt;=25,"Under 25",A1217&lt;=35,"26–35",A1217&lt;=45,"36–45",A1217&gt;45,"46+")</f>
        <v>26–35</v>
      </c>
      <c r="AK1217" t="str" cm="1">
        <f t="array" ref="AK1217">_xlfn.IFS(R1217&lt;=3000,"Low",R1217&lt;=7000,"Mid",R1217&lt;=12000,"High",R1217&gt;12000,"Top")</f>
        <v>Top</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_xlfn.IFS(A1218&lt;=25,"Under 25",A1218&lt;=35,"26–35",A1218&lt;=45,"36–45",A1218&gt;45,"46+")</f>
        <v>36–45</v>
      </c>
      <c r="AK1218" t="str" cm="1">
        <f t="array" ref="AK1218">_xlfn.IFS(R1218&lt;=3000,"Low",R1218&lt;=7000,"Mid",R1218&lt;=12000,"High",R1218&gt;12000,"Top")</f>
        <v>Top</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_xlfn.IFS(A1219&lt;=25,"Under 25",A1219&lt;=35,"26–35",A1219&lt;=45,"36–45",A1219&gt;45,"46+")</f>
        <v>Under 25</v>
      </c>
      <c r="AK1219" t="str" cm="1">
        <f t="array" ref="AK1219">_xlfn.IFS(R1219&lt;=3000,"Low",R1219&lt;=7000,"Mid",R1219&lt;=12000,"High",R1219&gt;12000,"Top")</f>
        <v>Top</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_xlfn.IFS(A1220&lt;=25,"Under 25",A1220&lt;=35,"26–35",A1220&lt;=45,"36–45",A1220&gt;45,"46+")</f>
        <v>36–45</v>
      </c>
      <c r="AK1220" t="str" cm="1">
        <f t="array" ref="AK1220">_xlfn.IFS(R1220&lt;=3000,"Low",R1220&lt;=7000,"Mid",R1220&lt;=12000,"High",R1220&gt;12000,"Top")</f>
        <v>Top</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_xlfn.IFS(A1221&lt;=25,"Under 25",A1221&lt;=35,"26–35",A1221&lt;=45,"36–45",A1221&gt;45,"46+")</f>
        <v>26–35</v>
      </c>
      <c r="AK1221" t="str" cm="1">
        <f t="array" ref="AK1221">_xlfn.IFS(R1221&lt;=3000,"Low",R1221&lt;=7000,"Mid",R1221&lt;=12000,"High",R1221&gt;12000,"Top")</f>
        <v>Top</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_xlfn.IFS(A1222&lt;=25,"Under 25",A1222&lt;=35,"26–35",A1222&lt;=45,"36–45",A1222&gt;45,"46+")</f>
        <v>36–45</v>
      </c>
      <c r="AK1222" t="str" cm="1">
        <f t="array" ref="AK1222">_xlfn.IFS(R1222&lt;=3000,"Low",R1222&lt;=7000,"Mid",R1222&lt;=12000,"High",R1222&gt;12000,"Top")</f>
        <v>Top</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_xlfn.IFS(A1223&lt;=25,"Under 25",A1223&lt;=35,"26–35",A1223&lt;=45,"36–45",A1223&gt;45,"46+")</f>
        <v>36–45</v>
      </c>
      <c r="AK1223" t="str" cm="1">
        <f t="array" ref="AK1223">_xlfn.IFS(R1223&lt;=3000,"Low",R1223&lt;=7000,"Mid",R1223&lt;=12000,"High",R1223&gt;12000,"Top")</f>
        <v>Top</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_xlfn.IFS(A1224&lt;=25,"Under 25",A1224&lt;=35,"26–35",A1224&lt;=45,"36–45",A1224&gt;45,"46+")</f>
        <v>Under 25</v>
      </c>
      <c r="AK1224" t="str" cm="1">
        <f t="array" ref="AK1224">_xlfn.IFS(R1224&lt;=3000,"Low",R1224&lt;=7000,"Mid",R1224&lt;=12000,"High",R1224&gt;12000,"Top")</f>
        <v>Top</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_xlfn.IFS(A1225&lt;=25,"Under 25",A1225&lt;=35,"26–35",A1225&lt;=45,"36–45",A1225&gt;45,"46+")</f>
        <v>46+</v>
      </c>
      <c r="AK1225" t="str" cm="1">
        <f t="array" ref="AK1225">_xlfn.IFS(R1225&lt;=3000,"Low",R1225&lt;=7000,"Mid",R1225&lt;=12000,"High",R1225&gt;12000,"Top")</f>
        <v>Top</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_xlfn.IFS(A1226&lt;=25,"Under 25",A1226&lt;=35,"26–35",A1226&lt;=45,"36–45",A1226&gt;45,"46+")</f>
        <v>26–35</v>
      </c>
      <c r="AK1226" t="str" cm="1">
        <f t="array" ref="AK1226">_xlfn.IFS(R1226&lt;=3000,"Low",R1226&lt;=7000,"Mid",R1226&lt;=12000,"High",R1226&gt;12000,"Top")</f>
        <v>Top</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_xlfn.IFS(A1227&lt;=25,"Under 25",A1227&lt;=35,"26–35",A1227&lt;=45,"36–45",A1227&gt;45,"46+")</f>
        <v>36–45</v>
      </c>
      <c r="AK1227" t="str" cm="1">
        <f t="array" ref="AK1227">_xlfn.IFS(R1227&lt;=3000,"Low",R1227&lt;=7000,"Mid",R1227&lt;=12000,"High",R1227&gt;12000,"Top")</f>
        <v>Top</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_xlfn.IFS(A1228&lt;=25,"Under 25",A1228&lt;=35,"26–35",A1228&lt;=45,"36–45",A1228&gt;45,"46+")</f>
        <v>26–35</v>
      </c>
      <c r="AK1228" t="str" cm="1">
        <f t="array" ref="AK1228">_xlfn.IFS(R1228&lt;=3000,"Low",R1228&lt;=7000,"Mid",R1228&lt;=12000,"High",R1228&gt;12000,"Top")</f>
        <v>Top</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_xlfn.IFS(A1229&lt;=25,"Under 25",A1229&lt;=35,"26–35",A1229&lt;=45,"36–45",A1229&gt;45,"46+")</f>
        <v>26–35</v>
      </c>
      <c r="AK1229" t="str" cm="1">
        <f t="array" ref="AK1229">_xlfn.IFS(R1229&lt;=3000,"Low",R1229&lt;=7000,"Mid",R1229&lt;=12000,"High",R1229&gt;12000,"Top")</f>
        <v>Top</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_xlfn.IFS(A1230&lt;=25,"Under 25",A1230&lt;=35,"26–35",A1230&lt;=45,"36–45",A1230&gt;45,"46+")</f>
        <v>36–45</v>
      </c>
      <c r="AK1230" t="str" cm="1">
        <f t="array" ref="AK1230">_xlfn.IFS(R1230&lt;=3000,"Low",R1230&lt;=7000,"Mid",R1230&lt;=12000,"High",R1230&gt;12000,"Top")</f>
        <v>Top</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_xlfn.IFS(A1231&lt;=25,"Under 25",A1231&lt;=35,"26–35",A1231&lt;=45,"36–45",A1231&gt;45,"46+")</f>
        <v>36–45</v>
      </c>
      <c r="AK1231" t="str" cm="1">
        <f t="array" ref="AK1231">_xlfn.IFS(R1231&lt;=3000,"Low",R1231&lt;=7000,"Mid",R1231&lt;=12000,"High",R1231&gt;12000,"Top")</f>
        <v>Top</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_xlfn.IFS(A1232&lt;=25,"Under 25",A1232&lt;=35,"26–35",A1232&lt;=45,"36–45",A1232&gt;45,"46+")</f>
        <v>Under 25</v>
      </c>
      <c r="AK1232" t="str" cm="1">
        <f t="array" ref="AK1232">_xlfn.IFS(R1232&lt;=3000,"Low",R1232&lt;=7000,"Mid",R1232&lt;=12000,"High",R1232&gt;12000,"Top")</f>
        <v>Top</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_xlfn.IFS(A1233&lt;=25,"Under 25",A1233&lt;=35,"26–35",A1233&lt;=45,"36–45",A1233&gt;45,"46+")</f>
        <v>46+</v>
      </c>
      <c r="AK1233" t="str" cm="1">
        <f t="array" ref="AK1233">_xlfn.IFS(R1233&lt;=3000,"Low",R1233&lt;=7000,"Mid",R1233&lt;=12000,"High",R1233&gt;12000,"Top")</f>
        <v>Top</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_xlfn.IFS(A1234&lt;=25,"Under 25",A1234&lt;=35,"26–35",A1234&lt;=45,"36–45",A1234&gt;45,"46+")</f>
        <v>26–35</v>
      </c>
      <c r="AK1234" t="str" cm="1">
        <f t="array" ref="AK1234">_xlfn.IFS(R1234&lt;=3000,"Low",R1234&lt;=7000,"Mid",R1234&lt;=12000,"High",R1234&gt;12000,"Top")</f>
        <v>Top</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_xlfn.IFS(A1235&lt;=25,"Under 25",A1235&lt;=35,"26–35",A1235&lt;=45,"36–45",A1235&gt;45,"46+")</f>
        <v>26–35</v>
      </c>
      <c r="AK1235" t="str" cm="1">
        <f t="array" ref="AK1235">_xlfn.IFS(R1235&lt;=3000,"Low",R1235&lt;=7000,"Mid",R1235&lt;=12000,"High",R1235&gt;12000,"Top")</f>
        <v>Top</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_xlfn.IFS(A1236&lt;=25,"Under 25",A1236&lt;=35,"26–35",A1236&lt;=45,"36–45",A1236&gt;45,"46+")</f>
        <v>46+</v>
      </c>
      <c r="AK1236" t="str" cm="1">
        <f t="array" ref="AK1236">_xlfn.IFS(R1236&lt;=3000,"Low",R1236&lt;=7000,"Mid",R1236&lt;=12000,"High",R1236&gt;12000,"Top")</f>
        <v>Top</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_xlfn.IFS(A1237&lt;=25,"Under 25",A1237&lt;=35,"26–35",A1237&lt;=45,"36–45",A1237&gt;45,"46+")</f>
        <v>46+</v>
      </c>
      <c r="AK1237" t="str" cm="1">
        <f t="array" ref="AK1237">_xlfn.IFS(R1237&lt;=3000,"Low",R1237&lt;=7000,"Mid",R1237&lt;=12000,"High",R1237&gt;12000,"Top")</f>
        <v>Top</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_xlfn.IFS(A1238&lt;=25,"Under 25",A1238&lt;=35,"26–35",A1238&lt;=45,"36–45",A1238&gt;45,"46+")</f>
        <v>36–45</v>
      </c>
      <c r="AK1238" t="str" cm="1">
        <f t="array" ref="AK1238">_xlfn.IFS(R1238&lt;=3000,"Low",R1238&lt;=7000,"Mid",R1238&lt;=12000,"High",R1238&gt;12000,"Top")</f>
        <v>Top</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_xlfn.IFS(A1239&lt;=25,"Under 25",A1239&lt;=35,"26–35",A1239&lt;=45,"36–45",A1239&gt;45,"46+")</f>
        <v>26–35</v>
      </c>
      <c r="AK1239" t="str" cm="1">
        <f t="array" ref="AK1239">_xlfn.IFS(R1239&lt;=3000,"Low",R1239&lt;=7000,"Mid",R1239&lt;=12000,"High",R1239&gt;12000,"Top")</f>
        <v>Top</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_xlfn.IFS(A1240&lt;=25,"Under 25",A1240&lt;=35,"26–35",A1240&lt;=45,"36–45",A1240&gt;45,"46+")</f>
        <v>Under 25</v>
      </c>
      <c r="AK1240" t="str" cm="1">
        <f t="array" ref="AK1240">_xlfn.IFS(R1240&lt;=3000,"Low",R1240&lt;=7000,"Mid",R1240&lt;=12000,"High",R1240&gt;12000,"Top")</f>
        <v>Top</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_xlfn.IFS(A1241&lt;=25,"Under 25",A1241&lt;=35,"26–35",A1241&lt;=45,"36–45",A1241&gt;45,"46+")</f>
        <v>26–35</v>
      </c>
      <c r="AK1241" t="str" cm="1">
        <f t="array" ref="AK1241">_xlfn.IFS(R1241&lt;=3000,"Low",R1241&lt;=7000,"Mid",R1241&lt;=12000,"High",R1241&gt;12000,"Top")</f>
        <v>Top</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_xlfn.IFS(A1242&lt;=25,"Under 25",A1242&lt;=35,"26–35",A1242&lt;=45,"36–45",A1242&gt;45,"46+")</f>
        <v>36–45</v>
      </c>
      <c r="AK1242" t="str" cm="1">
        <f t="array" ref="AK1242">_xlfn.IFS(R1242&lt;=3000,"Low",R1242&lt;=7000,"Mid",R1242&lt;=12000,"High",R1242&gt;12000,"Top")</f>
        <v>Top</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_xlfn.IFS(A1243&lt;=25,"Under 25",A1243&lt;=35,"26–35",A1243&lt;=45,"36–45",A1243&gt;45,"46+")</f>
        <v>26–35</v>
      </c>
      <c r="AK1243" t="str" cm="1">
        <f t="array" ref="AK1243">_xlfn.IFS(R1243&lt;=3000,"Low",R1243&lt;=7000,"Mid",R1243&lt;=12000,"High",R1243&gt;12000,"Top")</f>
        <v>Top</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_xlfn.IFS(A1244&lt;=25,"Under 25",A1244&lt;=35,"26–35",A1244&lt;=45,"36–45",A1244&gt;45,"46+")</f>
        <v>36–45</v>
      </c>
      <c r="AK1244" t="str" cm="1">
        <f t="array" ref="AK1244">_xlfn.IFS(R1244&lt;=3000,"Low",R1244&lt;=7000,"Mid",R1244&lt;=12000,"High",R1244&gt;12000,"Top")</f>
        <v>Top</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_xlfn.IFS(A1245&lt;=25,"Under 25",A1245&lt;=35,"26–35",A1245&lt;=45,"36–45",A1245&gt;45,"46+")</f>
        <v>36–45</v>
      </c>
      <c r="AK1245" t="str" cm="1">
        <f t="array" ref="AK1245">_xlfn.IFS(R1245&lt;=3000,"Low",R1245&lt;=7000,"Mid",R1245&lt;=12000,"High",R1245&gt;12000,"Top")</f>
        <v>Top</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_xlfn.IFS(A1246&lt;=25,"Under 25",A1246&lt;=35,"26–35",A1246&lt;=45,"36–45",A1246&gt;45,"46+")</f>
        <v>26–35</v>
      </c>
      <c r="AK1246" t="str" cm="1">
        <f t="array" ref="AK1246">_xlfn.IFS(R1246&lt;=3000,"Low",R1246&lt;=7000,"Mid",R1246&lt;=12000,"High",R1246&gt;12000,"Top")</f>
        <v>Top</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_xlfn.IFS(A1247&lt;=25,"Under 25",A1247&lt;=35,"26–35",A1247&lt;=45,"36–45",A1247&gt;45,"46+")</f>
        <v>Under 25</v>
      </c>
      <c r="AK1247" t="str" cm="1">
        <f t="array" ref="AK1247">_xlfn.IFS(R1247&lt;=3000,"Low",R1247&lt;=7000,"Mid",R1247&lt;=12000,"High",R1247&gt;12000,"Top")</f>
        <v>Top</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_xlfn.IFS(A1248&lt;=25,"Under 25",A1248&lt;=35,"26–35",A1248&lt;=45,"36–45",A1248&gt;45,"46+")</f>
        <v>26–35</v>
      </c>
      <c r="AK1248" t="str" cm="1">
        <f t="array" ref="AK1248">_xlfn.IFS(R1248&lt;=3000,"Low",R1248&lt;=7000,"Mid",R1248&lt;=12000,"High",R1248&gt;12000,"Top")</f>
        <v>Top</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_xlfn.IFS(A1249&lt;=25,"Under 25",A1249&lt;=35,"26–35",A1249&lt;=45,"36–45",A1249&gt;45,"46+")</f>
        <v>26–35</v>
      </c>
      <c r="AK1249" t="str" cm="1">
        <f t="array" ref="AK1249">_xlfn.IFS(R1249&lt;=3000,"Low",R1249&lt;=7000,"Mid",R1249&lt;=12000,"High",R1249&gt;12000,"Top")</f>
        <v>Top</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_xlfn.IFS(A1250&lt;=25,"Under 25",A1250&lt;=35,"26–35",A1250&lt;=45,"36–45",A1250&gt;45,"46+")</f>
        <v>26–35</v>
      </c>
      <c r="AK1250" t="str" cm="1">
        <f t="array" ref="AK1250">_xlfn.IFS(R1250&lt;=3000,"Low",R1250&lt;=7000,"Mid",R1250&lt;=12000,"High",R1250&gt;12000,"Top")</f>
        <v>Top</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_xlfn.IFS(A1251&lt;=25,"Under 25",A1251&lt;=35,"26–35",A1251&lt;=45,"36–45",A1251&gt;45,"46+")</f>
        <v>26–35</v>
      </c>
      <c r="AK1251" t="str" cm="1">
        <f t="array" ref="AK1251">_xlfn.IFS(R1251&lt;=3000,"Low",R1251&lt;=7000,"Mid",R1251&lt;=12000,"High",R1251&gt;12000,"Top")</f>
        <v>Top</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_xlfn.IFS(A1252&lt;=25,"Under 25",A1252&lt;=35,"26–35",A1252&lt;=45,"36–45",A1252&gt;45,"46+")</f>
        <v>26–35</v>
      </c>
      <c r="AK1252" t="str" cm="1">
        <f t="array" ref="AK1252">_xlfn.IFS(R1252&lt;=3000,"Low",R1252&lt;=7000,"Mid",R1252&lt;=12000,"High",R1252&gt;12000,"Top")</f>
        <v>Top</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_xlfn.IFS(A1253&lt;=25,"Under 25",A1253&lt;=35,"26–35",A1253&lt;=45,"36–45",A1253&gt;45,"46+")</f>
        <v>26–35</v>
      </c>
      <c r="AK1253" t="str" cm="1">
        <f t="array" ref="AK1253">_xlfn.IFS(R1253&lt;=3000,"Low",R1253&lt;=7000,"Mid",R1253&lt;=12000,"High",R1253&gt;12000,"Top")</f>
        <v>Top</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_xlfn.IFS(A1254&lt;=25,"Under 25",A1254&lt;=35,"26–35",A1254&lt;=45,"36–45",A1254&gt;45,"46+")</f>
        <v>26–35</v>
      </c>
      <c r="AK1254" t="str" cm="1">
        <f t="array" ref="AK1254">_xlfn.IFS(R1254&lt;=3000,"Low",R1254&lt;=7000,"Mid",R1254&lt;=12000,"High",R1254&gt;12000,"Top")</f>
        <v>Top</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_xlfn.IFS(A1255&lt;=25,"Under 25",A1255&lt;=35,"26–35",A1255&lt;=45,"36–45",A1255&gt;45,"46+")</f>
        <v>26–35</v>
      </c>
      <c r="AK1255" t="str" cm="1">
        <f t="array" ref="AK1255">_xlfn.IFS(R1255&lt;=3000,"Low",R1255&lt;=7000,"Mid",R1255&lt;=12000,"High",R1255&gt;12000,"Top")</f>
        <v>Top</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_xlfn.IFS(A1256&lt;=25,"Under 25",A1256&lt;=35,"26–35",A1256&lt;=45,"36–45",A1256&gt;45,"46+")</f>
        <v>46+</v>
      </c>
      <c r="AK1256" t="str" cm="1">
        <f t="array" ref="AK1256">_xlfn.IFS(R1256&lt;=3000,"Low",R1256&lt;=7000,"Mid",R1256&lt;=12000,"High",R1256&gt;12000,"Top")</f>
        <v>Top</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_xlfn.IFS(A1257&lt;=25,"Under 25",A1257&lt;=35,"26–35",A1257&lt;=45,"36–45",A1257&gt;45,"46+")</f>
        <v>26–35</v>
      </c>
      <c r="AK1257" t="str" cm="1">
        <f t="array" ref="AK1257">_xlfn.IFS(R1257&lt;=3000,"Low",R1257&lt;=7000,"Mid",R1257&lt;=12000,"High",R1257&gt;12000,"Top")</f>
        <v>Top</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_xlfn.IFS(A1258&lt;=25,"Under 25",A1258&lt;=35,"26–35",A1258&lt;=45,"36–45",A1258&gt;45,"46+")</f>
        <v>36–45</v>
      </c>
      <c r="AK1258" t="str" cm="1">
        <f t="array" ref="AK1258">_xlfn.IFS(R1258&lt;=3000,"Low",R1258&lt;=7000,"Mid",R1258&lt;=12000,"High",R1258&gt;12000,"Top")</f>
        <v>Top</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_xlfn.IFS(A1259&lt;=25,"Under 25",A1259&lt;=35,"26–35",A1259&lt;=45,"36–45",A1259&gt;45,"46+")</f>
        <v>26–35</v>
      </c>
      <c r="AK1259" t="str" cm="1">
        <f t="array" ref="AK1259">_xlfn.IFS(R1259&lt;=3000,"Low",R1259&lt;=7000,"Mid",R1259&lt;=12000,"High",R1259&gt;12000,"Top")</f>
        <v>Top</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_xlfn.IFS(A1260&lt;=25,"Under 25",A1260&lt;=35,"26–35",A1260&lt;=45,"36–45",A1260&gt;45,"46+")</f>
        <v>26–35</v>
      </c>
      <c r="AK1260" t="str" cm="1">
        <f t="array" ref="AK1260">_xlfn.IFS(R1260&lt;=3000,"Low",R1260&lt;=7000,"Mid",R1260&lt;=12000,"High",R1260&gt;12000,"Top")</f>
        <v>Top</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_xlfn.IFS(A1261&lt;=25,"Under 25",A1261&lt;=35,"26–35",A1261&lt;=45,"36–45",A1261&gt;45,"46+")</f>
        <v>26–35</v>
      </c>
      <c r="AK1261" t="str" cm="1">
        <f t="array" ref="AK1261">_xlfn.IFS(R1261&lt;=3000,"Low",R1261&lt;=7000,"Mid",R1261&lt;=12000,"High",R1261&gt;12000,"Top")</f>
        <v>Top</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_xlfn.IFS(A1262&lt;=25,"Under 25",A1262&lt;=35,"26–35",A1262&lt;=45,"36–45",A1262&gt;45,"46+")</f>
        <v>26–35</v>
      </c>
      <c r="AK1262" t="str" cm="1">
        <f t="array" ref="AK1262">_xlfn.IFS(R1262&lt;=3000,"Low",R1262&lt;=7000,"Mid",R1262&lt;=12000,"High",R1262&gt;12000,"Top")</f>
        <v>Top</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_xlfn.IFS(A1263&lt;=25,"Under 25",A1263&lt;=35,"26–35",A1263&lt;=45,"36–45",A1263&gt;45,"46+")</f>
        <v>36–45</v>
      </c>
      <c r="AK1263" t="str" cm="1">
        <f t="array" ref="AK1263">_xlfn.IFS(R1263&lt;=3000,"Low",R1263&lt;=7000,"Mid",R1263&lt;=12000,"High",R1263&gt;12000,"Top")</f>
        <v>Top</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_xlfn.IFS(A1264&lt;=25,"Under 25",A1264&lt;=35,"26–35",A1264&lt;=45,"36–45",A1264&gt;45,"46+")</f>
        <v>36–45</v>
      </c>
      <c r="AK1264" t="str" cm="1">
        <f t="array" ref="AK1264">_xlfn.IFS(R1264&lt;=3000,"Low",R1264&lt;=7000,"Mid",R1264&lt;=12000,"High",R1264&gt;12000,"Top")</f>
        <v>Top</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_xlfn.IFS(A1265&lt;=25,"Under 25",A1265&lt;=35,"26–35",A1265&lt;=45,"36–45",A1265&gt;45,"46+")</f>
        <v>36–45</v>
      </c>
      <c r="AK1265" t="str" cm="1">
        <f t="array" ref="AK1265">_xlfn.IFS(R1265&lt;=3000,"Low",R1265&lt;=7000,"Mid",R1265&lt;=12000,"High",R1265&gt;12000,"Top")</f>
        <v>Top</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_xlfn.IFS(A1266&lt;=25,"Under 25",A1266&lt;=35,"26–35",A1266&lt;=45,"36–45",A1266&gt;45,"46+")</f>
        <v>46+</v>
      </c>
      <c r="AK1266" t="str" cm="1">
        <f t="array" ref="AK1266">_xlfn.IFS(R1266&lt;=3000,"Low",R1266&lt;=7000,"Mid",R1266&lt;=12000,"High",R1266&gt;12000,"Top")</f>
        <v>Top</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_xlfn.IFS(A1267&lt;=25,"Under 25",A1267&lt;=35,"26–35",A1267&lt;=45,"36–45",A1267&gt;45,"46+")</f>
        <v>26–35</v>
      </c>
      <c r="AK1267" t="str" cm="1">
        <f t="array" ref="AK1267">_xlfn.IFS(R1267&lt;=3000,"Low",R1267&lt;=7000,"Mid",R1267&lt;=12000,"High",R1267&gt;12000,"Top")</f>
        <v>Top</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_xlfn.IFS(A1268&lt;=25,"Under 25",A1268&lt;=35,"26–35",A1268&lt;=45,"36–45",A1268&gt;45,"46+")</f>
        <v>36–45</v>
      </c>
      <c r="AK1268" t="str" cm="1">
        <f t="array" ref="AK1268">_xlfn.IFS(R1268&lt;=3000,"Low",R1268&lt;=7000,"Mid",R1268&lt;=12000,"High",R1268&gt;12000,"Top")</f>
        <v>Top</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_xlfn.IFS(A1269&lt;=25,"Under 25",A1269&lt;=35,"26–35",A1269&lt;=45,"36–45",A1269&gt;45,"46+")</f>
        <v>26–35</v>
      </c>
      <c r="AK1269" t="str" cm="1">
        <f t="array" ref="AK1269">_xlfn.IFS(R1269&lt;=3000,"Low",R1269&lt;=7000,"Mid",R1269&lt;=12000,"High",R1269&gt;12000,"Top")</f>
        <v>Top</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_xlfn.IFS(A1270&lt;=25,"Under 25",A1270&lt;=35,"26–35",A1270&lt;=45,"36–45",A1270&gt;45,"46+")</f>
        <v>46+</v>
      </c>
      <c r="AK1270" t="str" cm="1">
        <f t="array" ref="AK1270">_xlfn.IFS(R1270&lt;=3000,"Low",R1270&lt;=7000,"Mid",R1270&lt;=12000,"High",R1270&gt;12000,"Top")</f>
        <v>Top</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_xlfn.IFS(A1271&lt;=25,"Under 25",A1271&lt;=35,"26–35",A1271&lt;=45,"36–45",A1271&gt;45,"46+")</f>
        <v>36–45</v>
      </c>
      <c r="AK1271" t="str" cm="1">
        <f t="array" ref="AK1271">_xlfn.IFS(R1271&lt;=3000,"Low",R1271&lt;=7000,"Mid",R1271&lt;=12000,"High",R1271&gt;12000,"Top")</f>
        <v>Top</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_xlfn.IFS(A1272&lt;=25,"Under 25",A1272&lt;=35,"26–35",A1272&lt;=45,"36–45",A1272&gt;45,"46+")</f>
        <v>26–35</v>
      </c>
      <c r="AK1272" t="str" cm="1">
        <f t="array" ref="AK1272">_xlfn.IFS(R1272&lt;=3000,"Low",R1272&lt;=7000,"Mid",R1272&lt;=12000,"High",R1272&gt;12000,"Top")</f>
        <v>Top</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_xlfn.IFS(A1273&lt;=25,"Under 25",A1273&lt;=35,"26–35",A1273&lt;=45,"36–45",A1273&gt;45,"46+")</f>
        <v>Under 25</v>
      </c>
      <c r="AK1273" t="str" cm="1">
        <f t="array" ref="AK1273">_xlfn.IFS(R1273&lt;=3000,"Low",R1273&lt;=7000,"Mid",R1273&lt;=12000,"High",R1273&gt;12000,"Top")</f>
        <v>Top</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_xlfn.IFS(A1274&lt;=25,"Under 25",A1274&lt;=35,"26–35",A1274&lt;=45,"36–45",A1274&gt;45,"46+")</f>
        <v>36–45</v>
      </c>
      <c r="AK1274" t="str" cm="1">
        <f t="array" ref="AK1274">_xlfn.IFS(R1274&lt;=3000,"Low",R1274&lt;=7000,"Mid",R1274&lt;=12000,"High",R1274&gt;12000,"Top")</f>
        <v>Top</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_xlfn.IFS(A1275&lt;=25,"Under 25",A1275&lt;=35,"26–35",A1275&lt;=45,"36–45",A1275&gt;45,"46+")</f>
        <v>Under 25</v>
      </c>
      <c r="AK1275" t="str" cm="1">
        <f t="array" ref="AK1275">_xlfn.IFS(R1275&lt;=3000,"Low",R1275&lt;=7000,"Mid",R1275&lt;=12000,"High",R1275&gt;12000,"Top")</f>
        <v>Top</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_xlfn.IFS(A1276&lt;=25,"Under 25",A1276&lt;=35,"26–35",A1276&lt;=45,"36–45",A1276&gt;45,"46+")</f>
        <v>26–35</v>
      </c>
      <c r="AK1276" t="str" cm="1">
        <f t="array" ref="AK1276">_xlfn.IFS(R1276&lt;=3000,"Low",R1276&lt;=7000,"Mid",R1276&lt;=12000,"High",R1276&gt;12000,"Top")</f>
        <v>Top</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_xlfn.IFS(A1277&lt;=25,"Under 25",A1277&lt;=35,"26–35",A1277&lt;=45,"36–45",A1277&gt;45,"46+")</f>
        <v>46+</v>
      </c>
      <c r="AK1277" t="str" cm="1">
        <f t="array" ref="AK1277">_xlfn.IFS(R1277&lt;=3000,"Low",R1277&lt;=7000,"Mid",R1277&lt;=12000,"High",R1277&gt;12000,"Top")</f>
        <v>Top</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_xlfn.IFS(A1278&lt;=25,"Under 25",A1278&lt;=35,"26–35",A1278&lt;=45,"36–45",A1278&gt;45,"46+")</f>
        <v>36–45</v>
      </c>
      <c r="AK1278" t="str" cm="1">
        <f t="array" ref="AK1278">_xlfn.IFS(R1278&lt;=3000,"Low",R1278&lt;=7000,"Mid",R1278&lt;=12000,"High",R1278&gt;12000,"Top")</f>
        <v>Top</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_xlfn.IFS(A1279&lt;=25,"Under 25",A1279&lt;=35,"26–35",A1279&lt;=45,"36–45",A1279&gt;45,"46+")</f>
        <v>46+</v>
      </c>
      <c r="AK1279" t="str" cm="1">
        <f t="array" ref="AK1279">_xlfn.IFS(R1279&lt;=3000,"Low",R1279&lt;=7000,"Mid",R1279&lt;=12000,"High",R1279&gt;12000,"Top")</f>
        <v>Top</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_xlfn.IFS(A1280&lt;=25,"Under 25",A1280&lt;=35,"26–35",A1280&lt;=45,"36–45",A1280&gt;45,"46+")</f>
        <v>36–45</v>
      </c>
      <c r="AK1280" t="str" cm="1">
        <f t="array" ref="AK1280">_xlfn.IFS(R1280&lt;=3000,"Low",R1280&lt;=7000,"Mid",R1280&lt;=12000,"High",R1280&gt;12000,"Top")</f>
        <v>Top</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_xlfn.IFS(A1281&lt;=25,"Under 25",A1281&lt;=35,"26–35",A1281&lt;=45,"36–45",A1281&gt;45,"46+")</f>
        <v>36–45</v>
      </c>
      <c r="AK1281" t="str" cm="1">
        <f t="array" ref="AK1281">_xlfn.IFS(R1281&lt;=3000,"Low",R1281&lt;=7000,"Mid",R1281&lt;=12000,"High",R1281&gt;12000,"Top")</f>
        <v>Top</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_xlfn.IFS(A1282&lt;=25,"Under 25",A1282&lt;=35,"26–35",A1282&lt;=45,"36–45",A1282&gt;45,"46+")</f>
        <v>36–45</v>
      </c>
      <c r="AK1282" t="str" cm="1">
        <f t="array" ref="AK1282">_xlfn.IFS(R1282&lt;=3000,"Low",R1282&lt;=7000,"Mid",R1282&lt;=12000,"High",R1282&gt;12000,"Top")</f>
        <v>Top</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_xlfn.IFS(A1283&lt;=25,"Under 25",A1283&lt;=35,"26–35",A1283&lt;=45,"36–45",A1283&gt;45,"46+")</f>
        <v>26–35</v>
      </c>
      <c r="AK1283" t="str" cm="1">
        <f t="array" ref="AK1283">_xlfn.IFS(R1283&lt;=3000,"Low",R1283&lt;=7000,"Mid",R1283&lt;=12000,"High",R1283&gt;12000,"Top")</f>
        <v>Top</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_xlfn.IFS(A1284&lt;=25,"Under 25",A1284&lt;=35,"26–35",A1284&lt;=45,"36–45",A1284&gt;45,"46+")</f>
        <v>26–35</v>
      </c>
      <c r="AK1284" t="str" cm="1">
        <f t="array" ref="AK1284">_xlfn.IFS(R1284&lt;=3000,"Low",R1284&lt;=7000,"Mid",R1284&lt;=12000,"High",R1284&gt;12000,"Top")</f>
        <v>Top</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_xlfn.IFS(A1285&lt;=25,"Under 25",A1285&lt;=35,"26–35",A1285&lt;=45,"36–45",A1285&gt;45,"46+")</f>
        <v>26–35</v>
      </c>
      <c r="AK1285" t="str" cm="1">
        <f t="array" ref="AK1285">_xlfn.IFS(R1285&lt;=3000,"Low",R1285&lt;=7000,"Mid",R1285&lt;=12000,"High",R1285&gt;12000,"Top")</f>
        <v>Top</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_xlfn.IFS(A1286&lt;=25,"Under 25",A1286&lt;=35,"26–35",A1286&lt;=45,"36–45",A1286&gt;45,"46+")</f>
        <v>36–45</v>
      </c>
      <c r="AK1286" t="str" cm="1">
        <f t="array" ref="AK1286">_xlfn.IFS(R1286&lt;=3000,"Low",R1286&lt;=7000,"Mid",R1286&lt;=12000,"High",R1286&gt;12000,"Top")</f>
        <v>Top</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_xlfn.IFS(A1287&lt;=25,"Under 25",A1287&lt;=35,"26–35",A1287&lt;=45,"36–45",A1287&gt;45,"46+")</f>
        <v>46+</v>
      </c>
      <c r="AK1287" t="str" cm="1">
        <f t="array" ref="AK1287">_xlfn.IFS(R1287&lt;=3000,"Low",R1287&lt;=7000,"Mid",R1287&lt;=12000,"High",R1287&gt;12000,"Top")</f>
        <v>Top</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_xlfn.IFS(A1288&lt;=25,"Under 25",A1288&lt;=35,"26–35",A1288&lt;=45,"36–45",A1288&gt;45,"46+")</f>
        <v>36–45</v>
      </c>
      <c r="AK1288" t="str" cm="1">
        <f t="array" ref="AK1288">_xlfn.IFS(R1288&lt;=3000,"Low",R1288&lt;=7000,"Mid",R1288&lt;=12000,"High",R1288&gt;12000,"Top")</f>
        <v>Top</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_xlfn.IFS(A1289&lt;=25,"Under 25",A1289&lt;=35,"26–35",A1289&lt;=45,"36–45",A1289&gt;45,"46+")</f>
        <v>36–45</v>
      </c>
      <c r="AK1289" t="str" cm="1">
        <f t="array" ref="AK1289">_xlfn.IFS(R1289&lt;=3000,"Low",R1289&lt;=7000,"Mid",R1289&lt;=12000,"High",R1289&gt;12000,"Top")</f>
        <v>Top</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_xlfn.IFS(A1290&lt;=25,"Under 25",A1290&lt;=35,"26–35",A1290&lt;=45,"36–45",A1290&gt;45,"46+")</f>
        <v>26–35</v>
      </c>
      <c r="AK1290" t="str" cm="1">
        <f t="array" ref="AK1290">_xlfn.IFS(R1290&lt;=3000,"Low",R1290&lt;=7000,"Mid",R1290&lt;=12000,"High",R1290&gt;12000,"Top")</f>
        <v>Top</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_xlfn.IFS(A1291&lt;=25,"Under 25",A1291&lt;=35,"26–35",A1291&lt;=45,"36–45",A1291&gt;45,"46+")</f>
        <v>36–45</v>
      </c>
      <c r="AK1291" t="str" cm="1">
        <f t="array" ref="AK1291">_xlfn.IFS(R1291&lt;=3000,"Low",R1291&lt;=7000,"Mid",R1291&lt;=12000,"High",R1291&gt;12000,"Top")</f>
        <v>Top</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_xlfn.IFS(A1292&lt;=25,"Under 25",A1292&lt;=35,"26–35",A1292&lt;=45,"36–45",A1292&gt;45,"46+")</f>
        <v>26–35</v>
      </c>
      <c r="AK1292" t="str" cm="1">
        <f t="array" ref="AK1292">_xlfn.IFS(R1292&lt;=3000,"Low",R1292&lt;=7000,"Mid",R1292&lt;=12000,"High",R1292&gt;12000,"Top")</f>
        <v>Top</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_xlfn.IFS(A1293&lt;=25,"Under 25",A1293&lt;=35,"26–35",A1293&lt;=45,"36–45",A1293&gt;45,"46+")</f>
        <v>36–45</v>
      </c>
      <c r="AK1293" t="str" cm="1">
        <f t="array" ref="AK1293">_xlfn.IFS(R1293&lt;=3000,"Low",R1293&lt;=7000,"Mid",R1293&lt;=12000,"High",R1293&gt;12000,"Top")</f>
        <v>Top</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_xlfn.IFS(A1294&lt;=25,"Under 25",A1294&lt;=35,"26–35",A1294&lt;=45,"36–45",A1294&gt;45,"46+")</f>
        <v>36–45</v>
      </c>
      <c r="AK1294" t="str" cm="1">
        <f t="array" ref="AK1294">_xlfn.IFS(R1294&lt;=3000,"Low",R1294&lt;=7000,"Mid",R1294&lt;=12000,"High",R1294&gt;12000,"Top")</f>
        <v>Top</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_xlfn.IFS(A1295&lt;=25,"Under 25",A1295&lt;=35,"26–35",A1295&lt;=45,"36–45",A1295&gt;45,"46+")</f>
        <v>36–45</v>
      </c>
      <c r="AK1295" t="str" cm="1">
        <f t="array" ref="AK1295">_xlfn.IFS(R1295&lt;=3000,"Low",R1295&lt;=7000,"Mid",R1295&lt;=12000,"High",R1295&gt;12000,"Top")</f>
        <v>Top</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_xlfn.IFS(A1296&lt;=25,"Under 25",A1296&lt;=35,"26–35",A1296&lt;=45,"36–45",A1296&gt;45,"46+")</f>
        <v>36–45</v>
      </c>
      <c r="AK1296" t="str" cm="1">
        <f t="array" ref="AK1296">_xlfn.IFS(R1296&lt;=3000,"Low",R1296&lt;=7000,"Mid",R1296&lt;=12000,"High",R1296&gt;12000,"Top")</f>
        <v>Top</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_xlfn.IFS(A1297&lt;=25,"Under 25",A1297&lt;=35,"26–35",A1297&lt;=45,"36–45",A1297&gt;45,"46+")</f>
        <v>36–45</v>
      </c>
      <c r="AK1297" t="str" cm="1">
        <f t="array" ref="AK1297">_xlfn.IFS(R1297&lt;=3000,"Low",R1297&lt;=7000,"Mid",R1297&lt;=12000,"High",R1297&gt;12000,"Top")</f>
        <v>Top</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_xlfn.IFS(A1298&lt;=25,"Under 25",A1298&lt;=35,"26–35",A1298&lt;=45,"36–45",A1298&gt;45,"46+")</f>
        <v>26–35</v>
      </c>
      <c r="AK1298" t="str" cm="1">
        <f t="array" ref="AK1298">_xlfn.IFS(R1298&lt;=3000,"Low",R1298&lt;=7000,"Mid",R1298&lt;=12000,"High",R1298&gt;12000,"Top")</f>
        <v>Top</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_xlfn.IFS(A1299&lt;=25,"Under 25",A1299&lt;=35,"26–35",A1299&lt;=45,"36–45",A1299&gt;45,"46+")</f>
        <v>26–35</v>
      </c>
      <c r="AK1299" t="str" cm="1">
        <f t="array" ref="AK1299">_xlfn.IFS(R1299&lt;=3000,"Low",R1299&lt;=7000,"Mid",R1299&lt;=12000,"High",R1299&gt;12000,"Top")</f>
        <v>Top</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_xlfn.IFS(A1300&lt;=25,"Under 25",A1300&lt;=35,"26–35",A1300&lt;=45,"36–45",A1300&gt;45,"46+")</f>
        <v>46+</v>
      </c>
      <c r="AK1300" t="str" cm="1">
        <f t="array" ref="AK1300">_xlfn.IFS(R1300&lt;=3000,"Low",R1300&lt;=7000,"Mid",R1300&lt;=12000,"High",R1300&gt;12000,"Top")</f>
        <v>Top</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_xlfn.IFS(A1301&lt;=25,"Under 25",A1301&lt;=35,"26–35",A1301&lt;=45,"36–45",A1301&gt;45,"46+")</f>
        <v>36–45</v>
      </c>
      <c r="AK1301" t="str" cm="1">
        <f t="array" ref="AK1301">_xlfn.IFS(R1301&lt;=3000,"Low",R1301&lt;=7000,"Mid",R1301&lt;=12000,"High",R1301&gt;12000,"Top")</f>
        <v>Top</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_xlfn.IFS(A1302&lt;=25,"Under 25",A1302&lt;=35,"26–35",A1302&lt;=45,"36–45",A1302&gt;45,"46+")</f>
        <v>26–35</v>
      </c>
      <c r="AK1302" t="str" cm="1">
        <f t="array" ref="AK1302">_xlfn.IFS(R1302&lt;=3000,"Low",R1302&lt;=7000,"Mid",R1302&lt;=12000,"High",R1302&gt;12000,"Top")</f>
        <v>Top</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_xlfn.IFS(A1303&lt;=25,"Under 25",A1303&lt;=35,"26–35",A1303&lt;=45,"36–45",A1303&gt;45,"46+")</f>
        <v>46+</v>
      </c>
      <c r="AK1303" t="str" cm="1">
        <f t="array" ref="AK1303">_xlfn.IFS(R1303&lt;=3000,"Low",R1303&lt;=7000,"Mid",R1303&lt;=12000,"High",R1303&gt;12000,"Top")</f>
        <v>Top</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_xlfn.IFS(A1304&lt;=25,"Under 25",A1304&lt;=35,"26–35",A1304&lt;=45,"36–45",A1304&gt;45,"46+")</f>
        <v>26–35</v>
      </c>
      <c r="AK1304" t="str" cm="1">
        <f t="array" ref="AK1304">_xlfn.IFS(R1304&lt;=3000,"Low",R1304&lt;=7000,"Mid",R1304&lt;=12000,"High",R1304&gt;12000,"Top")</f>
        <v>Top</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_xlfn.IFS(A1305&lt;=25,"Under 25",A1305&lt;=35,"26–35",A1305&lt;=45,"36–45",A1305&gt;45,"46+")</f>
        <v>46+</v>
      </c>
      <c r="AK1305" t="str" cm="1">
        <f t="array" ref="AK1305">_xlfn.IFS(R1305&lt;=3000,"Low",R1305&lt;=7000,"Mid",R1305&lt;=12000,"High",R1305&gt;12000,"Top")</f>
        <v>Top</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_xlfn.IFS(A1306&lt;=25,"Under 25",A1306&lt;=35,"26–35",A1306&lt;=45,"36–45",A1306&gt;45,"46+")</f>
        <v>36–45</v>
      </c>
      <c r="AK1306" t="str" cm="1">
        <f t="array" ref="AK1306">_xlfn.IFS(R1306&lt;=3000,"Low",R1306&lt;=7000,"Mid",R1306&lt;=12000,"High",R1306&gt;12000,"Top")</f>
        <v>Top</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_xlfn.IFS(A1307&lt;=25,"Under 25",A1307&lt;=35,"26–35",A1307&lt;=45,"36–45",A1307&gt;45,"46+")</f>
        <v>46+</v>
      </c>
      <c r="AK1307" t="str" cm="1">
        <f t="array" ref="AK1307">_xlfn.IFS(R1307&lt;=3000,"Low",R1307&lt;=7000,"Mid",R1307&lt;=12000,"High",R1307&gt;12000,"Top")</f>
        <v>Top</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_xlfn.IFS(A1308&lt;=25,"Under 25",A1308&lt;=35,"26–35",A1308&lt;=45,"36–45",A1308&gt;45,"46+")</f>
        <v>26–35</v>
      </c>
      <c r="AK1308" t="str" cm="1">
        <f t="array" ref="AK1308">_xlfn.IFS(R1308&lt;=3000,"Low",R1308&lt;=7000,"Mid",R1308&lt;=12000,"High",R1308&gt;12000,"Top")</f>
        <v>Top</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_xlfn.IFS(A1309&lt;=25,"Under 25",A1309&lt;=35,"26–35",A1309&lt;=45,"36–45",A1309&gt;45,"46+")</f>
        <v>26–35</v>
      </c>
      <c r="AK1309" t="str" cm="1">
        <f t="array" ref="AK1309">_xlfn.IFS(R1309&lt;=3000,"Low",R1309&lt;=7000,"Mid",R1309&lt;=12000,"High",R1309&gt;12000,"Top")</f>
        <v>Top</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_xlfn.IFS(A1310&lt;=25,"Under 25",A1310&lt;=35,"26–35",A1310&lt;=45,"36–45",A1310&gt;45,"46+")</f>
        <v>36–45</v>
      </c>
      <c r="AK1310" t="str" cm="1">
        <f t="array" ref="AK1310">_xlfn.IFS(R1310&lt;=3000,"Low",R1310&lt;=7000,"Mid",R1310&lt;=12000,"High",R1310&gt;12000,"Top")</f>
        <v>Top</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_xlfn.IFS(A1311&lt;=25,"Under 25",A1311&lt;=35,"26–35",A1311&lt;=45,"36–45",A1311&gt;45,"46+")</f>
        <v>26–35</v>
      </c>
      <c r="AK1311" t="str" cm="1">
        <f t="array" ref="AK1311">_xlfn.IFS(R1311&lt;=3000,"Low",R1311&lt;=7000,"Mid",R1311&lt;=12000,"High",R1311&gt;12000,"Top")</f>
        <v>Top</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_xlfn.IFS(A1312&lt;=25,"Under 25",A1312&lt;=35,"26–35",A1312&lt;=45,"36–45",A1312&gt;45,"46+")</f>
        <v>46+</v>
      </c>
      <c r="AK1312" t="str" cm="1">
        <f t="array" ref="AK1312">_xlfn.IFS(R1312&lt;=3000,"Low",R1312&lt;=7000,"Mid",R1312&lt;=12000,"High",R1312&gt;12000,"Top")</f>
        <v>Top</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_xlfn.IFS(A1313&lt;=25,"Under 25",A1313&lt;=35,"26–35",A1313&lt;=45,"36–45",A1313&gt;45,"46+")</f>
        <v>Under 25</v>
      </c>
      <c r="AK1313" t="str" cm="1">
        <f t="array" ref="AK1313">_xlfn.IFS(R1313&lt;=3000,"Low",R1313&lt;=7000,"Mid",R1313&lt;=12000,"High",R1313&gt;12000,"Top")</f>
        <v>Top</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_xlfn.IFS(A1314&lt;=25,"Under 25",A1314&lt;=35,"26–35",A1314&lt;=45,"36–45",A1314&gt;45,"46+")</f>
        <v>26–35</v>
      </c>
      <c r="AK1314" t="str" cm="1">
        <f t="array" ref="AK1314">_xlfn.IFS(R1314&lt;=3000,"Low",R1314&lt;=7000,"Mid",R1314&lt;=12000,"High",R1314&gt;12000,"Top")</f>
        <v>Top</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_xlfn.IFS(A1315&lt;=25,"Under 25",A1315&lt;=35,"26–35",A1315&lt;=45,"36–45",A1315&gt;45,"46+")</f>
        <v>26–35</v>
      </c>
      <c r="AK1315" t="str" cm="1">
        <f t="array" ref="AK1315">_xlfn.IFS(R1315&lt;=3000,"Low",R1315&lt;=7000,"Mid",R1315&lt;=12000,"High",R1315&gt;12000,"Top")</f>
        <v>Top</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_xlfn.IFS(A1316&lt;=25,"Under 25",A1316&lt;=35,"26–35",A1316&lt;=45,"36–45",A1316&gt;45,"46+")</f>
        <v>36–45</v>
      </c>
      <c r="AK1316" t="str" cm="1">
        <f t="array" ref="AK1316">_xlfn.IFS(R1316&lt;=3000,"Low",R1316&lt;=7000,"Mid",R1316&lt;=12000,"High",R1316&gt;12000,"Top")</f>
        <v>Top</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_xlfn.IFS(A1317&lt;=25,"Under 25",A1317&lt;=35,"26–35",A1317&lt;=45,"36–45",A1317&gt;45,"46+")</f>
        <v>36–45</v>
      </c>
      <c r="AK1317" t="str" cm="1">
        <f t="array" ref="AK1317">_xlfn.IFS(R1317&lt;=3000,"Low",R1317&lt;=7000,"Mid",R1317&lt;=12000,"High",R1317&gt;12000,"Top")</f>
        <v>Top</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_xlfn.IFS(A1318&lt;=25,"Under 25",A1318&lt;=35,"26–35",A1318&lt;=45,"36–45",A1318&gt;45,"46+")</f>
        <v>36–45</v>
      </c>
      <c r="AK1318" t="str" cm="1">
        <f t="array" ref="AK1318">_xlfn.IFS(R1318&lt;=3000,"Low",R1318&lt;=7000,"Mid",R1318&lt;=12000,"High",R1318&gt;12000,"Top")</f>
        <v>Top</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_xlfn.IFS(A1319&lt;=25,"Under 25",A1319&lt;=35,"26–35",A1319&lt;=45,"36–45",A1319&gt;45,"46+")</f>
        <v>26–35</v>
      </c>
      <c r="AK1319" t="str" cm="1">
        <f t="array" ref="AK1319">_xlfn.IFS(R1319&lt;=3000,"Low",R1319&lt;=7000,"Mid",R1319&lt;=12000,"High",R1319&gt;12000,"Top")</f>
        <v>Top</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_xlfn.IFS(A1320&lt;=25,"Under 25",A1320&lt;=35,"26–35",A1320&lt;=45,"36–45",A1320&gt;45,"46+")</f>
        <v>26–35</v>
      </c>
      <c r="AK1320" t="str" cm="1">
        <f t="array" ref="AK1320">_xlfn.IFS(R1320&lt;=3000,"Low",R1320&lt;=7000,"Mid",R1320&lt;=12000,"High",R1320&gt;12000,"Top")</f>
        <v>Top</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_xlfn.IFS(A1321&lt;=25,"Under 25",A1321&lt;=35,"26–35",A1321&lt;=45,"36–45",A1321&gt;45,"46+")</f>
        <v>26–35</v>
      </c>
      <c r="AK1321" t="str" cm="1">
        <f t="array" ref="AK1321">_xlfn.IFS(R1321&lt;=3000,"Low",R1321&lt;=7000,"Mid",R1321&lt;=12000,"High",R1321&gt;12000,"Top")</f>
        <v>Top</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_xlfn.IFS(A1322&lt;=25,"Under 25",A1322&lt;=35,"26–35",A1322&lt;=45,"36–45",A1322&gt;45,"46+")</f>
        <v>36–45</v>
      </c>
      <c r="AK1322" t="str" cm="1">
        <f t="array" ref="AK1322">_xlfn.IFS(R1322&lt;=3000,"Low",R1322&lt;=7000,"Mid",R1322&lt;=12000,"High",R1322&gt;12000,"Top")</f>
        <v>Top</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_xlfn.IFS(A1323&lt;=25,"Under 25",A1323&lt;=35,"26–35",A1323&lt;=45,"36–45",A1323&gt;45,"46+")</f>
        <v>46+</v>
      </c>
      <c r="AK1323" t="str" cm="1">
        <f t="array" ref="AK1323">_xlfn.IFS(R1323&lt;=3000,"Low",R1323&lt;=7000,"Mid",R1323&lt;=12000,"High",R1323&gt;12000,"Top")</f>
        <v>Top</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_xlfn.IFS(A1324&lt;=25,"Under 25",A1324&lt;=35,"26–35",A1324&lt;=45,"36–45",A1324&gt;45,"46+")</f>
        <v>46+</v>
      </c>
      <c r="AK1324" t="str" cm="1">
        <f t="array" ref="AK1324">_xlfn.IFS(R1324&lt;=3000,"Low",R1324&lt;=7000,"Mid",R1324&lt;=12000,"High",R1324&gt;12000,"Top")</f>
        <v>Top</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_xlfn.IFS(A1325&lt;=25,"Under 25",A1325&lt;=35,"26–35",A1325&lt;=45,"36–45",A1325&gt;45,"46+")</f>
        <v>26–35</v>
      </c>
      <c r="AK1325" t="str" cm="1">
        <f t="array" ref="AK1325">_xlfn.IFS(R1325&lt;=3000,"Low",R1325&lt;=7000,"Mid",R1325&lt;=12000,"High",R1325&gt;12000,"Top")</f>
        <v>Top</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_xlfn.IFS(A1326&lt;=25,"Under 25",A1326&lt;=35,"26–35",A1326&lt;=45,"36–45",A1326&gt;45,"46+")</f>
        <v>26–35</v>
      </c>
      <c r="AK1326" t="str" cm="1">
        <f t="array" ref="AK1326">_xlfn.IFS(R1326&lt;=3000,"Low",R1326&lt;=7000,"Mid",R1326&lt;=12000,"High",R1326&gt;12000,"Top")</f>
        <v>Top</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_xlfn.IFS(A1327&lt;=25,"Under 25",A1327&lt;=35,"26–35",A1327&lt;=45,"36–45",A1327&gt;45,"46+")</f>
        <v>36–45</v>
      </c>
      <c r="AK1327" t="str" cm="1">
        <f t="array" ref="AK1327">_xlfn.IFS(R1327&lt;=3000,"Low",R1327&lt;=7000,"Mid",R1327&lt;=12000,"High",R1327&gt;12000,"Top")</f>
        <v>Top</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_xlfn.IFS(A1328&lt;=25,"Under 25",A1328&lt;=35,"26–35",A1328&lt;=45,"36–45",A1328&gt;45,"46+")</f>
        <v>26–35</v>
      </c>
      <c r="AK1328" t="str" cm="1">
        <f t="array" ref="AK1328">_xlfn.IFS(R1328&lt;=3000,"Low",R1328&lt;=7000,"Mid",R1328&lt;=12000,"High",R1328&gt;12000,"Top")</f>
        <v>Top</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_xlfn.IFS(A1329&lt;=25,"Under 25",A1329&lt;=35,"26–35",A1329&lt;=45,"36–45",A1329&gt;45,"46+")</f>
        <v>46+</v>
      </c>
      <c r="AK1329" t="str" cm="1">
        <f t="array" ref="AK1329">_xlfn.IFS(R1329&lt;=3000,"Low",R1329&lt;=7000,"Mid",R1329&lt;=12000,"High",R1329&gt;12000,"Top")</f>
        <v>Top</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_xlfn.IFS(A1330&lt;=25,"Under 25",A1330&lt;=35,"26–35",A1330&lt;=45,"36–45",A1330&gt;45,"46+")</f>
        <v>26–35</v>
      </c>
      <c r="AK1330" t="str" cm="1">
        <f t="array" ref="AK1330">_xlfn.IFS(R1330&lt;=3000,"Low",R1330&lt;=7000,"Mid",R1330&lt;=12000,"High",R1330&gt;12000,"Top")</f>
        <v>Top</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_xlfn.IFS(A1331&lt;=25,"Under 25",A1331&lt;=35,"26–35",A1331&lt;=45,"36–45",A1331&gt;45,"46+")</f>
        <v>26–35</v>
      </c>
      <c r="AK1331" t="str" cm="1">
        <f t="array" ref="AK1331">_xlfn.IFS(R1331&lt;=3000,"Low",R1331&lt;=7000,"Mid",R1331&lt;=12000,"High",R1331&gt;12000,"Top")</f>
        <v>Top</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_xlfn.IFS(A1332&lt;=25,"Under 25",A1332&lt;=35,"26–35",A1332&lt;=45,"36–45",A1332&gt;45,"46+")</f>
        <v>36–45</v>
      </c>
      <c r="AK1332" t="str" cm="1">
        <f t="array" ref="AK1332">_xlfn.IFS(R1332&lt;=3000,"Low",R1332&lt;=7000,"Mid",R1332&lt;=12000,"High",R1332&gt;12000,"Top")</f>
        <v>Top</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_xlfn.IFS(A1333&lt;=25,"Under 25",A1333&lt;=35,"26–35",A1333&lt;=45,"36–45",A1333&gt;45,"46+")</f>
        <v>46+</v>
      </c>
      <c r="AK1333" t="str" cm="1">
        <f t="array" ref="AK1333">_xlfn.IFS(R1333&lt;=3000,"Low",R1333&lt;=7000,"Mid",R1333&lt;=12000,"High",R1333&gt;12000,"Top")</f>
        <v>Top</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_xlfn.IFS(A1334&lt;=25,"Under 25",A1334&lt;=35,"26–35",A1334&lt;=45,"36–45",A1334&gt;45,"46+")</f>
        <v>26–35</v>
      </c>
      <c r="AK1334" t="str" cm="1">
        <f t="array" ref="AK1334">_xlfn.IFS(R1334&lt;=3000,"Low",R1334&lt;=7000,"Mid",R1334&lt;=12000,"High",R1334&gt;12000,"Top")</f>
        <v>Top</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_xlfn.IFS(A1335&lt;=25,"Under 25",A1335&lt;=35,"26–35",A1335&lt;=45,"36–45",A1335&gt;45,"46+")</f>
        <v>46+</v>
      </c>
      <c r="AK1335" t="str" cm="1">
        <f t="array" ref="AK1335">_xlfn.IFS(R1335&lt;=3000,"Low",R1335&lt;=7000,"Mid",R1335&lt;=12000,"High",R1335&gt;12000,"Top")</f>
        <v>Top</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_xlfn.IFS(A1336&lt;=25,"Under 25",A1336&lt;=35,"26–35",A1336&lt;=45,"36–45",A1336&gt;45,"46+")</f>
        <v>26–35</v>
      </c>
      <c r="AK1336" t="str" cm="1">
        <f t="array" ref="AK1336">_xlfn.IFS(R1336&lt;=3000,"Low",R1336&lt;=7000,"Mid",R1336&lt;=12000,"High",R1336&gt;12000,"Top")</f>
        <v>Top</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_xlfn.IFS(A1337&lt;=25,"Under 25",A1337&lt;=35,"26–35",A1337&lt;=45,"36–45",A1337&gt;45,"46+")</f>
        <v>36–45</v>
      </c>
      <c r="AK1337" t="str" cm="1">
        <f t="array" ref="AK1337">_xlfn.IFS(R1337&lt;=3000,"Low",R1337&lt;=7000,"Mid",R1337&lt;=12000,"High",R1337&gt;12000,"Top")</f>
        <v>Top</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_xlfn.IFS(A1338&lt;=25,"Under 25",A1338&lt;=35,"26–35",A1338&lt;=45,"36–45",A1338&gt;45,"46+")</f>
        <v>46+</v>
      </c>
      <c r="AK1338" t="str" cm="1">
        <f t="array" ref="AK1338">_xlfn.IFS(R1338&lt;=3000,"Low",R1338&lt;=7000,"Mid",R1338&lt;=12000,"High",R1338&gt;12000,"Top")</f>
        <v>Top</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_xlfn.IFS(A1339&lt;=25,"Under 25",A1339&lt;=35,"26–35",A1339&lt;=45,"36–45",A1339&gt;45,"46+")</f>
        <v>26–35</v>
      </c>
      <c r="AK1339" t="str" cm="1">
        <f t="array" ref="AK1339">_xlfn.IFS(R1339&lt;=3000,"Low",R1339&lt;=7000,"Mid",R1339&lt;=12000,"High",R1339&gt;12000,"Top")</f>
        <v>Top</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_xlfn.IFS(A1340&lt;=25,"Under 25",A1340&lt;=35,"26–35",A1340&lt;=45,"36–45",A1340&gt;45,"46+")</f>
        <v>26–35</v>
      </c>
      <c r="AK1340" t="str" cm="1">
        <f t="array" ref="AK1340">_xlfn.IFS(R1340&lt;=3000,"Low",R1340&lt;=7000,"Mid",R1340&lt;=12000,"High",R1340&gt;12000,"Top")</f>
        <v>Top</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_xlfn.IFS(A1341&lt;=25,"Under 25",A1341&lt;=35,"26–35",A1341&lt;=45,"36–45",A1341&gt;45,"46+")</f>
        <v>Under 25</v>
      </c>
      <c r="AK1341" t="str" cm="1">
        <f t="array" ref="AK1341">_xlfn.IFS(R1341&lt;=3000,"Low",R1341&lt;=7000,"Mid",R1341&lt;=12000,"High",R1341&gt;12000,"Top")</f>
        <v>Top</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_xlfn.IFS(A1342&lt;=25,"Under 25",A1342&lt;=35,"26–35",A1342&lt;=45,"36–45",A1342&gt;45,"46+")</f>
        <v>36–45</v>
      </c>
      <c r="AK1342" t="str" cm="1">
        <f t="array" ref="AK1342">_xlfn.IFS(R1342&lt;=3000,"Low",R1342&lt;=7000,"Mid",R1342&lt;=12000,"High",R1342&gt;12000,"Top")</f>
        <v>Top</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_xlfn.IFS(A1343&lt;=25,"Under 25",A1343&lt;=35,"26–35",A1343&lt;=45,"36–45",A1343&gt;45,"46+")</f>
        <v>26–35</v>
      </c>
      <c r="AK1343" t="str" cm="1">
        <f t="array" ref="AK1343">_xlfn.IFS(R1343&lt;=3000,"Low",R1343&lt;=7000,"Mid",R1343&lt;=12000,"High",R1343&gt;12000,"Top")</f>
        <v>Top</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_xlfn.IFS(A1344&lt;=25,"Under 25",A1344&lt;=35,"26–35",A1344&lt;=45,"36–45",A1344&gt;45,"46+")</f>
        <v>26–35</v>
      </c>
      <c r="AK1344" t="str" cm="1">
        <f t="array" ref="AK1344">_xlfn.IFS(R1344&lt;=3000,"Low",R1344&lt;=7000,"Mid",R1344&lt;=12000,"High",R1344&gt;12000,"Top")</f>
        <v>Top</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_xlfn.IFS(A1345&lt;=25,"Under 25",A1345&lt;=35,"26–35",A1345&lt;=45,"36–45",A1345&gt;45,"46+")</f>
        <v>26–35</v>
      </c>
      <c r="AK1345" t="str" cm="1">
        <f t="array" ref="AK1345">_xlfn.IFS(R1345&lt;=3000,"Low",R1345&lt;=7000,"Mid",R1345&lt;=12000,"High",R1345&gt;12000,"Top")</f>
        <v>Top</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_xlfn.IFS(A1346&lt;=25,"Under 25",A1346&lt;=35,"26–35",A1346&lt;=45,"36–45",A1346&gt;45,"46+")</f>
        <v>36–45</v>
      </c>
      <c r="AK1346" t="str" cm="1">
        <f t="array" ref="AK1346">_xlfn.IFS(R1346&lt;=3000,"Low",R1346&lt;=7000,"Mid",R1346&lt;=12000,"High",R1346&gt;12000,"Top")</f>
        <v>Top</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_xlfn.IFS(A1347&lt;=25,"Under 25",A1347&lt;=35,"26–35",A1347&lt;=45,"36–45",A1347&gt;45,"46+")</f>
        <v>26–35</v>
      </c>
      <c r="AK1347" t="str" cm="1">
        <f t="array" ref="AK1347">_xlfn.IFS(R1347&lt;=3000,"Low",R1347&lt;=7000,"Mid",R1347&lt;=12000,"High",R1347&gt;12000,"Top")</f>
        <v>Top</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_xlfn.IFS(A1348&lt;=25,"Under 25",A1348&lt;=35,"26–35",A1348&lt;=45,"36–45",A1348&gt;45,"46+")</f>
        <v>36–45</v>
      </c>
      <c r="AK1348" t="str" cm="1">
        <f t="array" ref="AK1348">_xlfn.IFS(R1348&lt;=3000,"Low",R1348&lt;=7000,"Mid",R1348&lt;=12000,"High",R1348&gt;12000,"Top")</f>
        <v>Top</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_xlfn.IFS(A1349&lt;=25,"Under 25",A1349&lt;=35,"26–35",A1349&lt;=45,"36–45",A1349&gt;45,"46+")</f>
        <v>36–45</v>
      </c>
      <c r="AK1349" t="str" cm="1">
        <f t="array" ref="AK1349">_xlfn.IFS(R1349&lt;=3000,"Low",R1349&lt;=7000,"Mid",R1349&lt;=12000,"High",R1349&gt;12000,"Top")</f>
        <v>Top</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_xlfn.IFS(A1350&lt;=25,"Under 25",A1350&lt;=35,"26–35",A1350&lt;=45,"36–45",A1350&gt;45,"46+")</f>
        <v>36–45</v>
      </c>
      <c r="AK1350" t="str" cm="1">
        <f t="array" ref="AK1350">_xlfn.IFS(R1350&lt;=3000,"Low",R1350&lt;=7000,"Mid",R1350&lt;=12000,"High",R1350&gt;12000,"Top")</f>
        <v>Top</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_xlfn.IFS(A1351&lt;=25,"Under 25",A1351&lt;=35,"26–35",A1351&lt;=45,"36–45",A1351&gt;45,"46+")</f>
        <v>26–35</v>
      </c>
      <c r="AK1351" t="str" cm="1">
        <f t="array" ref="AK1351">_xlfn.IFS(R1351&lt;=3000,"Low",R1351&lt;=7000,"Mid",R1351&lt;=12000,"High",R1351&gt;12000,"Top")</f>
        <v>Top</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_xlfn.IFS(A1352&lt;=25,"Under 25",A1352&lt;=35,"26–35",A1352&lt;=45,"36–45",A1352&gt;45,"46+")</f>
        <v>26–35</v>
      </c>
      <c r="AK1352" t="str" cm="1">
        <f t="array" ref="AK1352">_xlfn.IFS(R1352&lt;=3000,"Low",R1352&lt;=7000,"Mid",R1352&lt;=12000,"High",R1352&gt;12000,"Top")</f>
        <v>Top</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_xlfn.IFS(A1353&lt;=25,"Under 25",A1353&lt;=35,"26–35",A1353&lt;=45,"36–45",A1353&gt;45,"46+")</f>
        <v>46+</v>
      </c>
      <c r="AK1353" t="str" cm="1">
        <f t="array" ref="AK1353">_xlfn.IFS(R1353&lt;=3000,"Low",R1353&lt;=7000,"Mid",R1353&lt;=12000,"High",R1353&gt;12000,"Top")</f>
        <v>Top</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_xlfn.IFS(A1354&lt;=25,"Under 25",A1354&lt;=35,"26–35",A1354&lt;=45,"36–45",A1354&gt;45,"46+")</f>
        <v>36–45</v>
      </c>
      <c r="AK1354" t="str" cm="1">
        <f t="array" ref="AK1354">_xlfn.IFS(R1354&lt;=3000,"Low",R1354&lt;=7000,"Mid",R1354&lt;=12000,"High",R1354&gt;12000,"Top")</f>
        <v>Top</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_xlfn.IFS(A1355&lt;=25,"Under 25",A1355&lt;=35,"26–35",A1355&lt;=45,"36–45",A1355&gt;45,"46+")</f>
        <v>26–35</v>
      </c>
      <c r="AK1355" t="str" cm="1">
        <f t="array" ref="AK1355">_xlfn.IFS(R1355&lt;=3000,"Low",R1355&lt;=7000,"Mid",R1355&lt;=12000,"High",R1355&gt;12000,"Top")</f>
        <v>Top</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_xlfn.IFS(A1356&lt;=25,"Under 25",A1356&lt;=35,"26–35",A1356&lt;=45,"36–45",A1356&gt;45,"46+")</f>
        <v>46+</v>
      </c>
      <c r="AK1356" t="str" cm="1">
        <f t="array" ref="AK1356">_xlfn.IFS(R1356&lt;=3000,"Low",R1356&lt;=7000,"Mid",R1356&lt;=12000,"High",R1356&gt;12000,"Top")</f>
        <v>Top</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_xlfn.IFS(A1357&lt;=25,"Under 25",A1357&lt;=35,"26–35",A1357&lt;=45,"36–45",A1357&gt;45,"46+")</f>
        <v>36–45</v>
      </c>
      <c r="AK1357" t="str" cm="1">
        <f t="array" ref="AK1357">_xlfn.IFS(R1357&lt;=3000,"Low",R1357&lt;=7000,"Mid",R1357&lt;=12000,"High",R1357&gt;12000,"Top")</f>
        <v>Top</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_xlfn.IFS(A1358&lt;=25,"Under 25",A1358&lt;=35,"26–35",A1358&lt;=45,"36–45",A1358&gt;45,"46+")</f>
        <v>36–45</v>
      </c>
      <c r="AK1358" t="str" cm="1">
        <f t="array" ref="AK1358">_xlfn.IFS(R1358&lt;=3000,"Low",R1358&lt;=7000,"Mid",R1358&lt;=12000,"High",R1358&gt;12000,"Top")</f>
        <v>Top</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_xlfn.IFS(A1359&lt;=25,"Under 25",A1359&lt;=35,"26–35",A1359&lt;=45,"36–45",A1359&gt;45,"46+")</f>
        <v>36–45</v>
      </c>
      <c r="AK1359" t="str" cm="1">
        <f t="array" ref="AK1359">_xlfn.IFS(R1359&lt;=3000,"Low",R1359&lt;=7000,"Mid",R1359&lt;=12000,"High",R1359&gt;12000,"Top")</f>
        <v>Top</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_xlfn.IFS(A1360&lt;=25,"Under 25",A1360&lt;=35,"26–35",A1360&lt;=45,"36–45",A1360&gt;45,"46+")</f>
        <v>26–35</v>
      </c>
      <c r="AK1360" t="str" cm="1">
        <f t="array" ref="AK1360">_xlfn.IFS(R1360&lt;=3000,"Low",R1360&lt;=7000,"Mid",R1360&lt;=12000,"High",R1360&gt;12000,"Top")</f>
        <v>Top</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_xlfn.IFS(A1361&lt;=25,"Under 25",A1361&lt;=35,"26–35",A1361&lt;=45,"36–45",A1361&gt;45,"46+")</f>
        <v>26–35</v>
      </c>
      <c r="AK1361" t="str" cm="1">
        <f t="array" ref="AK1361">_xlfn.IFS(R1361&lt;=3000,"Low",R1361&lt;=7000,"Mid",R1361&lt;=12000,"High",R1361&gt;12000,"Top")</f>
        <v>Top</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_xlfn.IFS(A1362&lt;=25,"Under 25",A1362&lt;=35,"26–35",A1362&lt;=45,"36–45",A1362&gt;45,"46+")</f>
        <v>26–35</v>
      </c>
      <c r="AK1362" t="str" cm="1">
        <f t="array" ref="AK1362">_xlfn.IFS(R1362&lt;=3000,"Low",R1362&lt;=7000,"Mid",R1362&lt;=12000,"High",R1362&gt;12000,"Top")</f>
        <v>Top</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_xlfn.IFS(A1363&lt;=25,"Under 25",A1363&lt;=35,"26–35",A1363&lt;=45,"36–45",A1363&gt;45,"46+")</f>
        <v>26–35</v>
      </c>
      <c r="AK1363" t="str" cm="1">
        <f t="array" ref="AK1363">_xlfn.IFS(R1363&lt;=3000,"Low",R1363&lt;=7000,"Mid",R1363&lt;=12000,"High",R1363&gt;12000,"Top")</f>
        <v>Top</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_xlfn.IFS(A1364&lt;=25,"Under 25",A1364&lt;=35,"26–35",A1364&lt;=45,"36–45",A1364&gt;45,"46+")</f>
        <v>36–45</v>
      </c>
      <c r="AK1364" t="str" cm="1">
        <f t="array" ref="AK1364">_xlfn.IFS(R1364&lt;=3000,"Low",R1364&lt;=7000,"Mid",R1364&lt;=12000,"High",R1364&gt;12000,"Top")</f>
        <v>Top</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_xlfn.IFS(A1365&lt;=25,"Under 25",A1365&lt;=35,"26–35",A1365&lt;=45,"36–45",A1365&gt;45,"46+")</f>
        <v>26–35</v>
      </c>
      <c r="AK1365" t="str" cm="1">
        <f t="array" ref="AK1365">_xlfn.IFS(R1365&lt;=3000,"Low",R1365&lt;=7000,"Mid",R1365&lt;=12000,"High",R1365&gt;12000,"Top")</f>
        <v>Top</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_xlfn.IFS(A1366&lt;=25,"Under 25",A1366&lt;=35,"26–35",A1366&lt;=45,"36–45",A1366&gt;45,"46+")</f>
        <v>26–35</v>
      </c>
      <c r="AK1366" t="str" cm="1">
        <f t="array" ref="AK1366">_xlfn.IFS(R1366&lt;=3000,"Low",R1366&lt;=7000,"Mid",R1366&lt;=12000,"High",R1366&gt;12000,"Top")</f>
        <v>Top</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_xlfn.IFS(A1367&lt;=25,"Under 25",A1367&lt;=35,"26–35",A1367&lt;=45,"36–45",A1367&gt;45,"46+")</f>
        <v>26–35</v>
      </c>
      <c r="AK1367" t="str" cm="1">
        <f t="array" ref="AK1367">_xlfn.IFS(R1367&lt;=3000,"Low",R1367&lt;=7000,"Mid",R1367&lt;=12000,"High",R1367&gt;12000,"Top")</f>
        <v>Top</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_xlfn.IFS(A1368&lt;=25,"Under 25",A1368&lt;=35,"26–35",A1368&lt;=45,"36–45",A1368&gt;45,"46+")</f>
        <v>36–45</v>
      </c>
      <c r="AK1368" t="str" cm="1">
        <f t="array" ref="AK1368">_xlfn.IFS(R1368&lt;=3000,"Low",R1368&lt;=7000,"Mid",R1368&lt;=12000,"High",R1368&gt;12000,"Top")</f>
        <v>Top</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_xlfn.IFS(A1369&lt;=25,"Under 25",A1369&lt;=35,"26–35",A1369&lt;=45,"36–45",A1369&gt;45,"46+")</f>
        <v>26–35</v>
      </c>
      <c r="AK1369" t="str" cm="1">
        <f t="array" ref="AK1369">_xlfn.IFS(R1369&lt;=3000,"Low",R1369&lt;=7000,"Mid",R1369&lt;=12000,"High",R1369&gt;12000,"Top")</f>
        <v>Top</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_xlfn.IFS(A1370&lt;=25,"Under 25",A1370&lt;=35,"26–35",A1370&lt;=45,"36–45",A1370&gt;45,"46+")</f>
        <v>26–35</v>
      </c>
      <c r="AK1370" t="str" cm="1">
        <f t="array" ref="AK1370">_xlfn.IFS(R1370&lt;=3000,"Low",R1370&lt;=7000,"Mid",R1370&lt;=12000,"High",R1370&gt;12000,"Top")</f>
        <v>Top</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_xlfn.IFS(A1371&lt;=25,"Under 25",A1371&lt;=35,"26–35",A1371&lt;=45,"36–45",A1371&gt;45,"46+")</f>
        <v>26–35</v>
      </c>
      <c r="AK1371" t="str" cm="1">
        <f t="array" ref="AK1371">_xlfn.IFS(R1371&lt;=3000,"Low",R1371&lt;=7000,"Mid",R1371&lt;=12000,"High",R1371&gt;12000,"Top")</f>
        <v>Top</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_xlfn.IFS(A1372&lt;=25,"Under 25",A1372&lt;=35,"26–35",A1372&lt;=45,"36–45",A1372&gt;45,"46+")</f>
        <v>46+</v>
      </c>
      <c r="AK1372" t="str" cm="1">
        <f t="array" ref="AK1372">_xlfn.IFS(R1372&lt;=3000,"Low",R1372&lt;=7000,"Mid",R1372&lt;=12000,"High",R1372&gt;12000,"Top")</f>
        <v>Top</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_xlfn.IFS(A1373&lt;=25,"Under 25",A1373&lt;=35,"26–35",A1373&lt;=45,"36–45",A1373&gt;45,"46+")</f>
        <v>46+</v>
      </c>
      <c r="AK1373" t="str" cm="1">
        <f t="array" ref="AK1373">_xlfn.IFS(R1373&lt;=3000,"Low",R1373&lt;=7000,"Mid",R1373&lt;=12000,"High",R1373&gt;12000,"Top")</f>
        <v>Top</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_xlfn.IFS(A1374&lt;=25,"Under 25",A1374&lt;=35,"26–35",A1374&lt;=45,"36–45",A1374&gt;45,"46+")</f>
        <v>36–45</v>
      </c>
      <c r="AK1374" t="str" cm="1">
        <f t="array" ref="AK1374">_xlfn.IFS(R1374&lt;=3000,"Low",R1374&lt;=7000,"Mid",R1374&lt;=12000,"High",R1374&gt;12000,"Top")</f>
        <v>Top</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_xlfn.IFS(A1375&lt;=25,"Under 25",A1375&lt;=35,"26–35",A1375&lt;=45,"36–45",A1375&gt;45,"46+")</f>
        <v>36–45</v>
      </c>
      <c r="AK1375" t="str" cm="1">
        <f t="array" ref="AK1375">_xlfn.IFS(R1375&lt;=3000,"Low",R1375&lt;=7000,"Mid",R1375&lt;=12000,"High",R1375&gt;12000,"Top")</f>
        <v>Top</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_xlfn.IFS(A1376&lt;=25,"Under 25",A1376&lt;=35,"26–35",A1376&lt;=45,"36–45",A1376&gt;45,"46+")</f>
        <v>46+</v>
      </c>
      <c r="AK1376" t="str" cm="1">
        <f t="array" ref="AK1376">_xlfn.IFS(R1376&lt;=3000,"Low",R1376&lt;=7000,"Mid",R1376&lt;=12000,"High",R1376&gt;12000,"Top")</f>
        <v>Top</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_xlfn.IFS(A1377&lt;=25,"Under 25",A1377&lt;=35,"26–35",A1377&lt;=45,"36–45",A1377&gt;45,"46+")</f>
        <v>26–35</v>
      </c>
      <c r="AK1377" t="str" cm="1">
        <f t="array" ref="AK1377">_xlfn.IFS(R1377&lt;=3000,"Low",R1377&lt;=7000,"Mid",R1377&lt;=12000,"High",R1377&gt;12000,"Top")</f>
        <v>Top</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_xlfn.IFS(A1378&lt;=25,"Under 25",A1378&lt;=35,"26–35",A1378&lt;=45,"36–45",A1378&gt;45,"46+")</f>
        <v>36–45</v>
      </c>
      <c r="AK1378" t="str" cm="1">
        <f t="array" ref="AK1378">_xlfn.IFS(R1378&lt;=3000,"Low",R1378&lt;=7000,"Mid",R1378&lt;=12000,"High",R1378&gt;12000,"Top")</f>
        <v>Top</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_xlfn.IFS(A1379&lt;=25,"Under 25",A1379&lt;=35,"26–35",A1379&lt;=45,"36–45",A1379&gt;45,"46+")</f>
        <v>46+</v>
      </c>
      <c r="AK1379" t="str" cm="1">
        <f t="array" ref="AK1379">_xlfn.IFS(R1379&lt;=3000,"Low",R1379&lt;=7000,"Mid",R1379&lt;=12000,"High",R1379&gt;12000,"Top")</f>
        <v>Top</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_xlfn.IFS(A1380&lt;=25,"Under 25",A1380&lt;=35,"26–35",A1380&lt;=45,"36–45",A1380&gt;45,"46+")</f>
        <v>36–45</v>
      </c>
      <c r="AK1380" t="str" cm="1">
        <f t="array" ref="AK1380">_xlfn.IFS(R1380&lt;=3000,"Low",R1380&lt;=7000,"Mid",R1380&lt;=12000,"High",R1380&gt;12000,"Top")</f>
        <v>Top</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_xlfn.IFS(A1381&lt;=25,"Under 25",A1381&lt;=35,"26–35",A1381&lt;=45,"36–45",A1381&gt;45,"46+")</f>
        <v>26–35</v>
      </c>
      <c r="AK1381" t="str" cm="1">
        <f t="array" ref="AK1381">_xlfn.IFS(R1381&lt;=3000,"Low",R1381&lt;=7000,"Mid",R1381&lt;=12000,"High",R1381&gt;12000,"Top")</f>
        <v>Top</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_xlfn.IFS(A1382&lt;=25,"Under 25",A1382&lt;=35,"26–35",A1382&lt;=45,"36–45",A1382&gt;45,"46+")</f>
        <v>26–35</v>
      </c>
      <c r="AK1382" t="str" cm="1">
        <f t="array" ref="AK1382">_xlfn.IFS(R1382&lt;=3000,"Low",R1382&lt;=7000,"Mid",R1382&lt;=12000,"High",R1382&gt;12000,"Top")</f>
        <v>Top</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_xlfn.IFS(A1383&lt;=25,"Under 25",A1383&lt;=35,"26–35",A1383&lt;=45,"36–45",A1383&gt;45,"46+")</f>
        <v>26–35</v>
      </c>
      <c r="AK1383" t="str" cm="1">
        <f t="array" ref="AK1383">_xlfn.IFS(R1383&lt;=3000,"Low",R1383&lt;=7000,"Mid",R1383&lt;=12000,"High",R1383&gt;12000,"Top")</f>
        <v>Top</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_xlfn.IFS(A1384&lt;=25,"Under 25",A1384&lt;=35,"26–35",A1384&lt;=45,"36–45",A1384&gt;45,"46+")</f>
        <v>26–35</v>
      </c>
      <c r="AK1384" t="str" cm="1">
        <f t="array" ref="AK1384">_xlfn.IFS(R1384&lt;=3000,"Low",R1384&lt;=7000,"Mid",R1384&lt;=12000,"High",R1384&gt;12000,"Top")</f>
        <v>Top</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_xlfn.IFS(A1385&lt;=25,"Under 25",A1385&lt;=35,"26–35",A1385&lt;=45,"36–45",A1385&gt;45,"46+")</f>
        <v>36–45</v>
      </c>
      <c r="AK1385" t="str" cm="1">
        <f t="array" ref="AK1385">_xlfn.IFS(R1385&lt;=3000,"Low",R1385&lt;=7000,"Mid",R1385&lt;=12000,"High",R1385&gt;12000,"Top")</f>
        <v>Top</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_xlfn.IFS(A1386&lt;=25,"Under 25",A1386&lt;=35,"26–35",A1386&lt;=45,"36–45",A1386&gt;45,"46+")</f>
        <v>26–35</v>
      </c>
      <c r="AK1386" t="str" cm="1">
        <f t="array" ref="AK1386">_xlfn.IFS(R1386&lt;=3000,"Low",R1386&lt;=7000,"Mid",R1386&lt;=12000,"High",R1386&gt;12000,"Top")</f>
        <v>Top</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_xlfn.IFS(A1387&lt;=25,"Under 25",A1387&lt;=35,"26–35",A1387&lt;=45,"36–45",A1387&gt;45,"46+")</f>
        <v>26–35</v>
      </c>
      <c r="AK1387" t="str" cm="1">
        <f t="array" ref="AK1387">_xlfn.IFS(R1387&lt;=3000,"Low",R1387&lt;=7000,"Mid",R1387&lt;=12000,"High",R1387&gt;12000,"Top")</f>
        <v>Top</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_xlfn.IFS(A1388&lt;=25,"Under 25",A1388&lt;=35,"26–35",A1388&lt;=45,"36–45",A1388&gt;45,"46+")</f>
        <v>26–35</v>
      </c>
      <c r="AK1388" t="str" cm="1">
        <f t="array" ref="AK1388">_xlfn.IFS(R1388&lt;=3000,"Low",R1388&lt;=7000,"Mid",R1388&lt;=12000,"High",R1388&gt;12000,"Top")</f>
        <v>Top</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_xlfn.IFS(A1389&lt;=25,"Under 25",A1389&lt;=35,"26–35",A1389&lt;=45,"36–45",A1389&gt;45,"46+")</f>
        <v>26–35</v>
      </c>
      <c r="AK1389" t="str" cm="1">
        <f t="array" ref="AK1389">_xlfn.IFS(R1389&lt;=3000,"Low",R1389&lt;=7000,"Mid",R1389&lt;=12000,"High",R1389&gt;12000,"Top")</f>
        <v>Top</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_xlfn.IFS(A1390&lt;=25,"Under 25",A1390&lt;=35,"26–35",A1390&lt;=45,"36–45",A1390&gt;45,"46+")</f>
        <v>26–35</v>
      </c>
      <c r="AK1390" t="str" cm="1">
        <f t="array" ref="AK1390">_xlfn.IFS(R1390&lt;=3000,"Low",R1390&lt;=7000,"Mid",R1390&lt;=12000,"High",R1390&gt;12000,"Top")</f>
        <v>Top</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_xlfn.IFS(A1391&lt;=25,"Under 25",A1391&lt;=35,"26–35",A1391&lt;=45,"36–45",A1391&gt;45,"46+")</f>
        <v>26–35</v>
      </c>
      <c r="AK1391" t="str" cm="1">
        <f t="array" ref="AK1391">_xlfn.IFS(R1391&lt;=3000,"Low",R1391&lt;=7000,"Mid",R1391&lt;=12000,"High",R1391&gt;12000,"Top")</f>
        <v>Top</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_xlfn.IFS(A1392&lt;=25,"Under 25",A1392&lt;=35,"26–35",A1392&lt;=45,"36–45",A1392&gt;45,"46+")</f>
        <v>26–35</v>
      </c>
      <c r="AK1392" t="str" cm="1">
        <f t="array" ref="AK1392">_xlfn.IFS(R1392&lt;=3000,"Low",R1392&lt;=7000,"Mid",R1392&lt;=12000,"High",R1392&gt;12000,"Top")</f>
        <v>Top</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_xlfn.IFS(A1393&lt;=25,"Under 25",A1393&lt;=35,"26–35",A1393&lt;=45,"36–45",A1393&gt;45,"46+")</f>
        <v>36–45</v>
      </c>
      <c r="AK1393" t="str" cm="1">
        <f t="array" ref="AK1393">_xlfn.IFS(R1393&lt;=3000,"Low",R1393&lt;=7000,"Mid",R1393&lt;=12000,"High",R1393&gt;12000,"Top")</f>
        <v>Top</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_xlfn.IFS(A1394&lt;=25,"Under 25",A1394&lt;=35,"26–35",A1394&lt;=45,"36–45",A1394&gt;45,"46+")</f>
        <v>26–35</v>
      </c>
      <c r="AK1394" t="str" cm="1">
        <f t="array" ref="AK1394">_xlfn.IFS(R1394&lt;=3000,"Low",R1394&lt;=7000,"Mid",R1394&lt;=12000,"High",R1394&gt;12000,"Top")</f>
        <v>Top</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_xlfn.IFS(A1395&lt;=25,"Under 25",A1395&lt;=35,"26–35",A1395&lt;=45,"36–45",A1395&gt;45,"46+")</f>
        <v>26–35</v>
      </c>
      <c r="AK1395" t="str" cm="1">
        <f t="array" ref="AK1395">_xlfn.IFS(R1395&lt;=3000,"Low",R1395&lt;=7000,"Mid",R1395&lt;=12000,"High",R1395&gt;12000,"Top")</f>
        <v>Top</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_xlfn.IFS(A1396&lt;=25,"Under 25",A1396&lt;=35,"26–35",A1396&lt;=45,"36–45",A1396&gt;45,"46+")</f>
        <v>26–35</v>
      </c>
      <c r="AK1396" t="str" cm="1">
        <f t="array" ref="AK1396">_xlfn.IFS(R1396&lt;=3000,"Low",R1396&lt;=7000,"Mid",R1396&lt;=12000,"High",R1396&gt;12000,"Top")</f>
        <v>Top</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_xlfn.IFS(A1397&lt;=25,"Under 25",A1397&lt;=35,"26–35",A1397&lt;=45,"36–45",A1397&gt;45,"46+")</f>
        <v>26–35</v>
      </c>
      <c r="AK1397" t="str" cm="1">
        <f t="array" ref="AK1397">_xlfn.IFS(R1397&lt;=3000,"Low",R1397&lt;=7000,"Mid",R1397&lt;=12000,"High",R1397&gt;12000,"Top")</f>
        <v>Top</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_xlfn.IFS(A1398&lt;=25,"Under 25",A1398&lt;=35,"26–35",A1398&lt;=45,"36–45",A1398&gt;45,"46+")</f>
        <v>46+</v>
      </c>
      <c r="AK1398" t="str" cm="1">
        <f t="array" ref="AK1398">_xlfn.IFS(R1398&lt;=3000,"Low",R1398&lt;=7000,"Mid",R1398&lt;=12000,"High",R1398&gt;12000,"Top")</f>
        <v>Top</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_xlfn.IFS(A1399&lt;=25,"Under 25",A1399&lt;=35,"26–35",A1399&lt;=45,"36–45",A1399&gt;45,"46+")</f>
        <v>46+</v>
      </c>
      <c r="AK1399" t="str" cm="1">
        <f t="array" ref="AK1399">_xlfn.IFS(R1399&lt;=3000,"Low",R1399&lt;=7000,"Mid",R1399&lt;=12000,"High",R1399&gt;12000,"Top")</f>
        <v>Top</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_xlfn.IFS(A1400&lt;=25,"Under 25",A1400&lt;=35,"26–35",A1400&lt;=45,"36–45",A1400&gt;45,"46+")</f>
        <v>26–35</v>
      </c>
      <c r="AK1400" t="str" cm="1">
        <f t="array" ref="AK1400">_xlfn.IFS(R1400&lt;=3000,"Low",R1400&lt;=7000,"Mid",R1400&lt;=12000,"High",R1400&gt;12000,"Top")</f>
        <v>Top</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_xlfn.IFS(A1401&lt;=25,"Under 25",A1401&lt;=35,"26–35",A1401&lt;=45,"36–45",A1401&gt;45,"46+")</f>
        <v>36–45</v>
      </c>
      <c r="AK1401" t="str" cm="1">
        <f t="array" ref="AK1401">_xlfn.IFS(R1401&lt;=3000,"Low",R1401&lt;=7000,"Mid",R1401&lt;=12000,"High",R1401&gt;12000,"Top")</f>
        <v>Top</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_xlfn.IFS(A1402&lt;=25,"Under 25",A1402&lt;=35,"26–35",A1402&lt;=45,"36–45",A1402&gt;45,"46+")</f>
        <v>36–45</v>
      </c>
      <c r="AK1402" t="str" cm="1">
        <f t="array" ref="AK1402">_xlfn.IFS(R1402&lt;=3000,"Low",R1402&lt;=7000,"Mid",R1402&lt;=12000,"High",R1402&gt;12000,"Top")</f>
        <v>Top</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_xlfn.IFS(A1403&lt;=25,"Under 25",A1403&lt;=35,"26–35",A1403&lt;=45,"36–45",A1403&gt;45,"46+")</f>
        <v>46+</v>
      </c>
      <c r="AK1403" t="str" cm="1">
        <f t="array" ref="AK1403">_xlfn.IFS(R1403&lt;=3000,"Low",R1403&lt;=7000,"Mid",R1403&lt;=12000,"High",R1403&gt;12000,"Top")</f>
        <v>Top</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_xlfn.IFS(A1404&lt;=25,"Under 25",A1404&lt;=35,"26–35",A1404&lt;=45,"36–45",A1404&gt;45,"46+")</f>
        <v>26–35</v>
      </c>
      <c r="AK1404" t="str" cm="1">
        <f t="array" ref="AK1404">_xlfn.IFS(R1404&lt;=3000,"Low",R1404&lt;=7000,"Mid",R1404&lt;=12000,"High",R1404&gt;12000,"Top")</f>
        <v>Top</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_xlfn.IFS(A1405&lt;=25,"Under 25",A1405&lt;=35,"26–35",A1405&lt;=45,"36–45",A1405&gt;45,"46+")</f>
        <v>36–45</v>
      </c>
      <c r="AK1405" t="str" cm="1">
        <f t="array" ref="AK1405">_xlfn.IFS(R1405&lt;=3000,"Low",R1405&lt;=7000,"Mid",R1405&lt;=12000,"High",R1405&gt;12000,"Top")</f>
        <v>Top</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_xlfn.IFS(A1406&lt;=25,"Under 25",A1406&lt;=35,"26–35",A1406&lt;=45,"36–45",A1406&gt;45,"46+")</f>
        <v>36–45</v>
      </c>
      <c r="AK1406" t="str" cm="1">
        <f t="array" ref="AK1406">_xlfn.IFS(R1406&lt;=3000,"Low",R1406&lt;=7000,"Mid",R1406&lt;=12000,"High",R1406&gt;12000,"Top")</f>
        <v>Top</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_xlfn.IFS(A1407&lt;=25,"Under 25",A1407&lt;=35,"26–35",A1407&lt;=45,"36–45",A1407&gt;45,"46+")</f>
        <v>26–35</v>
      </c>
      <c r="AK1407" t="str" cm="1">
        <f t="array" ref="AK1407">_xlfn.IFS(R1407&lt;=3000,"Low",R1407&lt;=7000,"Mid",R1407&lt;=12000,"High",R1407&gt;12000,"Top")</f>
        <v>Top</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_xlfn.IFS(A1408&lt;=25,"Under 25",A1408&lt;=35,"26–35",A1408&lt;=45,"36–45",A1408&gt;45,"46+")</f>
        <v>46+</v>
      </c>
      <c r="AK1408" t="str" cm="1">
        <f t="array" ref="AK1408">_xlfn.IFS(R1408&lt;=3000,"Low",R1408&lt;=7000,"Mid",R1408&lt;=12000,"High",R1408&gt;12000,"Top")</f>
        <v>Top</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_xlfn.IFS(A1409&lt;=25,"Under 25",A1409&lt;=35,"26–35",A1409&lt;=45,"36–45",A1409&gt;45,"46+")</f>
        <v>Under 25</v>
      </c>
      <c r="AK1409" t="str" cm="1">
        <f t="array" ref="AK1409">_xlfn.IFS(R1409&lt;=3000,"Low",R1409&lt;=7000,"Mid",R1409&lt;=12000,"High",R1409&gt;12000,"Top")</f>
        <v>Top</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_xlfn.IFS(A1410&lt;=25,"Under 25",A1410&lt;=35,"26–35",A1410&lt;=45,"36–45",A1410&gt;45,"46+")</f>
        <v>Under 25</v>
      </c>
      <c r="AK1410" t="str" cm="1">
        <f t="array" ref="AK1410">_xlfn.IFS(R1410&lt;=3000,"Low",R1410&lt;=7000,"Mid",R1410&lt;=12000,"High",R1410&gt;12000,"Top")</f>
        <v>Top</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_xlfn.IFS(A1411&lt;=25,"Under 25",A1411&lt;=35,"26–35",A1411&lt;=45,"36–45",A1411&gt;45,"46+")</f>
        <v>36–45</v>
      </c>
      <c r="AK1411" t="str" cm="1">
        <f t="array" ref="AK1411">_xlfn.IFS(R1411&lt;=3000,"Low",R1411&lt;=7000,"Mid",R1411&lt;=12000,"High",R1411&gt;12000,"Top")</f>
        <v>Top</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_xlfn.IFS(A1412&lt;=25,"Under 25",A1412&lt;=35,"26–35",A1412&lt;=45,"36–45",A1412&gt;45,"46+")</f>
        <v>36–45</v>
      </c>
      <c r="AK1412" t="str" cm="1">
        <f t="array" ref="AK1412">_xlfn.IFS(R1412&lt;=3000,"Low",R1412&lt;=7000,"Mid",R1412&lt;=12000,"High",R1412&gt;12000,"Top")</f>
        <v>Top</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_xlfn.IFS(A1413&lt;=25,"Under 25",A1413&lt;=35,"26–35",A1413&lt;=45,"36–45",A1413&gt;45,"46+")</f>
        <v>Under 25</v>
      </c>
      <c r="AK1413" t="str" cm="1">
        <f t="array" ref="AK1413">_xlfn.IFS(R1413&lt;=3000,"Low",R1413&lt;=7000,"Mid",R1413&lt;=12000,"High",R1413&gt;12000,"Top")</f>
        <v>Top</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_xlfn.IFS(A1414&lt;=25,"Under 25",A1414&lt;=35,"26–35",A1414&lt;=45,"36–45",A1414&gt;45,"46+")</f>
        <v>26–35</v>
      </c>
      <c r="AK1414" t="str" cm="1">
        <f t="array" ref="AK1414">_xlfn.IFS(R1414&lt;=3000,"Low",R1414&lt;=7000,"Mid",R1414&lt;=12000,"High",R1414&gt;12000,"Top")</f>
        <v>Top</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_xlfn.IFS(A1415&lt;=25,"Under 25",A1415&lt;=35,"26–35",A1415&lt;=45,"36–45",A1415&gt;45,"46+")</f>
        <v>Under 25</v>
      </c>
      <c r="AK1415" t="str" cm="1">
        <f t="array" ref="AK1415">_xlfn.IFS(R1415&lt;=3000,"Low",R1415&lt;=7000,"Mid",R1415&lt;=12000,"High",R1415&gt;12000,"Top")</f>
        <v>Top</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_xlfn.IFS(A1416&lt;=25,"Under 25",A1416&lt;=35,"26–35",A1416&lt;=45,"36–45",A1416&gt;45,"46+")</f>
        <v>46+</v>
      </c>
      <c r="AK1416" t="str" cm="1">
        <f t="array" ref="AK1416">_xlfn.IFS(R1416&lt;=3000,"Low",R1416&lt;=7000,"Mid",R1416&lt;=12000,"High",R1416&gt;12000,"Top")</f>
        <v>Top</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_xlfn.IFS(A1417&lt;=25,"Under 25",A1417&lt;=35,"26–35",A1417&lt;=45,"36–45",A1417&gt;45,"46+")</f>
        <v>26–35</v>
      </c>
      <c r="AK1417" t="str" cm="1">
        <f t="array" ref="AK1417">_xlfn.IFS(R1417&lt;=3000,"Low",R1417&lt;=7000,"Mid",R1417&lt;=12000,"High",R1417&gt;12000,"Top")</f>
        <v>Top</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_xlfn.IFS(A1418&lt;=25,"Under 25",A1418&lt;=35,"26–35",A1418&lt;=45,"36–45",A1418&gt;45,"46+")</f>
        <v>36–45</v>
      </c>
      <c r="AK1418" t="str" cm="1">
        <f t="array" ref="AK1418">_xlfn.IFS(R1418&lt;=3000,"Low",R1418&lt;=7000,"Mid",R1418&lt;=12000,"High",R1418&gt;12000,"Top")</f>
        <v>Top</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_xlfn.IFS(A1419&lt;=25,"Under 25",A1419&lt;=35,"26–35",A1419&lt;=45,"36–45",A1419&gt;45,"46+")</f>
        <v>26–35</v>
      </c>
      <c r="AK1419" t="str" cm="1">
        <f t="array" ref="AK1419">_xlfn.IFS(R1419&lt;=3000,"Low",R1419&lt;=7000,"Mid",R1419&lt;=12000,"High",R1419&gt;12000,"Top")</f>
        <v>Top</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_xlfn.IFS(A1420&lt;=25,"Under 25",A1420&lt;=35,"26–35",A1420&lt;=45,"36–45",A1420&gt;45,"46+")</f>
        <v>36–45</v>
      </c>
      <c r="AK1420" t="str" cm="1">
        <f t="array" ref="AK1420">_xlfn.IFS(R1420&lt;=3000,"Low",R1420&lt;=7000,"Mid",R1420&lt;=12000,"High",R1420&gt;12000,"Top")</f>
        <v>Top</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_xlfn.IFS(A1421&lt;=25,"Under 25",A1421&lt;=35,"26–35",A1421&lt;=45,"36–45",A1421&gt;45,"46+")</f>
        <v>36–45</v>
      </c>
      <c r="AK1421" t="str" cm="1">
        <f t="array" ref="AK1421">_xlfn.IFS(R1421&lt;=3000,"Low",R1421&lt;=7000,"Mid",R1421&lt;=12000,"High",R1421&gt;12000,"Top")</f>
        <v>Top</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_xlfn.IFS(A1422&lt;=25,"Under 25",A1422&lt;=35,"26–35",A1422&lt;=45,"36–45",A1422&gt;45,"46+")</f>
        <v>36–45</v>
      </c>
      <c r="AK1422" t="str" cm="1">
        <f t="array" ref="AK1422">_xlfn.IFS(R1422&lt;=3000,"Low",R1422&lt;=7000,"Mid",R1422&lt;=12000,"High",R1422&gt;12000,"Top")</f>
        <v>Top</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_xlfn.IFS(A1423&lt;=25,"Under 25",A1423&lt;=35,"26–35",A1423&lt;=45,"36–45",A1423&gt;45,"46+")</f>
        <v>46+</v>
      </c>
      <c r="AK1423" t="str" cm="1">
        <f t="array" ref="AK1423">_xlfn.IFS(R1423&lt;=3000,"Low",R1423&lt;=7000,"Mid",R1423&lt;=12000,"High",R1423&gt;12000,"Top")</f>
        <v>Top</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_xlfn.IFS(A1424&lt;=25,"Under 25",A1424&lt;=35,"26–35",A1424&lt;=45,"36–45",A1424&gt;45,"46+")</f>
        <v>26–35</v>
      </c>
      <c r="AK1424" t="str" cm="1">
        <f t="array" ref="AK1424">_xlfn.IFS(R1424&lt;=3000,"Low",R1424&lt;=7000,"Mid",R1424&lt;=12000,"High",R1424&gt;12000,"Top")</f>
        <v>Top</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_xlfn.IFS(A1425&lt;=25,"Under 25",A1425&lt;=35,"26–35",A1425&lt;=45,"36–45",A1425&gt;45,"46+")</f>
        <v>Under 25</v>
      </c>
      <c r="AK1425" t="str" cm="1">
        <f t="array" ref="AK1425">_xlfn.IFS(R1425&lt;=3000,"Low",R1425&lt;=7000,"Mid",R1425&lt;=12000,"High",R1425&gt;12000,"Top")</f>
        <v>Top</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_xlfn.IFS(A1426&lt;=25,"Under 25",A1426&lt;=35,"26–35",A1426&lt;=45,"36–45",A1426&gt;45,"46+")</f>
        <v>26–35</v>
      </c>
      <c r="AK1426" t="str" cm="1">
        <f t="array" ref="AK1426">_xlfn.IFS(R1426&lt;=3000,"Low",R1426&lt;=7000,"Mid",R1426&lt;=12000,"High",R1426&gt;12000,"Top")</f>
        <v>Top</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_xlfn.IFS(A1427&lt;=25,"Under 25",A1427&lt;=35,"26–35",A1427&lt;=45,"36–45",A1427&gt;45,"46+")</f>
        <v>26–35</v>
      </c>
      <c r="AK1427" t="str" cm="1">
        <f t="array" ref="AK1427">_xlfn.IFS(R1427&lt;=3000,"Low",R1427&lt;=7000,"Mid",R1427&lt;=12000,"High",R1427&gt;12000,"Top")</f>
        <v>Top</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_xlfn.IFS(A1428&lt;=25,"Under 25",A1428&lt;=35,"26–35",A1428&lt;=45,"36–45",A1428&gt;45,"46+")</f>
        <v>26–35</v>
      </c>
      <c r="AK1428" t="str" cm="1">
        <f t="array" ref="AK1428">_xlfn.IFS(R1428&lt;=3000,"Low",R1428&lt;=7000,"Mid",R1428&lt;=12000,"High",R1428&gt;12000,"Top")</f>
        <v>Top</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_xlfn.IFS(A1429&lt;=25,"Under 25",A1429&lt;=35,"26–35",A1429&lt;=45,"36–45",A1429&gt;45,"46+")</f>
        <v>36–45</v>
      </c>
      <c r="AK1429" t="str" cm="1">
        <f t="array" ref="AK1429">_xlfn.IFS(R1429&lt;=3000,"Low",R1429&lt;=7000,"Mid",R1429&lt;=12000,"High",R1429&gt;12000,"Top")</f>
        <v>Top</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_xlfn.IFS(A1430&lt;=25,"Under 25",A1430&lt;=35,"26–35",A1430&lt;=45,"36–45",A1430&gt;45,"46+")</f>
        <v>26–35</v>
      </c>
      <c r="AK1430" t="str" cm="1">
        <f t="array" ref="AK1430">_xlfn.IFS(R1430&lt;=3000,"Low",R1430&lt;=7000,"Mid",R1430&lt;=12000,"High",R1430&gt;12000,"Top")</f>
        <v>Top</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_xlfn.IFS(A1431&lt;=25,"Under 25",A1431&lt;=35,"26–35",A1431&lt;=45,"36–45",A1431&gt;45,"46+")</f>
        <v>36–45</v>
      </c>
      <c r="AK1431" t="str" cm="1">
        <f t="array" ref="AK1431">_xlfn.IFS(R1431&lt;=3000,"Low",R1431&lt;=7000,"Mid",R1431&lt;=12000,"High",R1431&gt;12000,"Top")</f>
        <v>Top</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_xlfn.IFS(A1432&lt;=25,"Under 25",A1432&lt;=35,"26–35",A1432&lt;=45,"36–45",A1432&gt;45,"46+")</f>
        <v>36–45</v>
      </c>
      <c r="AK1432" t="str" cm="1">
        <f t="array" ref="AK1432">_xlfn.IFS(R1432&lt;=3000,"Low",R1432&lt;=7000,"Mid",R1432&lt;=12000,"High",R1432&gt;12000,"Top")</f>
        <v>Top</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_xlfn.IFS(A1433&lt;=25,"Under 25",A1433&lt;=35,"26–35",A1433&lt;=45,"36–45",A1433&gt;45,"46+")</f>
        <v>26–35</v>
      </c>
      <c r="AK1433" t="str" cm="1">
        <f t="array" ref="AK1433">_xlfn.IFS(R1433&lt;=3000,"Low",R1433&lt;=7000,"Mid",R1433&lt;=12000,"High",R1433&gt;12000,"Top")</f>
        <v>Top</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_xlfn.IFS(A1434&lt;=25,"Under 25",A1434&lt;=35,"26–35",A1434&lt;=45,"36–45",A1434&gt;45,"46+")</f>
        <v>36–45</v>
      </c>
      <c r="AK1434" t="str" cm="1">
        <f t="array" ref="AK1434">_xlfn.IFS(R1434&lt;=3000,"Low",R1434&lt;=7000,"Mid",R1434&lt;=12000,"High",R1434&gt;12000,"Top")</f>
        <v>Top</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_xlfn.IFS(A1435&lt;=25,"Under 25",A1435&lt;=35,"26–35",A1435&lt;=45,"36–45",A1435&gt;45,"46+")</f>
        <v>Under 25</v>
      </c>
      <c r="AK1435" t="str" cm="1">
        <f t="array" ref="AK1435">_xlfn.IFS(R1435&lt;=3000,"Low",R1435&lt;=7000,"Mid",R1435&lt;=12000,"High",R1435&gt;12000,"Top")</f>
        <v>Top</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_xlfn.IFS(A1436&lt;=25,"Under 25",A1436&lt;=35,"26–35",A1436&lt;=45,"36–45",A1436&gt;45,"46+")</f>
        <v>46+</v>
      </c>
      <c r="AK1436" t="str" cm="1">
        <f t="array" ref="AK1436">_xlfn.IFS(R1436&lt;=3000,"Low",R1436&lt;=7000,"Mid",R1436&lt;=12000,"High",R1436&gt;12000,"Top")</f>
        <v>Top</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_xlfn.IFS(A1437&lt;=25,"Under 25",A1437&lt;=35,"26–35",A1437&lt;=45,"36–45",A1437&gt;45,"46+")</f>
        <v>36–45</v>
      </c>
      <c r="AK1437" t="str" cm="1">
        <f t="array" ref="AK1437">_xlfn.IFS(R1437&lt;=3000,"Low",R1437&lt;=7000,"Mid",R1437&lt;=12000,"High",R1437&gt;12000,"Top")</f>
        <v>Top</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_xlfn.IFS(A1438&lt;=25,"Under 25",A1438&lt;=35,"26–35",A1438&lt;=45,"36–45",A1438&gt;45,"46+")</f>
        <v>Under 25</v>
      </c>
      <c r="AK1438" t="str" cm="1">
        <f t="array" ref="AK1438">_xlfn.IFS(R1438&lt;=3000,"Low",R1438&lt;=7000,"Mid",R1438&lt;=12000,"High",R1438&gt;12000,"Top")</f>
        <v>Top</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_xlfn.IFS(A1439&lt;=25,"Under 25",A1439&lt;=35,"26–35",A1439&lt;=45,"36–45",A1439&gt;45,"46+")</f>
        <v>36–45</v>
      </c>
      <c r="AK1439" t="str" cm="1">
        <f t="array" ref="AK1439">_xlfn.IFS(R1439&lt;=3000,"Low",R1439&lt;=7000,"Mid",R1439&lt;=12000,"High",R1439&gt;12000,"Top")</f>
        <v>Top</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_xlfn.IFS(A1440&lt;=25,"Under 25",A1440&lt;=35,"26–35",A1440&lt;=45,"36–45",A1440&gt;45,"46+")</f>
        <v>Under 25</v>
      </c>
      <c r="AK1440" t="str" cm="1">
        <f t="array" ref="AK1440">_xlfn.IFS(R1440&lt;=3000,"Low",R1440&lt;=7000,"Mid",R1440&lt;=12000,"High",R1440&gt;12000,"Top")</f>
        <v>Top</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_xlfn.IFS(A1441&lt;=25,"Under 25",A1441&lt;=35,"26–35",A1441&lt;=45,"36–45",A1441&gt;45,"46+")</f>
        <v>36–45</v>
      </c>
      <c r="AK1441" t="str" cm="1">
        <f t="array" ref="AK1441">_xlfn.IFS(R1441&lt;=3000,"Low",R1441&lt;=7000,"Mid",R1441&lt;=12000,"High",R1441&gt;12000,"Top")</f>
        <v>Top</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_xlfn.IFS(A1442&lt;=25,"Under 25",A1442&lt;=35,"26–35",A1442&lt;=45,"36–45",A1442&gt;45,"46+")</f>
        <v>36–45</v>
      </c>
      <c r="AK1442" t="str" cm="1">
        <f t="array" ref="AK1442">_xlfn.IFS(R1442&lt;=3000,"Low",R1442&lt;=7000,"Mid",R1442&lt;=12000,"High",R1442&gt;12000,"Top")</f>
        <v>Top</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_xlfn.IFS(A1443&lt;=25,"Under 25",A1443&lt;=35,"26–35",A1443&lt;=45,"36–45",A1443&gt;45,"46+")</f>
        <v>46+</v>
      </c>
      <c r="AK1443" t="str" cm="1">
        <f t="array" ref="AK1443">_xlfn.IFS(R1443&lt;=3000,"Low",R1443&lt;=7000,"Mid",R1443&lt;=12000,"High",R1443&gt;12000,"Top")</f>
        <v>Top</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_xlfn.IFS(A1444&lt;=25,"Under 25",A1444&lt;=35,"26–35",A1444&lt;=45,"36–45",A1444&gt;45,"46+")</f>
        <v>26–35</v>
      </c>
      <c r="AK1444" t="str" cm="1">
        <f t="array" ref="AK1444">_xlfn.IFS(R1444&lt;=3000,"Low",R1444&lt;=7000,"Mid",R1444&lt;=12000,"High",R1444&gt;12000,"Top")</f>
        <v>Top</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_xlfn.IFS(A1445&lt;=25,"Under 25",A1445&lt;=35,"26–35",A1445&lt;=45,"36–45",A1445&gt;45,"46+")</f>
        <v>36–45</v>
      </c>
      <c r="AK1445" t="str" cm="1">
        <f t="array" ref="AK1445">_xlfn.IFS(R1445&lt;=3000,"Low",R1445&lt;=7000,"Mid",R1445&lt;=12000,"High",R1445&gt;12000,"Top")</f>
        <v>Top</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_xlfn.IFS(A1446&lt;=25,"Under 25",A1446&lt;=35,"26–35",A1446&lt;=45,"36–45",A1446&gt;45,"46+")</f>
        <v>46+</v>
      </c>
      <c r="AK1446" t="str" cm="1">
        <f t="array" ref="AK1446">_xlfn.IFS(R1446&lt;=3000,"Low",R1446&lt;=7000,"Mid",R1446&lt;=12000,"High",R1446&gt;12000,"Top")</f>
        <v>Top</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_xlfn.IFS(A1447&lt;=25,"Under 25",A1447&lt;=35,"26–35",A1447&lt;=45,"36–45",A1447&gt;45,"46+")</f>
        <v>36–45</v>
      </c>
      <c r="AK1447" t="str" cm="1">
        <f t="array" ref="AK1447">_xlfn.IFS(R1447&lt;=3000,"Low",R1447&lt;=7000,"Mid",R1447&lt;=12000,"High",R1447&gt;12000,"Top")</f>
        <v>Top</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_xlfn.IFS(A1448&lt;=25,"Under 25",A1448&lt;=35,"26–35",A1448&lt;=45,"36–45",A1448&gt;45,"46+")</f>
        <v>26–35</v>
      </c>
      <c r="AK1448" t="str" cm="1">
        <f t="array" ref="AK1448">_xlfn.IFS(R1448&lt;=3000,"Low",R1448&lt;=7000,"Mid",R1448&lt;=12000,"High",R1448&gt;12000,"Top")</f>
        <v>Top</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_xlfn.IFS(A1449&lt;=25,"Under 25",A1449&lt;=35,"26–35",A1449&lt;=45,"36–45",A1449&gt;45,"46+")</f>
        <v>36–45</v>
      </c>
      <c r="AK1449" t="str" cm="1">
        <f t="array" ref="AK1449">_xlfn.IFS(R1449&lt;=3000,"Low",R1449&lt;=7000,"Mid",R1449&lt;=12000,"High",R1449&gt;12000,"Top")</f>
        <v>Top</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_xlfn.IFS(A1450&lt;=25,"Under 25",A1450&lt;=35,"26–35",A1450&lt;=45,"36–45",A1450&gt;45,"46+")</f>
        <v>36–45</v>
      </c>
      <c r="AK1450" t="str" cm="1">
        <f t="array" ref="AK1450">_xlfn.IFS(R1450&lt;=3000,"Low",R1450&lt;=7000,"Mid",R1450&lt;=12000,"High",R1450&gt;12000,"Top")</f>
        <v>Top</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_xlfn.IFS(A1451&lt;=25,"Under 25",A1451&lt;=35,"26–35",A1451&lt;=45,"36–45",A1451&gt;45,"46+")</f>
        <v>26–35</v>
      </c>
      <c r="AK1451" t="str" cm="1">
        <f t="array" ref="AK1451">_xlfn.IFS(R1451&lt;=3000,"Low",R1451&lt;=7000,"Mid",R1451&lt;=12000,"High",R1451&gt;12000,"Top")</f>
        <v>Top</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_xlfn.IFS(A1452&lt;=25,"Under 25",A1452&lt;=35,"26–35",A1452&lt;=45,"36–45",A1452&gt;45,"46+")</f>
        <v>26–35</v>
      </c>
      <c r="AK1452" t="str" cm="1">
        <f t="array" ref="AK1452">_xlfn.IFS(R1452&lt;=3000,"Low",R1452&lt;=7000,"Mid",R1452&lt;=12000,"High",R1452&gt;12000,"Top")</f>
        <v>Top</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_xlfn.IFS(A1453&lt;=25,"Under 25",A1453&lt;=35,"26–35",A1453&lt;=45,"36–45",A1453&gt;45,"46+")</f>
        <v>36–45</v>
      </c>
      <c r="AK1453" t="str" cm="1">
        <f t="array" ref="AK1453">_xlfn.IFS(R1453&lt;=3000,"Low",R1453&lt;=7000,"Mid",R1453&lt;=12000,"High",R1453&gt;12000,"Top")</f>
        <v>Top</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_xlfn.IFS(A1454&lt;=25,"Under 25",A1454&lt;=35,"26–35",A1454&lt;=45,"36–45",A1454&gt;45,"46+")</f>
        <v>46+</v>
      </c>
      <c r="AK1454" t="str" cm="1">
        <f t="array" ref="AK1454">_xlfn.IFS(R1454&lt;=3000,"Low",R1454&lt;=7000,"Mid",R1454&lt;=12000,"High",R1454&gt;12000,"Top")</f>
        <v>Top</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_xlfn.IFS(A1455&lt;=25,"Under 25",A1455&lt;=35,"26–35",A1455&lt;=45,"36–45",A1455&gt;45,"46+")</f>
        <v>36–45</v>
      </c>
      <c r="AK1455" t="str" cm="1">
        <f t="array" ref="AK1455">_xlfn.IFS(R1455&lt;=3000,"Low",R1455&lt;=7000,"Mid",R1455&lt;=12000,"High",R1455&gt;12000,"Top")</f>
        <v>Top</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_xlfn.IFS(A1456&lt;=25,"Under 25",A1456&lt;=35,"26–35",A1456&lt;=45,"36–45",A1456&gt;45,"46+")</f>
        <v>36–45</v>
      </c>
      <c r="AK1456" t="str" cm="1">
        <f t="array" ref="AK1456">_xlfn.IFS(R1456&lt;=3000,"Low",R1456&lt;=7000,"Mid",R1456&lt;=12000,"High",R1456&gt;12000,"Top")</f>
        <v>Top</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_xlfn.IFS(A1457&lt;=25,"Under 25",A1457&lt;=35,"26–35",A1457&lt;=45,"36–45",A1457&gt;45,"46+")</f>
        <v>36–45</v>
      </c>
      <c r="AK1457" t="str" cm="1">
        <f t="array" ref="AK1457">_xlfn.IFS(R1457&lt;=3000,"Low",R1457&lt;=7000,"Mid",R1457&lt;=12000,"High",R1457&gt;12000,"Top")</f>
        <v>Top</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_xlfn.IFS(A1458&lt;=25,"Under 25",A1458&lt;=35,"26–35",A1458&lt;=45,"36–45",A1458&gt;45,"46+")</f>
        <v>26–35</v>
      </c>
      <c r="AK1458" t="str" cm="1">
        <f t="array" ref="AK1458">_xlfn.IFS(R1458&lt;=3000,"Low",R1458&lt;=7000,"Mid",R1458&lt;=12000,"High",R1458&gt;12000,"Top")</f>
        <v>Top</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_xlfn.IFS(A1459&lt;=25,"Under 25",A1459&lt;=35,"26–35",A1459&lt;=45,"36–45",A1459&gt;45,"46+")</f>
        <v>36–45</v>
      </c>
      <c r="AK1459" t="str" cm="1">
        <f t="array" ref="AK1459">_xlfn.IFS(R1459&lt;=3000,"Low",R1459&lt;=7000,"Mid",R1459&lt;=12000,"High",R1459&gt;12000,"Top")</f>
        <v>Top</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_xlfn.IFS(A1460&lt;=25,"Under 25",A1460&lt;=35,"26–35",A1460&lt;=45,"36–45",A1460&gt;45,"46+")</f>
        <v>26–35</v>
      </c>
      <c r="AK1460" t="str" cm="1">
        <f t="array" ref="AK1460">_xlfn.IFS(R1460&lt;=3000,"Low",R1460&lt;=7000,"Mid",R1460&lt;=12000,"High",R1460&gt;12000,"Top")</f>
        <v>Top</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_xlfn.IFS(A1461&lt;=25,"Under 25",A1461&lt;=35,"26–35",A1461&lt;=45,"36–45",A1461&gt;45,"46+")</f>
        <v>26–35</v>
      </c>
      <c r="AK1461" t="str" cm="1">
        <f t="array" ref="AK1461">_xlfn.IFS(R1461&lt;=3000,"Low",R1461&lt;=7000,"Mid",R1461&lt;=12000,"High",R1461&gt;12000,"Top")</f>
        <v>Top</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_xlfn.IFS(A1462&lt;=25,"Under 25",A1462&lt;=35,"26–35",A1462&lt;=45,"36–45",A1462&gt;45,"46+")</f>
        <v>26–35</v>
      </c>
      <c r="AK1462" t="str" cm="1">
        <f t="array" ref="AK1462">_xlfn.IFS(R1462&lt;=3000,"Low",R1462&lt;=7000,"Mid",R1462&lt;=12000,"High",R1462&gt;12000,"Top")</f>
        <v>Top</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_xlfn.IFS(A1463&lt;=25,"Under 25",A1463&lt;=35,"26–35",A1463&lt;=45,"36–45",A1463&gt;45,"46+")</f>
        <v>46+</v>
      </c>
      <c r="AK1463" t="str" cm="1">
        <f t="array" ref="AK1463">_xlfn.IFS(R1463&lt;=3000,"Low",R1463&lt;=7000,"Mid",R1463&lt;=12000,"High",R1463&gt;12000,"Top")</f>
        <v>Top</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_xlfn.IFS(A1464&lt;=25,"Under 25",A1464&lt;=35,"26–35",A1464&lt;=45,"36–45",A1464&gt;45,"46+")</f>
        <v>36–45</v>
      </c>
      <c r="AK1464" t="str" cm="1">
        <f t="array" ref="AK1464">_xlfn.IFS(R1464&lt;=3000,"Low",R1464&lt;=7000,"Mid",R1464&lt;=12000,"High",R1464&gt;12000,"Top")</f>
        <v>Top</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_xlfn.IFS(A1465&lt;=25,"Under 25",A1465&lt;=35,"26–35",A1465&lt;=45,"36–45",A1465&gt;45,"46+")</f>
        <v>26–35</v>
      </c>
      <c r="AK1465" t="str" cm="1">
        <f t="array" ref="AK1465">_xlfn.IFS(R1465&lt;=3000,"Low",R1465&lt;=7000,"Mid",R1465&lt;=12000,"High",R1465&gt;12000,"Top")</f>
        <v>Top</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_xlfn.IFS(A1466&lt;=25,"Under 25",A1466&lt;=35,"26–35",A1466&lt;=45,"36–45",A1466&gt;45,"46+")</f>
        <v>26–35</v>
      </c>
      <c r="AK1466" t="str" cm="1">
        <f t="array" ref="AK1466">_xlfn.IFS(R1466&lt;=3000,"Low",R1466&lt;=7000,"Mid",R1466&lt;=12000,"High",R1466&gt;12000,"Top")</f>
        <v>Top</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_xlfn.IFS(A1467&lt;=25,"Under 25",A1467&lt;=35,"26–35",A1467&lt;=45,"36–45",A1467&gt;45,"46+")</f>
        <v>36–45</v>
      </c>
      <c r="AK1467" t="str" cm="1">
        <f t="array" ref="AK1467">_xlfn.IFS(R1467&lt;=3000,"Low",R1467&lt;=7000,"Mid",R1467&lt;=12000,"High",R1467&gt;12000,"Top")</f>
        <v>Top</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_xlfn.IFS(A1468&lt;=25,"Under 25",A1468&lt;=35,"26–35",A1468&lt;=45,"36–45",A1468&gt;45,"46+")</f>
        <v>36–45</v>
      </c>
      <c r="AK1468" t="str" cm="1">
        <f t="array" ref="AK1468">_xlfn.IFS(R1468&lt;=3000,"Low",R1468&lt;=7000,"Mid",R1468&lt;=12000,"High",R1468&gt;12000,"Top")</f>
        <v>Top</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_xlfn.IFS(A1469&lt;=25,"Under 25",A1469&lt;=35,"26–35",A1469&lt;=45,"36–45",A1469&gt;45,"46+")</f>
        <v>26–35</v>
      </c>
      <c r="AK1469" t="str" cm="1">
        <f t="array" ref="AK1469">_xlfn.IFS(R1469&lt;=3000,"Low",R1469&lt;=7000,"Mid",R1469&lt;=12000,"High",R1469&gt;12000,"Top")</f>
        <v>Top</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_xlfn.IFS(A1470&lt;=25,"Under 25",A1470&lt;=35,"26–35",A1470&lt;=45,"36–45",A1470&gt;45,"46+")</f>
        <v>46+</v>
      </c>
      <c r="AK1470" t="str" cm="1">
        <f t="array" ref="AK1470">_xlfn.IFS(R1470&lt;=3000,"Low",R1470&lt;=7000,"Mid",R1470&lt;=12000,"High",R1470&gt;12000,"Top")</f>
        <v>Top</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_xlfn.IFS(A1471&lt;=25,"Under 25",A1471&lt;=35,"26–35",A1471&lt;=45,"36–45",A1471&gt;45,"46+")</f>
        <v>26–35</v>
      </c>
      <c r="AK1471" t="str" cm="1">
        <f t="array" ref="AK1471">_xlfn.IFS(R1471&lt;=3000,"Low",R1471&lt;=7000,"Mid",R1471&lt;=12000,"High",R1471&gt;12000,"Top")</f>
        <v>Top</v>
      </c>
    </row>
    <row r="1473" spans="1:35" x14ac:dyDescent="0.3">
      <c r="A1473">
        <f t="shared" ref="A1473:AI1473" si="0">COUNTBLANK(A1:A469)</f>
        <v>0</v>
      </c>
      <c r="B1473">
        <f t="shared" si="0"/>
        <v>0</v>
      </c>
      <c r="C1473">
        <f t="shared" si="0"/>
        <v>0</v>
      </c>
      <c r="D1473">
        <f t="shared" si="0"/>
        <v>0</v>
      </c>
      <c r="E1473">
        <f t="shared" si="0"/>
        <v>0</v>
      </c>
      <c r="F1473">
        <f t="shared" si="0"/>
        <v>0</v>
      </c>
      <c r="G1473">
        <f t="shared" si="0"/>
        <v>0</v>
      </c>
      <c r="H1473">
        <f t="shared" si="0"/>
        <v>0</v>
      </c>
      <c r="I1473">
        <f t="shared" si="0"/>
        <v>0</v>
      </c>
      <c r="J1473">
        <f t="shared" si="0"/>
        <v>0</v>
      </c>
      <c r="K1473">
        <f t="shared" si="0"/>
        <v>0</v>
      </c>
      <c r="L1473">
        <f t="shared" si="0"/>
        <v>0</v>
      </c>
      <c r="M1473">
        <f t="shared" si="0"/>
        <v>0</v>
      </c>
      <c r="N1473">
        <f t="shared" si="0"/>
        <v>0</v>
      </c>
      <c r="O1473">
        <f t="shared" si="0"/>
        <v>0</v>
      </c>
      <c r="P1473">
        <f t="shared" si="0"/>
        <v>0</v>
      </c>
      <c r="Q1473">
        <f t="shared" si="0"/>
        <v>0</v>
      </c>
      <c r="R1473">
        <f t="shared" si="0"/>
        <v>0</v>
      </c>
      <c r="S1473">
        <f t="shared" si="0"/>
        <v>0</v>
      </c>
      <c r="T1473">
        <f t="shared" si="0"/>
        <v>0</v>
      </c>
      <c r="U1473">
        <f t="shared" si="0"/>
        <v>0</v>
      </c>
      <c r="V1473">
        <f t="shared" si="0"/>
        <v>0</v>
      </c>
      <c r="W1473">
        <f t="shared" si="0"/>
        <v>0</v>
      </c>
      <c r="X1473">
        <f t="shared" si="0"/>
        <v>0</v>
      </c>
      <c r="Y1473">
        <f t="shared" si="0"/>
        <v>0</v>
      </c>
      <c r="Z1473">
        <f t="shared" si="0"/>
        <v>0</v>
      </c>
      <c r="AA1473">
        <f t="shared" si="0"/>
        <v>0</v>
      </c>
      <c r="AB1473">
        <f t="shared" si="0"/>
        <v>0</v>
      </c>
      <c r="AC1473">
        <f t="shared" si="0"/>
        <v>0</v>
      </c>
      <c r="AD1473">
        <f t="shared" si="0"/>
        <v>0</v>
      </c>
      <c r="AE1473">
        <f t="shared" si="0"/>
        <v>0</v>
      </c>
      <c r="AF1473">
        <f t="shared" si="0"/>
        <v>0</v>
      </c>
      <c r="AG1473">
        <f t="shared" si="0"/>
        <v>0</v>
      </c>
      <c r="AH1473">
        <f t="shared" si="0"/>
        <v>0</v>
      </c>
      <c r="AI1473">
        <f t="shared" si="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2D65-9279-470A-819F-CBBAB8912447}">
  <dimension ref="A1:AK1471"/>
  <sheetViews>
    <sheetView topLeftCell="K1" workbookViewId="0">
      <pane ySplit="1" topLeftCell="A2" activePane="bottomLeft" state="frozen"/>
      <selection pane="bottomLeft" activeCell="D13" sqref="D13"/>
    </sheetView>
  </sheetViews>
  <sheetFormatPr defaultRowHeight="14.4" x14ac:dyDescent="0.3"/>
  <cols>
    <col min="3" max="3" width="17" customWidth="1"/>
    <col min="5" max="5" width="21.77734375" customWidth="1"/>
    <col min="6" max="6" width="17.109375" customWidth="1"/>
    <col min="8" max="8" width="15.6640625" bestFit="1" customWidth="1"/>
    <col min="9" max="9" width="14" bestFit="1" customWidth="1"/>
    <col min="10" max="10" width="15.5546875" customWidth="1"/>
    <col min="11" max="11" width="21.109375" bestFit="1" customWidth="1"/>
    <col min="13" max="13" width="10.109375" bestFit="1" customWidth="1"/>
    <col min="14" max="14" width="14" bestFit="1" customWidth="1"/>
    <col min="16" max="16" width="19.77734375" customWidth="1"/>
    <col min="17" max="17" width="13.44140625" customWidth="1"/>
    <col min="18" max="18" width="11.77734375" customWidth="1"/>
    <col min="19" max="20" width="13.5546875" customWidth="1"/>
    <col min="21" max="21" width="20.5546875" bestFit="1" customWidth="1"/>
    <col min="24" max="24" width="15.77734375" bestFit="1" customWidth="1"/>
    <col min="25" max="25" width="16.77734375" bestFit="1" customWidth="1"/>
    <col min="26" max="26" width="20.77734375" bestFit="1" customWidth="1"/>
    <col min="27" max="27" width="13.109375" bestFit="1" customWidth="1"/>
    <col min="28" max="28" width="15.33203125" bestFit="1" customWidth="1"/>
    <col min="29" max="29" width="16.5546875" bestFit="1" customWidth="1"/>
    <col min="30" max="30" width="19.44140625" bestFit="1" customWidth="1"/>
    <col min="31" max="32" width="15" bestFit="1" customWidth="1"/>
    <col min="33" max="33" width="16.88671875" bestFit="1" customWidth="1"/>
    <col min="34" max="34" width="22" bestFit="1" customWidth="1"/>
    <col min="35" max="35" width="20.21875" bestFit="1" customWidth="1"/>
    <col min="36" max="36" width="9" bestFit="1" customWidth="1"/>
    <col min="37" max="37" width="10" bestFit="1" customWidth="1"/>
  </cols>
  <sheetData>
    <row r="1" spans="1:37" x14ac:dyDescent="0.3">
      <c r="A1" t="s">
        <v>62</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_xlfn.IFS(A2&lt;=25,"Under 25",A2&lt;=35,"26–35",A2&lt;=45,"36–45",A2&gt;45,"46+")</f>
        <v>36–45</v>
      </c>
      <c r="AK2" t="str" cm="1">
        <f t="array" ref="AK2">_xlfn.IFS(S2&lt;=3000,"Low",S2&lt;=7000,"Mid",S2&lt;=12000,"High",S2&gt;12000,"Top")</f>
        <v>Mid</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_xlfn.IFS(A3&lt;=25,"Under 25",A3&lt;=35,"26–35",A3&lt;=45,"36–45",A3&gt;45,"46+")</f>
        <v>46+</v>
      </c>
      <c r="AK3" t="str" cm="1">
        <f t="array" ref="AK3">_xlfn.IFS(S3&lt;=3000,"Low",S3&lt;=7000,"Mid",S3&lt;=12000,"High",S3&gt;12000,"Top")</f>
        <v>Mid</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_xlfn.IFS(A4&lt;=25,"Under 25",A4&lt;=35,"26–35",A4&lt;=45,"36–45",A4&gt;45,"46+")</f>
        <v>36–45</v>
      </c>
      <c r="AK4" t="str" cm="1">
        <f t="array" ref="AK4">_xlfn.IFS(S4&lt;=3000,"Low",S4&lt;=7000,"Mid",S4&lt;=12000,"High",S4&gt;12000,"Top")</f>
        <v>Low</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_xlfn.IFS(A5&lt;=25,"Under 25",A5&lt;=35,"26–35",A5&lt;=45,"36–45",A5&gt;45,"46+")</f>
        <v>26–35</v>
      </c>
      <c r="AK5" t="str" cm="1">
        <f t="array" ref="AK5">_xlfn.IFS(S5&lt;=3000,"Low",S5&lt;=7000,"Mid",S5&lt;=12000,"High",S5&gt;12000,"Top")</f>
        <v>Low</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_xlfn.IFS(A6&lt;=25,"Under 25",A6&lt;=35,"26–35",A6&lt;=45,"36–45",A6&gt;45,"46+")</f>
        <v>26–35</v>
      </c>
      <c r="AK6" t="str" cm="1">
        <f t="array" ref="AK6">_xlfn.IFS(S6&lt;=3000,"Low",S6&lt;=7000,"Mid",S6&lt;=12000,"High",S6&gt;12000,"Top")</f>
        <v>Mid</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_xlfn.IFS(A7&lt;=25,"Under 25",A7&lt;=35,"26–35",A7&lt;=45,"36–45",A7&gt;45,"46+")</f>
        <v>26–35</v>
      </c>
      <c r="AK7" t="str" cm="1">
        <f t="array" ref="AK7">_xlfn.IFS(S7&lt;=3000,"Low",S7&lt;=7000,"Mid",S7&lt;=12000,"High",S7&gt;12000,"Top")</f>
        <v>Mid</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_xlfn.IFS(A8&lt;=25,"Under 25",A8&lt;=35,"26–35",A8&lt;=45,"36–45",A8&gt;45,"46+")</f>
        <v>46+</v>
      </c>
      <c r="AK8" t="str" cm="1">
        <f t="array" ref="AK8">_xlfn.IFS(S8&lt;=3000,"Low",S8&lt;=7000,"Mid",S8&lt;=12000,"High",S8&gt;12000,"Top")</f>
        <v>Low</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_xlfn.IFS(A9&lt;=25,"Under 25",A9&lt;=35,"26–35",A9&lt;=45,"36–45",A9&gt;45,"46+")</f>
        <v>26–35</v>
      </c>
      <c r="AK9" t="str" cm="1">
        <f t="array" ref="AK9">_xlfn.IFS(S9&lt;=3000,"Low",S9&lt;=7000,"Mid",S9&lt;=12000,"High",S9&gt;12000,"Top")</f>
        <v>Low</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_xlfn.IFS(A10&lt;=25,"Under 25",A10&lt;=35,"26–35",A10&lt;=45,"36–45",A10&gt;45,"46+")</f>
        <v>36–45</v>
      </c>
      <c r="AK10" t="str" cm="1">
        <f t="array" ref="AK10">_xlfn.IFS(S10&lt;=3000,"Low",S10&lt;=7000,"Mid",S10&lt;=12000,"High",S10&gt;12000,"Top")</f>
        <v>High</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_xlfn.IFS(A11&lt;=25,"Under 25",A11&lt;=35,"26–35",A11&lt;=45,"36–45",A11&gt;45,"46+")</f>
        <v>36–45</v>
      </c>
      <c r="AK11" t="str" cm="1">
        <f t="array" ref="AK11">_xlfn.IFS(S11&lt;=3000,"Low",S11&lt;=7000,"Mid",S11&lt;=12000,"High",S11&gt;12000,"Top")</f>
        <v>Mid</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_xlfn.IFS(A12&lt;=25,"Under 25",A12&lt;=35,"26–35",A12&lt;=45,"36–45",A12&gt;45,"46+")</f>
        <v>26–35</v>
      </c>
      <c r="AK12" t="str" cm="1">
        <f t="array" ref="AK12">_xlfn.IFS(S12&lt;=3000,"Low",S12&lt;=7000,"Mid",S12&lt;=12000,"High",S12&gt;12000,"Top")</f>
        <v>Low</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_xlfn.IFS(A13&lt;=25,"Under 25",A13&lt;=35,"26–35",A13&lt;=45,"36–45",A13&gt;45,"46+")</f>
        <v>26–35</v>
      </c>
      <c r="AK13" t="str" cm="1">
        <f t="array" ref="AK13">_xlfn.IFS(S13&lt;=3000,"Low",S13&lt;=7000,"Mid",S13&lt;=12000,"High",S13&gt;12000,"Top")</f>
        <v>Mid</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_xlfn.IFS(A14&lt;=25,"Under 25",A14&lt;=35,"26–35",A14&lt;=45,"36–45",A14&gt;45,"46+")</f>
        <v>26–35</v>
      </c>
      <c r="AK14" t="str" cm="1">
        <f t="array" ref="AK14">_xlfn.IFS(S14&lt;=3000,"Low",S14&lt;=7000,"Mid",S14&lt;=12000,"High",S14&gt;12000,"Top")</f>
        <v>Low</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_xlfn.IFS(A15&lt;=25,"Under 25",A15&lt;=35,"26–35",A15&lt;=45,"36–45",A15&gt;45,"46+")</f>
        <v>26–35</v>
      </c>
      <c r="AK15" t="str" cm="1">
        <f t="array" ref="AK15">_xlfn.IFS(S15&lt;=3000,"Low",S15&lt;=7000,"Mid",S15&lt;=12000,"High",S15&gt;12000,"Top")</f>
        <v>Low</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_xlfn.IFS(A16&lt;=25,"Under 25",A16&lt;=35,"26–35",A16&lt;=45,"36–45",A16&gt;45,"46+")</f>
        <v>26–35</v>
      </c>
      <c r="AK16" t="str" cm="1">
        <f t="array" ref="AK16">_xlfn.IFS(S16&lt;=3000,"Low",S16&lt;=7000,"Mid",S16&lt;=12000,"High",S16&gt;12000,"Top")</f>
        <v>Low</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_xlfn.IFS(A17&lt;=25,"Under 25",A17&lt;=35,"26–35",A17&lt;=45,"36–45",A17&gt;45,"46+")</f>
        <v>26–35</v>
      </c>
      <c r="AK17" t="str" cm="1">
        <f t="array" ref="AK17">_xlfn.IFS(S17&lt;=3000,"Low",S17&lt;=7000,"Mid",S17&lt;=12000,"High",S17&gt;12000,"Top")</f>
        <v>High</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_xlfn.IFS(A18&lt;=25,"Under 25",A18&lt;=35,"26–35",A18&lt;=45,"36–45",A18&gt;45,"46+")</f>
        <v>26–35</v>
      </c>
      <c r="AK18" t="str" cm="1">
        <f t="array" ref="AK18">_xlfn.IFS(S18&lt;=3000,"Low",S18&lt;=7000,"Mid",S18&lt;=12000,"High",S18&gt;12000,"Top")</f>
        <v>Mid</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_xlfn.IFS(A19&lt;=25,"Under 25",A19&lt;=35,"26–35",A19&lt;=45,"36–45",A19&gt;45,"46+")</f>
        <v>Under 25</v>
      </c>
      <c r="AK19" t="str" cm="1">
        <f t="array" ref="AK19">_xlfn.IFS(S19&lt;=3000,"Low",S19&lt;=7000,"Mid",S19&lt;=12000,"High",S19&gt;12000,"Top")</f>
        <v>Low</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_xlfn.IFS(A20&lt;=25,"Under 25",A20&lt;=35,"26–35",A20&lt;=45,"36–45",A20&gt;45,"46+")</f>
        <v>46+</v>
      </c>
      <c r="AK20" t="str" cm="1">
        <f t="array" ref="AK20">_xlfn.IFS(S20&lt;=3000,"Low",S20&lt;=7000,"Mid",S20&lt;=12000,"High",S20&gt;12000,"Top")</f>
        <v>Top</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_xlfn.IFS(A21&lt;=25,"Under 25",A21&lt;=35,"26–35",A21&lt;=45,"36–45",A21&gt;45,"46+")</f>
        <v>36–45</v>
      </c>
      <c r="AK21" t="str" cm="1">
        <f t="array" ref="AK21">_xlfn.IFS(S21&lt;=3000,"Low",S21&lt;=7000,"Mid",S21&lt;=12000,"High",S21&gt;12000,"Top")</f>
        <v>Mid</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_xlfn.IFS(A22&lt;=25,"Under 25",A22&lt;=35,"26–35",A22&lt;=45,"36–45",A22&gt;45,"46+")</f>
        <v>Under 25</v>
      </c>
      <c r="AK22" t="str" cm="1">
        <f t="array" ref="AK22">_xlfn.IFS(S22&lt;=3000,"Low",S22&lt;=7000,"Mid",S22&lt;=12000,"High",S22&gt;12000,"Top")</f>
        <v>Mid</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_xlfn.IFS(A23&lt;=25,"Under 25",A23&lt;=35,"26–35",A23&lt;=45,"36–45",A23&gt;45,"46+")</f>
        <v>36–45</v>
      </c>
      <c r="AK23" t="str" cm="1">
        <f t="array" ref="AK23">_xlfn.IFS(S23&lt;=3000,"Low",S23&lt;=7000,"Mid",S23&lt;=12000,"High",S23&gt;12000,"Top")</f>
        <v>Mid</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_xlfn.IFS(A24&lt;=25,"Under 25",A24&lt;=35,"26–35",A24&lt;=45,"36–45",A24&gt;45,"46+")</f>
        <v>26–35</v>
      </c>
      <c r="AK24" t="str" cm="1">
        <f t="array" ref="AK24">_xlfn.IFS(S24&lt;=3000,"Low",S24&lt;=7000,"Mid",S24&lt;=12000,"High",S24&gt;12000,"Top")</f>
        <v>High</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_xlfn.IFS(A25&lt;=25,"Under 25",A25&lt;=35,"26–35",A25&lt;=45,"36–45",A25&gt;45,"46+")</f>
        <v>Under 25</v>
      </c>
      <c r="AK25" t="str" cm="1">
        <f t="array" ref="AK25">_xlfn.IFS(S25&lt;=3000,"Low",S25&lt;=7000,"Mid",S25&lt;=12000,"High",S25&gt;12000,"Top")</f>
        <v>Low</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_xlfn.IFS(A26&lt;=25,"Under 25",A26&lt;=35,"26–35",A26&lt;=45,"36–45",A26&gt;45,"46+")</f>
        <v>26–35</v>
      </c>
      <c r="AK26" t="str" cm="1">
        <f t="array" ref="AK26">_xlfn.IFS(S26&lt;=3000,"Low",S26&lt;=7000,"Mid",S26&lt;=12000,"High",S26&gt;12000,"Top")</f>
        <v>Low</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_xlfn.IFS(A27&lt;=25,"Under 25",A27&lt;=35,"26–35",A27&lt;=45,"36–45",A27&gt;45,"46+")</f>
        <v>46+</v>
      </c>
      <c r="AK27" t="str" cm="1">
        <f t="array" ref="AK27">_xlfn.IFS(S27&lt;=3000,"Low",S27&lt;=7000,"Mid",S27&lt;=12000,"High",S27&gt;12000,"Top")</f>
        <v>Top</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_xlfn.IFS(A28&lt;=25,"Under 25",A28&lt;=35,"26–35",A28&lt;=45,"36–45",A28&gt;45,"46+")</f>
        <v>26–35</v>
      </c>
      <c r="AK28" t="str" cm="1">
        <f t="array" ref="AK28">_xlfn.IFS(S28&lt;=3000,"Low",S28&lt;=7000,"Mid",S28&lt;=12000,"High",S28&gt;12000,"Top")</f>
        <v>Mid</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_xlfn.IFS(A29&lt;=25,"Under 25",A29&lt;=35,"26–35",A29&lt;=45,"36–45",A29&gt;45,"46+")</f>
        <v>36–45</v>
      </c>
      <c r="AK29" t="str" cm="1">
        <f t="array" ref="AK29">_xlfn.IFS(S29&lt;=3000,"Low",S29&lt;=7000,"Mid",S29&lt;=12000,"High",S29&gt;12000,"Top")</f>
        <v>Mid</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_xlfn.IFS(A30&lt;=25,"Under 25",A30&lt;=35,"26–35",A30&lt;=45,"36–45",A30&gt;45,"46+")</f>
        <v>36–45</v>
      </c>
      <c r="AK30" t="str" cm="1">
        <f t="array" ref="AK30">_xlfn.IFS(S30&lt;=3000,"Low",S30&lt;=7000,"Mid",S30&lt;=12000,"High",S30&gt;12000,"Top")</f>
        <v>High</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_xlfn.IFS(A31&lt;=25,"Under 25",A31&lt;=35,"26–35",A31&lt;=45,"36–45",A31&gt;45,"46+")</f>
        <v>46+</v>
      </c>
      <c r="AK31" t="str" cm="1">
        <f t="array" ref="AK31">_xlfn.IFS(S31&lt;=3000,"Low",S31&lt;=7000,"Mid",S31&lt;=12000,"High",S31&gt;12000,"Top")</f>
        <v>Top</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_xlfn.IFS(A32&lt;=25,"Under 25",A32&lt;=35,"26–35",A32&lt;=45,"36–45",A32&gt;45,"46+")</f>
        <v>26–35</v>
      </c>
      <c r="AK32" t="str" cm="1">
        <f t="array" ref="AK32">_xlfn.IFS(S32&lt;=3000,"Low",S32&lt;=7000,"Mid",S32&lt;=12000,"High",S32&gt;12000,"Top")</f>
        <v>Low</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_xlfn.IFS(A33&lt;=25,"Under 25",A33&lt;=35,"26–35",A33&lt;=45,"36–45",A33&gt;45,"46+")</f>
        <v>36–45</v>
      </c>
      <c r="AK33" t="str" cm="1">
        <f t="array" ref="AK33">_xlfn.IFS(S33&lt;=3000,"Low",S33&lt;=7000,"Mid",S33&lt;=12000,"High",S33&gt;12000,"Top")</f>
        <v>Mid</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_xlfn.IFS(A34&lt;=25,"Under 25",A34&lt;=35,"26–35",A34&lt;=45,"36–45",A34&gt;45,"46+")</f>
        <v>26–35</v>
      </c>
      <c r="AK34" t="str" cm="1">
        <f t="array" ref="AK34">_xlfn.IFS(S34&lt;=3000,"Low",S34&lt;=7000,"Mid",S34&lt;=12000,"High",S34&gt;12000,"Top")</f>
        <v>Low</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_xlfn.IFS(A35&lt;=25,"Under 25",A35&lt;=35,"26–35",A35&lt;=45,"36–45",A35&gt;45,"46+")</f>
        <v>36–45</v>
      </c>
      <c r="AK35" t="str" cm="1">
        <f t="array" ref="AK35">_xlfn.IFS(S35&lt;=3000,"Low",S35&lt;=7000,"Mid",S35&lt;=12000,"High",S35&gt;12000,"Top")</f>
        <v>Low</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_xlfn.IFS(A36&lt;=25,"Under 25",A36&lt;=35,"26–35",A36&lt;=45,"36–45",A36&gt;45,"46+")</f>
        <v>Under 25</v>
      </c>
      <c r="AK36" t="str" cm="1">
        <f t="array" ref="AK36">_xlfn.IFS(S36&lt;=3000,"Low",S36&lt;=7000,"Mid",S36&lt;=12000,"High",S36&gt;12000,"Top")</f>
        <v>Low</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_xlfn.IFS(A37&lt;=25,"Under 25",A37&lt;=35,"26–35",A37&lt;=45,"36–45",A37&gt;45,"46+")</f>
        <v>36–45</v>
      </c>
      <c r="AK37" t="str" cm="1">
        <f t="array" ref="AK37">_xlfn.IFS(S37&lt;=3000,"Low",S37&lt;=7000,"Mid",S37&lt;=12000,"High",S37&gt;12000,"Top")</f>
        <v>Low</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_xlfn.IFS(A38&lt;=25,"Under 25",A38&lt;=35,"26–35",A38&lt;=45,"36–45",A38&gt;45,"46+")</f>
        <v>46+</v>
      </c>
      <c r="AK38" t="str" cm="1">
        <f t="array" ref="AK38">_xlfn.IFS(S38&lt;=3000,"Low",S38&lt;=7000,"Mid",S38&lt;=12000,"High",S38&gt;12000,"Top")</f>
        <v>Low</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_xlfn.IFS(A39&lt;=25,"Under 25",A39&lt;=35,"26–35",A39&lt;=45,"36–45",A39&gt;45,"46+")</f>
        <v>26–35</v>
      </c>
      <c r="AK39" t="str" cm="1">
        <f t="array" ref="AK39">_xlfn.IFS(S39&lt;=3000,"Low",S39&lt;=7000,"Mid",S39&lt;=12000,"High",S39&gt;12000,"Top")</f>
        <v>Low</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_xlfn.IFS(A40&lt;=25,"Under 25",A40&lt;=35,"26–35",A40&lt;=45,"36–45",A40&gt;45,"46+")</f>
        <v>36–45</v>
      </c>
      <c r="AK40" t="str" cm="1">
        <f t="array" ref="AK40">_xlfn.IFS(S40&lt;=3000,"Low",S40&lt;=7000,"Mid",S40&lt;=12000,"High",S40&gt;12000,"Top")</f>
        <v>Mid</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_xlfn.IFS(A41&lt;=25,"Under 25",A41&lt;=35,"26–35",A41&lt;=45,"36–45",A41&gt;45,"46+")</f>
        <v>26–35</v>
      </c>
      <c r="AK41" t="str" cm="1">
        <f t="array" ref="AK41">_xlfn.IFS(S41&lt;=3000,"Low",S41&lt;=7000,"Mid",S41&lt;=12000,"High",S41&gt;12000,"Top")</f>
        <v>Mid</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_xlfn.IFS(A42&lt;=25,"Under 25",A42&lt;=35,"26–35",A42&lt;=45,"36–45",A42&gt;45,"46+")</f>
        <v>26–35</v>
      </c>
      <c r="AK42" t="str" cm="1">
        <f t="array" ref="AK42">_xlfn.IFS(S42&lt;=3000,"Low",S42&lt;=7000,"Mid",S42&lt;=12000,"High",S42&gt;12000,"Top")</f>
        <v>Low</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_xlfn.IFS(A43&lt;=25,"Under 25",A43&lt;=35,"26–35",A43&lt;=45,"36–45",A43&gt;45,"46+")</f>
        <v>26–35</v>
      </c>
      <c r="AK43" t="str" cm="1">
        <f t="array" ref="AK43">_xlfn.IFS(S43&lt;=3000,"Low",S43&lt;=7000,"Mid",S43&lt;=12000,"High",S43&gt;12000,"Top")</f>
        <v>Low</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_xlfn.IFS(A44&lt;=25,"Under 25",A44&lt;=35,"26–35",A44&lt;=45,"36–45",A44&gt;45,"46+")</f>
        <v>26–35</v>
      </c>
      <c r="AK44" t="str" cm="1">
        <f t="array" ref="AK44">_xlfn.IFS(S44&lt;=3000,"Low",S44&lt;=7000,"Mid",S44&lt;=12000,"High",S44&gt;12000,"Top")</f>
        <v>Low</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_xlfn.IFS(A45&lt;=25,"Under 25",A45&lt;=35,"26–35",A45&lt;=45,"36–45",A45&gt;45,"46+")</f>
        <v>26–35</v>
      </c>
      <c r="AK45" t="str" cm="1">
        <f t="array" ref="AK45">_xlfn.IFS(S45&lt;=3000,"Low",S45&lt;=7000,"Mid",S45&lt;=12000,"High",S45&gt;12000,"Top")</f>
        <v>High</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_xlfn.IFS(A46&lt;=25,"Under 25",A46&lt;=35,"26–35",A46&lt;=45,"36–45",A46&gt;45,"46+")</f>
        <v>26–35</v>
      </c>
      <c r="AK46" t="str" cm="1">
        <f t="array" ref="AK46">_xlfn.IFS(S46&lt;=3000,"Low",S46&lt;=7000,"Mid",S46&lt;=12000,"High",S46&gt;12000,"Top")</f>
        <v>Mid</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_xlfn.IFS(A47&lt;=25,"Under 25",A47&lt;=35,"26–35",A47&lt;=45,"36–45",A47&gt;45,"46+")</f>
        <v>36–45</v>
      </c>
      <c r="AK47" t="str" cm="1">
        <f t="array" ref="AK47">_xlfn.IFS(S47&lt;=3000,"Low",S47&lt;=7000,"Mid",S47&lt;=12000,"High",S47&gt;12000,"Top")</f>
        <v>Top</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_xlfn.IFS(A48&lt;=25,"Under 25",A48&lt;=35,"26–35",A48&lt;=45,"36–45",A48&gt;45,"46+")</f>
        <v>26–35</v>
      </c>
      <c r="AK48" t="str" cm="1">
        <f t="array" ref="AK48">_xlfn.IFS(S48&lt;=3000,"Low",S48&lt;=7000,"Mid",S48&lt;=12000,"High",S48&gt;12000,"Top")</f>
        <v>Mid</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_xlfn.IFS(A49&lt;=25,"Under 25",A49&lt;=35,"26–35",A49&lt;=45,"36–45",A49&gt;45,"46+")</f>
        <v>36–45</v>
      </c>
      <c r="AK49" t="str" cm="1">
        <f t="array" ref="AK49">_xlfn.IFS(S49&lt;=3000,"Low",S49&lt;=7000,"Mid",S49&lt;=12000,"High",S49&gt;12000,"Top")</f>
        <v>Mid</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_xlfn.IFS(A50&lt;=25,"Under 25",A50&lt;=35,"26–35",A50&lt;=45,"36–45",A50&gt;45,"46+")</f>
        <v>46+</v>
      </c>
      <c r="AK50" t="str" cm="1">
        <f t="array" ref="AK50">_xlfn.IFS(S50&lt;=3000,"Low",S50&lt;=7000,"Mid",S50&lt;=12000,"High",S50&gt;12000,"Top")</f>
        <v>Mid</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_xlfn.IFS(A51&lt;=25,"Under 25",A51&lt;=35,"26–35",A51&lt;=45,"36–45",A51&gt;45,"46+")</f>
        <v>26–35</v>
      </c>
      <c r="AK51" t="str" cm="1">
        <f t="array" ref="AK51">_xlfn.IFS(S51&lt;=3000,"Low",S51&lt;=7000,"Mid",S51&lt;=12000,"High",S51&gt;12000,"Top")</f>
        <v>Low</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_xlfn.IFS(A52&lt;=25,"Under 25",A52&lt;=35,"26–35",A52&lt;=45,"36–45",A52&gt;45,"46+")</f>
        <v>46+</v>
      </c>
      <c r="AK52" t="str" cm="1">
        <f t="array" ref="AK52">_xlfn.IFS(S52&lt;=3000,"Low",S52&lt;=7000,"Mid",S52&lt;=12000,"High",S52&gt;12000,"Top")</f>
        <v>Mid</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_xlfn.IFS(A53&lt;=25,"Under 25",A53&lt;=35,"26–35",A53&lt;=45,"36–45",A53&gt;45,"46+")</f>
        <v>26–35</v>
      </c>
      <c r="AK53" t="str" cm="1">
        <f t="array" ref="AK53">_xlfn.IFS(S53&lt;=3000,"Low",S53&lt;=7000,"Mid",S53&lt;=12000,"High",S53&gt;12000,"Top")</f>
        <v>Mid</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_xlfn.IFS(A54&lt;=25,"Under 25",A54&lt;=35,"26–35",A54&lt;=45,"36–45",A54&gt;45,"46+")</f>
        <v>36–45</v>
      </c>
      <c r="AK54" t="str" cm="1">
        <f t="array" ref="AK54">_xlfn.IFS(S54&lt;=3000,"Low",S54&lt;=7000,"Mid",S54&lt;=12000,"High",S54&gt;12000,"Top")</f>
        <v>Mid</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_xlfn.IFS(A55&lt;=25,"Under 25",A55&lt;=35,"26–35",A55&lt;=45,"36–45",A55&gt;45,"46+")</f>
        <v>26–35</v>
      </c>
      <c r="AK55" t="str" cm="1">
        <f t="array" ref="AK55">_xlfn.IFS(S55&lt;=3000,"Low",S55&lt;=7000,"Mid",S55&lt;=12000,"High",S55&gt;12000,"Top")</f>
        <v>High</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_xlfn.IFS(A56&lt;=25,"Under 25",A56&lt;=35,"26–35",A56&lt;=45,"36–45",A56&gt;45,"46+")</f>
        <v>26–35</v>
      </c>
      <c r="AK56" t="str" cm="1">
        <f t="array" ref="AK56">_xlfn.IFS(S56&lt;=3000,"Low",S56&lt;=7000,"Mid",S56&lt;=12000,"High",S56&gt;12000,"Top")</f>
        <v>Mid</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_xlfn.IFS(A57&lt;=25,"Under 25",A57&lt;=35,"26–35",A57&lt;=45,"36–45",A57&gt;45,"46+")</f>
        <v>26–35</v>
      </c>
      <c r="AK57" t="str" cm="1">
        <f t="array" ref="AK57">_xlfn.IFS(S57&lt;=3000,"Low",S57&lt;=7000,"Mid",S57&lt;=12000,"High",S57&gt;12000,"Top")</f>
        <v>Top</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_xlfn.IFS(A58&lt;=25,"Under 25",A58&lt;=35,"26–35",A58&lt;=45,"36–45",A58&gt;45,"46+")</f>
        <v>26–35</v>
      </c>
      <c r="AK58" t="str" cm="1">
        <f t="array" ref="AK58">_xlfn.IFS(S58&lt;=3000,"Low",S58&lt;=7000,"Mid",S58&lt;=12000,"High",S58&gt;12000,"Top")</f>
        <v>High</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_xlfn.IFS(A59&lt;=25,"Under 25",A59&lt;=35,"26–35",A59&lt;=45,"36–45",A59&gt;45,"46+")</f>
        <v>26–35</v>
      </c>
      <c r="AK59" t="str" cm="1">
        <f t="array" ref="AK59">_xlfn.IFS(S59&lt;=3000,"Low",S59&lt;=7000,"Mid",S59&lt;=12000,"High",S59&gt;12000,"Top")</f>
        <v>Mid</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_xlfn.IFS(A60&lt;=25,"Under 25",A60&lt;=35,"26–35",A60&lt;=45,"36–45",A60&gt;45,"46+")</f>
        <v>26–35</v>
      </c>
      <c r="AK60" t="str" cm="1">
        <f t="array" ref="AK60">_xlfn.IFS(S60&lt;=3000,"Low",S60&lt;=7000,"Mid",S60&lt;=12000,"High",S60&gt;12000,"Top")</f>
        <v>Mid</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_xlfn.IFS(A61&lt;=25,"Under 25",A61&lt;=35,"26–35",A61&lt;=45,"36–45",A61&gt;45,"46+")</f>
        <v>36–45</v>
      </c>
      <c r="AK61" t="str" cm="1">
        <f t="array" ref="AK61">_xlfn.IFS(S61&lt;=3000,"Low",S61&lt;=7000,"Mid",S61&lt;=12000,"High",S61&gt;12000,"Top")</f>
        <v>Mid</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_xlfn.IFS(A62&lt;=25,"Under 25",A62&lt;=35,"26–35",A62&lt;=45,"36–45",A62&gt;45,"46+")</f>
        <v>26–35</v>
      </c>
      <c r="AK62" t="str" cm="1">
        <f t="array" ref="AK62">_xlfn.IFS(S62&lt;=3000,"Low",S62&lt;=7000,"Mid",S62&lt;=12000,"High",S62&gt;12000,"Top")</f>
        <v>Mid</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_xlfn.IFS(A63&lt;=25,"Under 25",A63&lt;=35,"26–35",A63&lt;=45,"36–45",A63&gt;45,"46+")</f>
        <v>36–45</v>
      </c>
      <c r="AK63" t="str" cm="1">
        <f t="array" ref="AK63">_xlfn.IFS(S63&lt;=3000,"Low",S63&lt;=7000,"Mid",S63&lt;=12000,"High",S63&gt;12000,"Top")</f>
        <v>Low</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_xlfn.IFS(A64&lt;=25,"Under 25",A64&lt;=35,"26–35",A64&lt;=45,"36–45",A64&gt;45,"46+")</f>
        <v>46+</v>
      </c>
      <c r="AK64" t="str" cm="1">
        <f t="array" ref="AK64">_xlfn.IFS(S64&lt;=3000,"Low",S64&lt;=7000,"Mid",S64&lt;=12000,"High",S64&gt;12000,"Top")</f>
        <v>Top</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_xlfn.IFS(A65&lt;=25,"Under 25",A65&lt;=35,"26–35",A65&lt;=45,"36–45",A65&gt;45,"46+")</f>
        <v>46+</v>
      </c>
      <c r="AK65" t="str" cm="1">
        <f t="array" ref="AK65">_xlfn.IFS(S65&lt;=3000,"Low",S65&lt;=7000,"Mid",S65&lt;=12000,"High",S65&gt;12000,"Top")</f>
        <v>High</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_xlfn.IFS(A66&lt;=25,"Under 25",A66&lt;=35,"26–35",A66&lt;=45,"36–45",A66&gt;45,"46+")</f>
        <v>36–45</v>
      </c>
      <c r="AK66" t="str" cm="1">
        <f t="array" ref="AK66">_xlfn.IFS(S66&lt;=3000,"Low",S66&lt;=7000,"Mid",S66&lt;=12000,"High",S66&gt;12000,"Top")</f>
        <v>High</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_xlfn.IFS(A67&lt;=25,"Under 25",A67&lt;=35,"26–35",A67&lt;=45,"36–45",A67&gt;45,"46+")</f>
        <v>46+</v>
      </c>
      <c r="AK67" t="str" cm="1">
        <f t="array" ref="AK67">_xlfn.IFS(S67&lt;=3000,"Low",S67&lt;=7000,"Mid",S67&lt;=12000,"High",S67&gt;12000,"Top")</f>
        <v>Top</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_xlfn.IFS(A68&lt;=25,"Under 25",A68&lt;=35,"26–35",A68&lt;=45,"36–45",A68&gt;45,"46+")</f>
        <v>36–45</v>
      </c>
      <c r="AK68" t="str" cm="1">
        <f t="array" ref="AK68">_xlfn.IFS(S68&lt;=3000,"Low",S68&lt;=7000,"Mid",S68&lt;=12000,"High",S68&gt;12000,"Top")</f>
        <v>Mid</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_xlfn.IFS(A69&lt;=25,"Under 25",A69&lt;=35,"26–35",A69&lt;=45,"36–45",A69&gt;45,"46+")</f>
        <v>36–45</v>
      </c>
      <c r="AK69" t="str" cm="1">
        <f t="array" ref="AK69">_xlfn.IFS(S69&lt;=3000,"Low",S69&lt;=7000,"Mid",S69&lt;=12000,"High",S69&gt;12000,"Top")</f>
        <v>High</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_xlfn.IFS(A70&lt;=25,"Under 25",A70&lt;=35,"26–35",A70&lt;=45,"36–45",A70&gt;45,"46+")</f>
        <v>26–35</v>
      </c>
      <c r="AK70" t="str" cm="1">
        <f t="array" ref="AK70">_xlfn.IFS(S70&lt;=3000,"Low",S70&lt;=7000,"Mid",S70&lt;=12000,"High",S70&gt;12000,"Top")</f>
        <v>Low</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_xlfn.IFS(A71&lt;=25,"Under 25",A71&lt;=35,"26–35",A71&lt;=45,"36–45",A71&gt;45,"46+")</f>
        <v>36–45</v>
      </c>
      <c r="AK71" t="str" cm="1">
        <f t="array" ref="AK71">_xlfn.IFS(S71&lt;=3000,"Low",S71&lt;=7000,"Mid",S71&lt;=12000,"High",S71&gt;12000,"Top")</f>
        <v>Mid</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_xlfn.IFS(A72&lt;=25,"Under 25",A72&lt;=35,"26–35",A72&lt;=45,"36–45",A72&gt;45,"46+")</f>
        <v>46+</v>
      </c>
      <c r="AK72" t="str" cm="1">
        <f t="array" ref="AK72">_xlfn.IFS(S72&lt;=3000,"Low",S72&lt;=7000,"Mid",S72&lt;=12000,"High",S72&gt;12000,"Top")</f>
        <v>Mid</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_xlfn.IFS(A73&lt;=25,"Under 25",A73&lt;=35,"26–35",A73&lt;=45,"36–45",A73&gt;45,"46+")</f>
        <v>26–35</v>
      </c>
      <c r="AK73" t="str" cm="1">
        <f t="array" ref="AK73">_xlfn.IFS(S73&lt;=3000,"Low",S73&lt;=7000,"Mid",S73&lt;=12000,"High",S73&gt;12000,"Top")</f>
        <v>Low</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_xlfn.IFS(A74&lt;=25,"Under 25",A74&lt;=35,"26–35",A74&lt;=45,"36–45",A74&gt;45,"46+")</f>
        <v>26–35</v>
      </c>
      <c r="AK74" t="str" cm="1">
        <f t="array" ref="AK74">_xlfn.IFS(S74&lt;=3000,"Low",S74&lt;=7000,"Mid",S74&lt;=12000,"High",S74&gt;12000,"Top")</f>
        <v>Low</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_xlfn.IFS(A75&lt;=25,"Under 25",A75&lt;=35,"26–35",A75&lt;=45,"36–45",A75&gt;45,"46+")</f>
        <v>26–35</v>
      </c>
      <c r="AK75" t="str" cm="1">
        <f t="array" ref="AK75">_xlfn.IFS(S75&lt;=3000,"Low",S75&lt;=7000,"Mid",S75&lt;=12000,"High",S75&gt;12000,"Top")</f>
        <v>Mid</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_xlfn.IFS(A76&lt;=25,"Under 25",A76&lt;=35,"26–35",A76&lt;=45,"36–45",A76&gt;45,"46+")</f>
        <v>36–45</v>
      </c>
      <c r="AK76" t="str" cm="1">
        <f t="array" ref="AK76">_xlfn.IFS(S76&lt;=3000,"Low",S76&lt;=7000,"Mid",S76&lt;=12000,"High",S76&gt;12000,"Top")</f>
        <v>Mid</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_xlfn.IFS(A77&lt;=25,"Under 25",A77&lt;=35,"26–35",A77&lt;=45,"36–45",A77&gt;45,"46+")</f>
        <v>26–35</v>
      </c>
      <c r="AK77" t="str" cm="1">
        <f t="array" ref="AK77">_xlfn.IFS(S77&lt;=3000,"Low",S77&lt;=7000,"Mid",S77&lt;=12000,"High",S77&gt;12000,"Top")</f>
        <v>Mid</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_xlfn.IFS(A78&lt;=25,"Under 25",A78&lt;=35,"26–35",A78&lt;=45,"36–45",A78&gt;45,"46+")</f>
        <v>26–35</v>
      </c>
      <c r="AK78" t="str" cm="1">
        <f t="array" ref="AK78">_xlfn.IFS(S78&lt;=3000,"Low",S78&lt;=7000,"Mid",S78&lt;=12000,"High",S78&gt;12000,"Top")</f>
        <v>Mid</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_xlfn.IFS(A79&lt;=25,"Under 25",A79&lt;=35,"26–35",A79&lt;=45,"36–45",A79&gt;45,"46+")</f>
        <v>36–45</v>
      </c>
      <c r="AK79" t="str" cm="1">
        <f t="array" ref="AK79">_xlfn.IFS(S79&lt;=3000,"Low",S79&lt;=7000,"Mid",S79&lt;=12000,"High",S79&gt;12000,"Top")</f>
        <v>Top</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_xlfn.IFS(A80&lt;=25,"Under 25",A80&lt;=35,"26–35",A80&lt;=45,"36–45",A80&gt;45,"46+")</f>
        <v>36–45</v>
      </c>
      <c r="AK80" t="str" cm="1">
        <f t="array" ref="AK80">_xlfn.IFS(S80&lt;=3000,"Low",S80&lt;=7000,"Mid",S80&lt;=12000,"High",S80&gt;12000,"Top")</f>
        <v>Top</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_xlfn.IFS(A81&lt;=25,"Under 25",A81&lt;=35,"26–35",A81&lt;=45,"36–45",A81&gt;45,"46+")</f>
        <v>46+</v>
      </c>
      <c r="AK81" t="str" cm="1">
        <f t="array" ref="AK81">_xlfn.IFS(S81&lt;=3000,"Low",S81&lt;=7000,"Mid",S81&lt;=12000,"High",S81&gt;12000,"Top")</f>
        <v>Mid</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_xlfn.IFS(A82&lt;=25,"Under 25",A82&lt;=35,"26–35",A82&lt;=45,"36–45",A82&gt;45,"46+")</f>
        <v>26–35</v>
      </c>
      <c r="AK82" t="str" cm="1">
        <f t="array" ref="AK82">_xlfn.IFS(S82&lt;=3000,"Low",S82&lt;=7000,"Mid",S82&lt;=12000,"High",S82&gt;12000,"Top")</f>
        <v>Mid</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_xlfn.IFS(A83&lt;=25,"Under 25",A83&lt;=35,"26–35",A83&lt;=45,"36–45",A83&gt;45,"46+")</f>
        <v>26–35</v>
      </c>
      <c r="AK83" t="str" cm="1">
        <f t="array" ref="AK83">_xlfn.IFS(S83&lt;=3000,"Low",S83&lt;=7000,"Mid",S83&lt;=12000,"High",S83&gt;12000,"Top")</f>
        <v>Low</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_xlfn.IFS(A84&lt;=25,"Under 25",A84&lt;=35,"26–35",A84&lt;=45,"36–45",A84&gt;45,"46+")</f>
        <v>46+</v>
      </c>
      <c r="AK84" t="str" cm="1">
        <f t="array" ref="AK84">_xlfn.IFS(S84&lt;=3000,"Low",S84&lt;=7000,"Mid",S84&lt;=12000,"High",S84&gt;12000,"Top")</f>
        <v>High</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_xlfn.IFS(A85&lt;=25,"Under 25",A85&lt;=35,"26–35",A85&lt;=45,"36–45",A85&gt;45,"46+")</f>
        <v>36–45</v>
      </c>
      <c r="AK85" t="str" cm="1">
        <f t="array" ref="AK85">_xlfn.IFS(S85&lt;=3000,"Low",S85&lt;=7000,"Mid",S85&lt;=12000,"High",S85&gt;12000,"Top")</f>
        <v>Mid</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_xlfn.IFS(A86&lt;=25,"Under 25",A86&lt;=35,"26–35",A86&lt;=45,"36–45",A86&gt;45,"46+")</f>
        <v>26–35</v>
      </c>
      <c r="AK86" t="str" cm="1">
        <f t="array" ref="AK86">_xlfn.IFS(S86&lt;=3000,"Low",S86&lt;=7000,"Mid",S86&lt;=12000,"High",S86&gt;12000,"Top")</f>
        <v>Mid</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_xlfn.IFS(A87&lt;=25,"Under 25",A87&lt;=35,"26–35",A87&lt;=45,"36–45",A87&gt;45,"46+")</f>
        <v>46+</v>
      </c>
      <c r="AK87" t="str" cm="1">
        <f t="array" ref="AK87">_xlfn.IFS(S87&lt;=3000,"Low",S87&lt;=7000,"Mid",S87&lt;=12000,"High",S87&gt;12000,"Top")</f>
        <v>High</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_xlfn.IFS(A88&lt;=25,"Under 25",A88&lt;=35,"26–35",A88&lt;=45,"36–45",A88&gt;45,"46+")</f>
        <v>Under 25</v>
      </c>
      <c r="AK88" t="str" cm="1">
        <f t="array" ref="AK88">_xlfn.IFS(S88&lt;=3000,"Low",S88&lt;=7000,"Mid",S88&lt;=12000,"High",S88&gt;12000,"Top")</f>
        <v>Low</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_xlfn.IFS(A89&lt;=25,"Under 25",A89&lt;=35,"26–35",A89&lt;=45,"36–45",A89&gt;45,"46+")</f>
        <v>46+</v>
      </c>
      <c r="AK89" t="str" cm="1">
        <f t="array" ref="AK89">_xlfn.IFS(S89&lt;=3000,"Low",S89&lt;=7000,"Mid",S89&lt;=12000,"High",S89&gt;12000,"Top")</f>
        <v>Low</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_xlfn.IFS(A90&lt;=25,"Under 25",A90&lt;=35,"26–35",A90&lt;=45,"36–45",A90&gt;45,"46+")</f>
        <v>26–35</v>
      </c>
      <c r="AK90" t="str" cm="1">
        <f t="array" ref="AK90">_xlfn.IFS(S90&lt;=3000,"Low",S90&lt;=7000,"Mid",S90&lt;=12000,"High",S90&gt;12000,"Top")</f>
        <v>Mid</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_xlfn.IFS(A91&lt;=25,"Under 25",A91&lt;=35,"26–35",A91&lt;=45,"36–45",A91&gt;45,"46+")</f>
        <v>46+</v>
      </c>
      <c r="AK91" t="str" cm="1">
        <f t="array" ref="AK91">_xlfn.IFS(S91&lt;=3000,"Low",S91&lt;=7000,"Mid",S91&lt;=12000,"High",S91&gt;12000,"Top")</f>
        <v>High</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_xlfn.IFS(A92&lt;=25,"Under 25",A92&lt;=35,"26–35",A92&lt;=45,"36–45",A92&gt;45,"46+")</f>
        <v>36–45</v>
      </c>
      <c r="AK92" t="str" cm="1">
        <f t="array" ref="AK92">_xlfn.IFS(S92&lt;=3000,"Low",S92&lt;=7000,"Mid",S92&lt;=12000,"High",S92&gt;12000,"Top")</f>
        <v>Top</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_xlfn.IFS(A93&lt;=25,"Under 25",A93&lt;=35,"26–35",A93&lt;=45,"36–45",A93&gt;45,"46+")</f>
        <v>46+</v>
      </c>
      <c r="AK93" t="str" cm="1">
        <f t="array" ref="AK93">_xlfn.IFS(S93&lt;=3000,"Low",S93&lt;=7000,"Mid",S93&lt;=12000,"High",S93&gt;12000,"Top")</f>
        <v>Mid</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_xlfn.IFS(A94&lt;=25,"Under 25",A94&lt;=35,"26–35",A94&lt;=45,"36–45",A94&gt;45,"46+")</f>
        <v>26–35</v>
      </c>
      <c r="AK94" t="str" cm="1">
        <f t="array" ref="AK94">_xlfn.IFS(S94&lt;=3000,"Low",S94&lt;=7000,"Mid",S94&lt;=12000,"High",S94&gt;12000,"Top")</f>
        <v>Mid</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_xlfn.IFS(A95&lt;=25,"Under 25",A95&lt;=35,"26–35",A95&lt;=45,"36–45",A95&gt;45,"46+")</f>
        <v>46+</v>
      </c>
      <c r="AK95" t="str" cm="1">
        <f t="array" ref="AK95">_xlfn.IFS(S95&lt;=3000,"Low",S95&lt;=7000,"Mid",S95&lt;=12000,"High",S95&gt;12000,"Top")</f>
        <v>High</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_xlfn.IFS(A96&lt;=25,"Under 25",A96&lt;=35,"26–35",A96&lt;=45,"36–45",A96&gt;45,"46+")</f>
        <v>26–35</v>
      </c>
      <c r="AK96" t="str" cm="1">
        <f t="array" ref="AK96">_xlfn.IFS(S96&lt;=3000,"Low",S96&lt;=7000,"Mid",S96&lt;=12000,"High",S96&gt;12000,"Top")</f>
        <v>Mid</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_xlfn.IFS(A97&lt;=25,"Under 25",A97&lt;=35,"26–35",A97&lt;=45,"36–45",A97&gt;45,"46+")</f>
        <v>46+</v>
      </c>
      <c r="AK97" t="str" cm="1">
        <f t="array" ref="AK97">_xlfn.IFS(S97&lt;=3000,"Low",S97&lt;=7000,"Mid",S97&lt;=12000,"High",S97&gt;12000,"Top")</f>
        <v>Top</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_xlfn.IFS(A98&lt;=25,"Under 25",A98&lt;=35,"26–35",A98&lt;=45,"36–45",A98&gt;45,"46+")</f>
        <v>Under 25</v>
      </c>
      <c r="AK98" t="str" cm="1">
        <f t="array" ref="AK98">_xlfn.IFS(S98&lt;=3000,"Low",S98&lt;=7000,"Mid",S98&lt;=12000,"High",S98&gt;12000,"Top")</f>
        <v>Mid</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_xlfn.IFS(A99&lt;=25,"Under 25",A99&lt;=35,"26–35",A99&lt;=45,"36–45",A99&gt;45,"46+")</f>
        <v>26–35</v>
      </c>
      <c r="AK99" t="str" cm="1">
        <f t="array" ref="AK99">_xlfn.IFS(S99&lt;=3000,"Low",S99&lt;=7000,"Mid",S99&lt;=12000,"High",S99&gt;12000,"Top")</f>
        <v>Mid</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_xlfn.IFS(A100&lt;=25,"Under 25",A100&lt;=35,"26–35",A100&lt;=45,"36–45",A100&gt;45,"46+")</f>
        <v>46+</v>
      </c>
      <c r="AK100" t="str" cm="1">
        <f t="array" ref="AK100">_xlfn.IFS(S100&lt;=3000,"Low",S100&lt;=7000,"Mid",S100&lt;=12000,"High",S100&gt;12000,"Top")</f>
        <v>Top</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_xlfn.IFS(A101&lt;=25,"Under 25",A101&lt;=35,"26–35",A101&lt;=45,"36–45",A101&gt;45,"46+")</f>
        <v>36–45</v>
      </c>
      <c r="AK101" t="str" cm="1">
        <f t="array" ref="AK101">_xlfn.IFS(S101&lt;=3000,"Low",S101&lt;=7000,"Mid",S101&lt;=12000,"High",S101&gt;12000,"Top")</f>
        <v>Low</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_xlfn.IFS(A102&lt;=25,"Under 25",A102&lt;=35,"26–35",A102&lt;=45,"36–45",A102&gt;45,"46+")</f>
        <v>36–45</v>
      </c>
      <c r="AK102" t="str" cm="1">
        <f t="array" ref="AK102">_xlfn.IFS(S102&lt;=3000,"Low",S102&lt;=7000,"Mid",S102&lt;=12000,"High",S102&gt;12000,"Top")</f>
        <v>Low</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_xlfn.IFS(A103&lt;=25,"Under 25",A103&lt;=35,"26–35",A103&lt;=45,"36–45",A103&gt;45,"46+")</f>
        <v>26–35</v>
      </c>
      <c r="AK103" t="str" cm="1">
        <f t="array" ref="AK103">_xlfn.IFS(S103&lt;=3000,"Low",S103&lt;=7000,"Mid",S103&lt;=12000,"High",S103&gt;12000,"Top")</f>
        <v>Low</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_xlfn.IFS(A104&lt;=25,"Under 25",A104&lt;=35,"26–35",A104&lt;=45,"36–45",A104&gt;45,"46+")</f>
        <v>Under 25</v>
      </c>
      <c r="AK104" t="str" cm="1">
        <f t="array" ref="AK104">_xlfn.IFS(S104&lt;=3000,"Low",S104&lt;=7000,"Mid",S104&lt;=12000,"High",S104&gt;12000,"Top")</f>
        <v>Low</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_xlfn.IFS(A105&lt;=25,"Under 25",A105&lt;=35,"26–35",A105&lt;=45,"36–45",A105&gt;45,"46+")</f>
        <v>26–35</v>
      </c>
      <c r="AK105" t="str" cm="1">
        <f t="array" ref="AK105">_xlfn.IFS(S105&lt;=3000,"Low",S105&lt;=7000,"Mid",S105&lt;=12000,"High",S105&gt;12000,"Top")</f>
        <v>Mid</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_xlfn.IFS(A106&lt;=25,"Under 25",A106&lt;=35,"26–35",A106&lt;=45,"36–45",A106&gt;45,"46+")</f>
        <v>36–45</v>
      </c>
      <c r="AK106" t="str" cm="1">
        <f t="array" ref="AK106">_xlfn.IFS(S106&lt;=3000,"Low",S106&lt;=7000,"Mid",S106&lt;=12000,"High",S106&gt;12000,"Top")</f>
        <v>Mid</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_xlfn.IFS(A107&lt;=25,"Under 25",A107&lt;=35,"26–35",A107&lt;=45,"36–45",A107&gt;45,"46+")</f>
        <v>46+</v>
      </c>
      <c r="AK107" t="str" cm="1">
        <f t="array" ref="AK107">_xlfn.IFS(S107&lt;=3000,"Low",S107&lt;=7000,"Mid",S107&lt;=12000,"High",S107&gt;12000,"Top")</f>
        <v>Top</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_xlfn.IFS(A108&lt;=25,"Under 25",A108&lt;=35,"26–35",A108&lt;=45,"36–45",A108&gt;45,"46+")</f>
        <v>46+</v>
      </c>
      <c r="AK108" t="str" cm="1">
        <f t="array" ref="AK108">_xlfn.IFS(S108&lt;=3000,"Low",S108&lt;=7000,"Mid",S108&lt;=12000,"High",S108&gt;12000,"Top")</f>
        <v>Top</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_xlfn.IFS(A109&lt;=25,"Under 25",A109&lt;=35,"26–35",A109&lt;=45,"36–45",A109&gt;45,"46+")</f>
        <v>Under 25</v>
      </c>
      <c r="AK109" t="str" cm="1">
        <f t="array" ref="AK109">_xlfn.IFS(S109&lt;=3000,"Low",S109&lt;=7000,"Mid",S109&lt;=12000,"High",S109&gt;12000,"Top")</f>
        <v>Mid</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_xlfn.IFS(A110&lt;=25,"Under 25",A110&lt;=35,"26–35",A110&lt;=45,"36–45",A110&gt;45,"46+")</f>
        <v>Under 25</v>
      </c>
      <c r="AK110" t="str" cm="1">
        <f t="array" ref="AK110">_xlfn.IFS(S110&lt;=3000,"Low",S110&lt;=7000,"Mid",S110&lt;=12000,"High",S110&gt;12000,"Top")</f>
        <v>Low</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_xlfn.IFS(A111&lt;=25,"Under 25",A111&lt;=35,"26–35",A111&lt;=45,"36–45",A111&gt;45,"46+")</f>
        <v>Under 25</v>
      </c>
      <c r="AK111" t="str" cm="1">
        <f t="array" ref="AK111">_xlfn.IFS(S111&lt;=3000,"Low",S111&lt;=7000,"Mid",S111&lt;=12000,"High",S111&gt;12000,"Top")</f>
        <v>Low</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_xlfn.IFS(A112&lt;=25,"Under 25",A112&lt;=35,"26–35",A112&lt;=45,"36–45",A112&gt;45,"46+")</f>
        <v>46+</v>
      </c>
      <c r="AK112" t="str" cm="1">
        <f t="array" ref="AK112">_xlfn.IFS(S112&lt;=3000,"Low",S112&lt;=7000,"Mid",S112&lt;=12000,"High",S112&gt;12000,"Top")</f>
        <v>High</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_xlfn.IFS(A113&lt;=25,"Under 25",A113&lt;=35,"26–35",A113&lt;=45,"36–45",A113&gt;45,"46+")</f>
        <v>26–35</v>
      </c>
      <c r="AK113" t="str" cm="1">
        <f t="array" ref="AK113">_xlfn.IFS(S113&lt;=3000,"Low",S113&lt;=7000,"Mid",S113&lt;=12000,"High",S113&gt;12000,"Top")</f>
        <v>Mid</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_xlfn.IFS(A114&lt;=25,"Under 25",A114&lt;=35,"26–35",A114&lt;=45,"36–45",A114&gt;45,"46+")</f>
        <v>46+</v>
      </c>
      <c r="AK114" t="str" cm="1">
        <f t="array" ref="AK114">_xlfn.IFS(S114&lt;=3000,"Low",S114&lt;=7000,"Mid",S114&lt;=12000,"High",S114&gt;12000,"Top")</f>
        <v>Top</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_xlfn.IFS(A115&lt;=25,"Under 25",A115&lt;=35,"26–35",A115&lt;=45,"36–45",A115&gt;45,"46+")</f>
        <v>Under 25</v>
      </c>
      <c r="AK115" t="str" cm="1">
        <f t="array" ref="AK115">_xlfn.IFS(S115&lt;=3000,"Low",S115&lt;=7000,"Mid",S115&lt;=12000,"High",S115&gt;12000,"Top")</f>
        <v>Low</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_xlfn.IFS(A116&lt;=25,"Under 25",A116&lt;=35,"26–35",A116&lt;=45,"36–45",A116&gt;45,"46+")</f>
        <v>26–35</v>
      </c>
      <c r="AK116" t="str" cm="1">
        <f t="array" ref="AK116">_xlfn.IFS(S116&lt;=3000,"Low",S116&lt;=7000,"Mid",S116&lt;=12000,"High",S116&gt;12000,"Top")</f>
        <v>Mid</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_xlfn.IFS(A117&lt;=25,"Under 25",A117&lt;=35,"26–35",A117&lt;=45,"36–45",A117&gt;45,"46+")</f>
        <v>36–45</v>
      </c>
      <c r="AK117" t="str" cm="1">
        <f t="array" ref="AK117">_xlfn.IFS(S117&lt;=3000,"Low",S117&lt;=7000,"Mid",S117&lt;=12000,"High",S117&gt;12000,"Top")</f>
        <v>High</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_xlfn.IFS(A118&lt;=25,"Under 25",A118&lt;=35,"26–35",A118&lt;=45,"36–45",A118&gt;45,"46+")</f>
        <v>26–35</v>
      </c>
      <c r="AK118" t="str" cm="1">
        <f t="array" ref="AK118">_xlfn.IFS(S118&lt;=3000,"Low",S118&lt;=7000,"Mid",S118&lt;=12000,"High",S118&gt;12000,"Top")</f>
        <v>High</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_xlfn.IFS(A119&lt;=25,"Under 25",A119&lt;=35,"26–35",A119&lt;=45,"36–45",A119&gt;45,"46+")</f>
        <v>36–45</v>
      </c>
      <c r="AK119" t="str" cm="1">
        <f t="array" ref="AK119">_xlfn.IFS(S119&lt;=3000,"Low",S119&lt;=7000,"Mid",S119&lt;=12000,"High",S119&gt;12000,"Top")</f>
        <v>High</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_xlfn.IFS(A120&lt;=25,"Under 25",A120&lt;=35,"26–35",A120&lt;=45,"36–45",A120&gt;45,"46+")</f>
        <v>36–45</v>
      </c>
      <c r="AK120" t="str" cm="1">
        <f t="array" ref="AK120">_xlfn.IFS(S120&lt;=3000,"Low",S120&lt;=7000,"Mid",S120&lt;=12000,"High",S120&gt;12000,"Top")</f>
        <v>Low</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_xlfn.IFS(A121&lt;=25,"Under 25",A121&lt;=35,"26–35",A121&lt;=45,"36–45",A121&gt;45,"46+")</f>
        <v>36–45</v>
      </c>
      <c r="AK121" t="str" cm="1">
        <f t="array" ref="AK121">_xlfn.IFS(S121&lt;=3000,"Low",S121&lt;=7000,"Mid",S121&lt;=12000,"High",S121&gt;12000,"Top")</f>
        <v>Top</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_xlfn.IFS(A122&lt;=25,"Under 25",A122&lt;=35,"26–35",A122&lt;=45,"36–45",A122&gt;45,"46+")</f>
        <v>26–35</v>
      </c>
      <c r="AK122" t="str" cm="1">
        <f t="array" ref="AK122">_xlfn.IFS(S122&lt;=3000,"Low",S122&lt;=7000,"Mid",S122&lt;=12000,"High",S122&gt;12000,"Top")</f>
        <v>Low</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_xlfn.IFS(A123&lt;=25,"Under 25",A123&lt;=35,"26–35",A123&lt;=45,"36–45",A123&gt;45,"46+")</f>
        <v>26–35</v>
      </c>
      <c r="AK123" t="str" cm="1">
        <f t="array" ref="AK123">_xlfn.IFS(S123&lt;=3000,"Low",S123&lt;=7000,"Mid",S123&lt;=12000,"High",S123&gt;12000,"Top")</f>
        <v>Mid</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_xlfn.IFS(A124&lt;=25,"Under 25",A124&lt;=35,"26–35",A124&lt;=45,"36–45",A124&gt;45,"46+")</f>
        <v>46+</v>
      </c>
      <c r="AK124" t="str" cm="1">
        <f t="array" ref="AK124">_xlfn.IFS(S124&lt;=3000,"Low",S124&lt;=7000,"Mid",S124&lt;=12000,"High",S124&gt;12000,"Top")</f>
        <v>Mid</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_xlfn.IFS(A125&lt;=25,"Under 25",A125&lt;=35,"26–35",A125&lt;=45,"36–45",A125&gt;45,"46+")</f>
        <v>46+</v>
      </c>
      <c r="AK125" t="str" cm="1">
        <f t="array" ref="AK125">_xlfn.IFS(S125&lt;=3000,"Low",S125&lt;=7000,"Mid",S125&lt;=12000,"High",S125&gt;12000,"Top")</f>
        <v>Top</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_xlfn.IFS(A126&lt;=25,"Under 25",A126&lt;=35,"26–35",A126&lt;=45,"36–45",A126&gt;45,"46+")</f>
        <v>26–35</v>
      </c>
      <c r="AK126" t="str" cm="1">
        <f t="array" ref="AK126">_xlfn.IFS(S126&lt;=3000,"Low",S126&lt;=7000,"Mid",S126&lt;=12000,"High",S126&gt;12000,"Top")</f>
        <v>Mid</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_xlfn.IFS(A127&lt;=25,"Under 25",A127&lt;=35,"26–35",A127&lt;=45,"36–45",A127&gt;45,"46+")</f>
        <v>26–35</v>
      </c>
      <c r="AK127" t="str" cm="1">
        <f t="array" ref="AK127">_xlfn.IFS(S127&lt;=3000,"Low",S127&lt;=7000,"Mid",S127&lt;=12000,"High",S127&gt;12000,"Top")</f>
        <v>Low</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_xlfn.IFS(A128&lt;=25,"Under 25",A128&lt;=35,"26–35",A128&lt;=45,"36–45",A128&gt;45,"46+")</f>
        <v>46+</v>
      </c>
      <c r="AK128" t="str" cm="1">
        <f t="array" ref="AK128">_xlfn.IFS(S128&lt;=3000,"Low",S128&lt;=7000,"Mid",S128&lt;=12000,"High",S128&gt;12000,"Top")</f>
        <v>High</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_xlfn.IFS(A129&lt;=25,"Under 25",A129&lt;=35,"26–35",A129&lt;=45,"36–45",A129&gt;45,"46+")</f>
        <v>Under 25</v>
      </c>
      <c r="AK129" t="str" cm="1">
        <f t="array" ref="AK129">_xlfn.IFS(S129&lt;=3000,"Low",S129&lt;=7000,"Mid",S129&lt;=12000,"High",S129&gt;12000,"Top")</f>
        <v>Low</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_xlfn.IFS(A130&lt;=25,"Under 25",A130&lt;=35,"26–35",A130&lt;=45,"36–45",A130&gt;45,"46+")</f>
        <v>Under 25</v>
      </c>
      <c r="AK130" t="str" cm="1">
        <f t="array" ref="AK130">_xlfn.IFS(S130&lt;=3000,"Low",S130&lt;=7000,"Mid",S130&lt;=12000,"High",S130&gt;12000,"Top")</f>
        <v>Low</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_xlfn.IFS(A131&lt;=25,"Under 25",A131&lt;=35,"26–35",A131&lt;=45,"36–45",A131&gt;45,"46+")</f>
        <v>46+</v>
      </c>
      <c r="AK131" t="str" cm="1">
        <f t="array" ref="AK131">_xlfn.IFS(S131&lt;=3000,"Low",S131&lt;=7000,"Mid",S131&lt;=12000,"High",S131&gt;12000,"Top")</f>
        <v>Mid</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_xlfn.IFS(A132&lt;=25,"Under 25",A132&lt;=35,"26–35",A132&lt;=45,"36–45",A132&gt;45,"46+")</f>
        <v>36–45</v>
      </c>
      <c r="AK132" t="str" cm="1">
        <f t="array" ref="AK132">_xlfn.IFS(S132&lt;=3000,"Low",S132&lt;=7000,"Mid",S132&lt;=12000,"High",S132&gt;12000,"Top")</f>
        <v>Mid</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_xlfn.IFS(A133&lt;=25,"Under 25",A133&lt;=35,"26–35",A133&lt;=45,"36–45",A133&gt;45,"46+")</f>
        <v>46+</v>
      </c>
      <c r="AK133" t="str" cm="1">
        <f t="array" ref="AK133">_xlfn.IFS(S133&lt;=3000,"Low",S133&lt;=7000,"Mid",S133&lt;=12000,"High",S133&gt;12000,"Top")</f>
        <v>High</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_xlfn.IFS(A134&lt;=25,"Under 25",A134&lt;=35,"26–35",A134&lt;=45,"36–45",A134&gt;45,"46+")</f>
        <v>26–35</v>
      </c>
      <c r="AK134" t="str" cm="1">
        <f t="array" ref="AK134">_xlfn.IFS(S134&lt;=3000,"Low",S134&lt;=7000,"Mid",S134&lt;=12000,"High",S134&gt;12000,"Top")</f>
        <v>Mid</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_xlfn.IFS(A135&lt;=25,"Under 25",A135&lt;=35,"26–35",A135&lt;=45,"36–45",A135&gt;45,"46+")</f>
        <v>36–45</v>
      </c>
      <c r="AK135" t="str" cm="1">
        <f t="array" ref="AK135">_xlfn.IFS(S135&lt;=3000,"Low",S135&lt;=7000,"Mid",S135&lt;=12000,"High",S135&gt;12000,"Top")</f>
        <v>High</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_xlfn.IFS(A136&lt;=25,"Under 25",A136&lt;=35,"26–35",A136&lt;=45,"36–45",A136&gt;45,"46+")</f>
        <v>26–35</v>
      </c>
      <c r="AK136" t="str" cm="1">
        <f t="array" ref="AK136">_xlfn.IFS(S136&lt;=3000,"Low",S136&lt;=7000,"Mid",S136&lt;=12000,"High",S136&gt;12000,"Top")</f>
        <v>Low</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_xlfn.IFS(A137&lt;=25,"Under 25",A137&lt;=35,"26–35",A137&lt;=45,"36–45",A137&gt;45,"46+")</f>
        <v>36–45</v>
      </c>
      <c r="AK137" t="str" cm="1">
        <f t="array" ref="AK137">_xlfn.IFS(S137&lt;=3000,"Low",S137&lt;=7000,"Mid",S137&lt;=12000,"High",S137&gt;12000,"Top")</f>
        <v>Mid</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_xlfn.IFS(A138&lt;=25,"Under 25",A138&lt;=35,"26–35",A138&lt;=45,"36–45",A138&gt;45,"46+")</f>
        <v>46+</v>
      </c>
      <c r="AK138" t="str" cm="1">
        <f t="array" ref="AK138">_xlfn.IFS(S138&lt;=3000,"Low",S138&lt;=7000,"Mid",S138&lt;=12000,"High",S138&gt;12000,"Top")</f>
        <v>High</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_xlfn.IFS(A139&lt;=25,"Under 25",A139&lt;=35,"26–35",A139&lt;=45,"36–45",A139&gt;45,"46+")</f>
        <v>36–45</v>
      </c>
      <c r="AK139" t="str" cm="1">
        <f t="array" ref="AK139">_xlfn.IFS(S139&lt;=3000,"Low",S139&lt;=7000,"Mid",S139&lt;=12000,"High",S139&gt;12000,"Top")</f>
        <v>Mid</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_xlfn.IFS(A140&lt;=25,"Under 25",A140&lt;=35,"26–35",A140&lt;=45,"36–45",A140&gt;45,"46+")</f>
        <v>Under 25</v>
      </c>
      <c r="AK140" t="str" cm="1">
        <f t="array" ref="AK140">_xlfn.IFS(S140&lt;=3000,"Low",S140&lt;=7000,"Mid",S140&lt;=12000,"High",S140&gt;12000,"Top")</f>
        <v>High</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_xlfn.IFS(A141&lt;=25,"Under 25",A141&lt;=35,"26–35",A141&lt;=45,"36–45",A141&gt;45,"46+")</f>
        <v>26–35</v>
      </c>
      <c r="AK141" t="str" cm="1">
        <f t="array" ref="AK141">_xlfn.IFS(S141&lt;=3000,"Low",S141&lt;=7000,"Mid",S141&lt;=12000,"High",S141&gt;12000,"Top")</f>
        <v>Mid</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_xlfn.IFS(A142&lt;=25,"Under 25",A142&lt;=35,"26–35",A142&lt;=45,"36–45",A142&gt;45,"46+")</f>
        <v>26–35</v>
      </c>
      <c r="AK142" t="str" cm="1">
        <f t="array" ref="AK142">_xlfn.IFS(S142&lt;=3000,"Low",S142&lt;=7000,"Mid",S142&lt;=12000,"High",S142&gt;12000,"Top")</f>
        <v>Mid</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_xlfn.IFS(A143&lt;=25,"Under 25",A143&lt;=35,"26–35",A143&lt;=45,"36–45",A143&gt;45,"46+")</f>
        <v>36–45</v>
      </c>
      <c r="AK143" t="str" cm="1">
        <f t="array" ref="AK143">_xlfn.IFS(S143&lt;=3000,"Low",S143&lt;=7000,"Mid",S143&lt;=12000,"High",S143&gt;12000,"Top")</f>
        <v>Mid</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_xlfn.IFS(A144&lt;=25,"Under 25",A144&lt;=35,"26–35",A144&lt;=45,"36–45",A144&gt;45,"46+")</f>
        <v>36–45</v>
      </c>
      <c r="AK144" t="str" cm="1">
        <f t="array" ref="AK144">_xlfn.IFS(S144&lt;=3000,"Low",S144&lt;=7000,"Mid",S144&lt;=12000,"High",S144&gt;12000,"Top")</f>
        <v>Mid</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_xlfn.IFS(A145&lt;=25,"Under 25",A145&lt;=35,"26–35",A145&lt;=45,"36–45",A145&gt;45,"46+")</f>
        <v>26–35</v>
      </c>
      <c r="AK145" t="str" cm="1">
        <f t="array" ref="AK145">_xlfn.IFS(S145&lt;=3000,"Low",S145&lt;=7000,"Mid",S145&lt;=12000,"High",S145&gt;12000,"Top")</f>
        <v>Low</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_xlfn.IFS(A146&lt;=25,"Under 25",A146&lt;=35,"26–35",A146&lt;=45,"36–45",A146&gt;45,"46+")</f>
        <v>26–35</v>
      </c>
      <c r="AK146" t="str" cm="1">
        <f t="array" ref="AK146">_xlfn.IFS(S146&lt;=3000,"Low",S146&lt;=7000,"Mid",S146&lt;=12000,"High",S146&gt;12000,"Top")</f>
        <v>Mid</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_xlfn.IFS(A147&lt;=25,"Under 25",A147&lt;=35,"26–35",A147&lt;=45,"36–45",A147&gt;45,"46+")</f>
        <v>26–35</v>
      </c>
      <c r="AK147" t="str" cm="1">
        <f t="array" ref="AK147">_xlfn.IFS(S147&lt;=3000,"Low",S147&lt;=7000,"Mid",S147&lt;=12000,"High",S147&gt;12000,"Top")</f>
        <v>Mid</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_xlfn.IFS(A148&lt;=25,"Under 25",A148&lt;=35,"26–35",A148&lt;=45,"36–45",A148&gt;45,"46+")</f>
        <v>26–35</v>
      </c>
      <c r="AK148" t="str" cm="1">
        <f t="array" ref="AK148">_xlfn.IFS(S148&lt;=3000,"Low",S148&lt;=7000,"Mid",S148&lt;=12000,"High",S148&gt;12000,"Top")</f>
        <v>Low</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_xlfn.IFS(A149&lt;=25,"Under 25",A149&lt;=35,"26–35",A149&lt;=45,"36–45",A149&gt;45,"46+")</f>
        <v>36–45</v>
      </c>
      <c r="AK149" t="str" cm="1">
        <f t="array" ref="AK149">_xlfn.IFS(S149&lt;=3000,"Low",S149&lt;=7000,"Mid",S149&lt;=12000,"High",S149&gt;12000,"Top")</f>
        <v>Top</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_xlfn.IFS(A150&lt;=25,"Under 25",A150&lt;=35,"26–35",A150&lt;=45,"36–45",A150&gt;45,"46+")</f>
        <v>36–45</v>
      </c>
      <c r="AK150" t="str" cm="1">
        <f t="array" ref="AK150">_xlfn.IFS(S150&lt;=3000,"Low",S150&lt;=7000,"Mid",S150&lt;=12000,"High",S150&gt;12000,"Top")</f>
        <v>Low</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_xlfn.IFS(A151&lt;=25,"Under 25",A151&lt;=35,"26–35",A151&lt;=45,"36–45",A151&gt;45,"46+")</f>
        <v>Under 25</v>
      </c>
      <c r="AK151" t="str" cm="1">
        <f t="array" ref="AK151">_xlfn.IFS(S151&lt;=3000,"Low",S151&lt;=7000,"Mid",S151&lt;=12000,"High",S151&gt;12000,"Top")</f>
        <v>Low</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_xlfn.IFS(A152&lt;=25,"Under 25",A152&lt;=35,"26–35",A152&lt;=45,"36–45",A152&gt;45,"46+")</f>
        <v>36–45</v>
      </c>
      <c r="AK152" t="str" cm="1">
        <f t="array" ref="AK152">_xlfn.IFS(S152&lt;=3000,"Low",S152&lt;=7000,"Mid",S152&lt;=12000,"High",S152&gt;12000,"Top")</f>
        <v>Mid</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_xlfn.IFS(A153&lt;=25,"Under 25",A153&lt;=35,"26–35",A153&lt;=45,"36–45",A153&gt;45,"46+")</f>
        <v>26–35</v>
      </c>
      <c r="AK153" t="str" cm="1">
        <f t="array" ref="AK153">_xlfn.IFS(S153&lt;=3000,"Low",S153&lt;=7000,"Mid",S153&lt;=12000,"High",S153&gt;12000,"Top")</f>
        <v>High</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_xlfn.IFS(A154&lt;=25,"Under 25",A154&lt;=35,"26–35",A154&lt;=45,"36–45",A154&gt;45,"46+")</f>
        <v>46+</v>
      </c>
      <c r="AK154" t="str" cm="1">
        <f t="array" ref="AK154">_xlfn.IFS(S154&lt;=3000,"Low",S154&lt;=7000,"Mid",S154&lt;=12000,"High",S154&gt;12000,"Top")</f>
        <v>Low</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_xlfn.IFS(A155&lt;=25,"Under 25",A155&lt;=35,"26–35",A155&lt;=45,"36–45",A155&gt;45,"46+")</f>
        <v>36–45</v>
      </c>
      <c r="AK155" t="str" cm="1">
        <f t="array" ref="AK155">_xlfn.IFS(S155&lt;=3000,"Low",S155&lt;=7000,"Mid",S155&lt;=12000,"High",S155&gt;12000,"Top")</f>
        <v>Low</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_xlfn.IFS(A156&lt;=25,"Under 25",A156&lt;=35,"26–35",A156&lt;=45,"36–45",A156&gt;45,"46+")</f>
        <v>26–35</v>
      </c>
      <c r="AK156" t="str" cm="1">
        <f t="array" ref="AK156">_xlfn.IFS(S156&lt;=3000,"Low",S156&lt;=7000,"Mid",S156&lt;=12000,"High",S156&gt;12000,"Top")</f>
        <v>High</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_xlfn.IFS(A157&lt;=25,"Under 25",A157&lt;=35,"26–35",A157&lt;=45,"36–45",A157&gt;45,"46+")</f>
        <v>26–35</v>
      </c>
      <c r="AK157" t="str" cm="1">
        <f t="array" ref="AK157">_xlfn.IFS(S157&lt;=3000,"Low",S157&lt;=7000,"Mid",S157&lt;=12000,"High",S157&gt;12000,"Top")</f>
        <v>Mid</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_xlfn.IFS(A158&lt;=25,"Under 25",A158&lt;=35,"26–35",A158&lt;=45,"36–45",A158&gt;45,"46+")</f>
        <v>46+</v>
      </c>
      <c r="AK158" t="str" cm="1">
        <f t="array" ref="AK158">_xlfn.IFS(S158&lt;=3000,"Low",S158&lt;=7000,"Mid",S158&lt;=12000,"High",S158&gt;12000,"Top")</f>
        <v>Mid</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_xlfn.IFS(A159&lt;=25,"Under 25",A159&lt;=35,"26–35",A159&lt;=45,"36–45",A159&gt;45,"46+")</f>
        <v>46+</v>
      </c>
      <c r="AK159" t="str" cm="1">
        <f t="array" ref="AK159">_xlfn.IFS(S159&lt;=3000,"Low",S159&lt;=7000,"Mid",S159&lt;=12000,"High",S159&gt;12000,"Top")</f>
        <v>Mid</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_xlfn.IFS(A160&lt;=25,"Under 25",A160&lt;=35,"26–35",A160&lt;=45,"36–45",A160&gt;45,"46+")</f>
        <v>36–45</v>
      </c>
      <c r="AK160" t="str" cm="1">
        <f t="array" ref="AK160">_xlfn.IFS(S160&lt;=3000,"Low",S160&lt;=7000,"Mid",S160&lt;=12000,"High",S160&gt;12000,"Top")</f>
        <v>High</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_xlfn.IFS(A161&lt;=25,"Under 25",A161&lt;=35,"26–35",A161&lt;=45,"36–45",A161&gt;45,"46+")</f>
        <v>26–35</v>
      </c>
      <c r="AK161" t="str" cm="1">
        <f t="array" ref="AK161">_xlfn.IFS(S161&lt;=3000,"Low",S161&lt;=7000,"Mid",S161&lt;=12000,"High",S161&gt;12000,"Top")</f>
        <v>Low</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_xlfn.IFS(A162&lt;=25,"Under 25",A162&lt;=35,"26–35",A162&lt;=45,"36–45",A162&gt;45,"46+")</f>
        <v>Under 25</v>
      </c>
      <c r="AK162" t="str" cm="1">
        <f t="array" ref="AK162">_xlfn.IFS(S162&lt;=3000,"Low",S162&lt;=7000,"Mid",S162&lt;=12000,"High",S162&gt;12000,"Top")</f>
        <v>Low</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_xlfn.IFS(A163&lt;=25,"Under 25",A163&lt;=35,"26–35",A163&lt;=45,"36–45",A163&gt;45,"46+")</f>
        <v>26–35</v>
      </c>
      <c r="AK163" t="str" cm="1">
        <f t="array" ref="AK163">_xlfn.IFS(S163&lt;=3000,"Low",S163&lt;=7000,"Mid",S163&lt;=12000,"High",S163&gt;12000,"Top")</f>
        <v>Low</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_xlfn.IFS(A164&lt;=25,"Under 25",A164&lt;=35,"26–35",A164&lt;=45,"36–45",A164&gt;45,"46+")</f>
        <v>26–35</v>
      </c>
      <c r="AK164" t="str" cm="1">
        <f t="array" ref="AK164">_xlfn.IFS(S164&lt;=3000,"Low",S164&lt;=7000,"Mid",S164&lt;=12000,"High",S164&gt;12000,"Top")</f>
        <v>Low</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_xlfn.IFS(A165&lt;=25,"Under 25",A165&lt;=35,"26–35",A165&lt;=45,"36–45",A165&gt;45,"46+")</f>
        <v>46+</v>
      </c>
      <c r="AK165" t="str" cm="1">
        <f t="array" ref="AK165">_xlfn.IFS(S165&lt;=3000,"Low",S165&lt;=7000,"Mid",S165&lt;=12000,"High",S165&gt;12000,"Top")</f>
        <v>High</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_xlfn.IFS(A166&lt;=25,"Under 25",A166&lt;=35,"26–35",A166&lt;=45,"36–45",A166&gt;45,"46+")</f>
        <v>26–35</v>
      </c>
      <c r="AK166" t="str" cm="1">
        <f t="array" ref="AK166">_xlfn.IFS(S166&lt;=3000,"Low",S166&lt;=7000,"Mid",S166&lt;=12000,"High",S166&gt;12000,"Top")</f>
        <v>Low</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_xlfn.IFS(A167&lt;=25,"Under 25",A167&lt;=35,"26–35",A167&lt;=45,"36–45",A167&gt;45,"46+")</f>
        <v>46+</v>
      </c>
      <c r="AK167" t="str" cm="1">
        <f t="array" ref="AK167">_xlfn.IFS(S167&lt;=3000,"Low",S167&lt;=7000,"Mid",S167&lt;=12000,"High",S167&gt;12000,"Top")</f>
        <v>Top</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_xlfn.IFS(A168&lt;=25,"Under 25",A168&lt;=35,"26–35",A168&lt;=45,"36–45",A168&gt;45,"46+")</f>
        <v>36–45</v>
      </c>
      <c r="AK168" t="str" cm="1">
        <f t="array" ref="AK168">_xlfn.IFS(S168&lt;=3000,"Low",S168&lt;=7000,"Mid",S168&lt;=12000,"High",S168&gt;12000,"Top")</f>
        <v>Low</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_xlfn.IFS(A169&lt;=25,"Under 25",A169&lt;=35,"26–35",A169&lt;=45,"36–45",A169&gt;45,"46+")</f>
        <v>26–35</v>
      </c>
      <c r="AK169" t="str" cm="1">
        <f t="array" ref="AK169">_xlfn.IFS(S169&lt;=3000,"Low",S169&lt;=7000,"Mid",S169&lt;=12000,"High",S169&gt;12000,"Top")</f>
        <v>High</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_xlfn.IFS(A170&lt;=25,"Under 25",A170&lt;=35,"26–35",A170&lt;=45,"36–45",A170&gt;45,"46+")</f>
        <v>36–45</v>
      </c>
      <c r="AK170" t="str" cm="1">
        <f t="array" ref="AK170">_xlfn.IFS(S170&lt;=3000,"Low",S170&lt;=7000,"Mid",S170&lt;=12000,"High",S170&gt;12000,"Top")</f>
        <v>High</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_xlfn.IFS(A171&lt;=25,"Under 25",A171&lt;=35,"26–35",A171&lt;=45,"36–45",A171&gt;45,"46+")</f>
        <v>26–35</v>
      </c>
      <c r="AK171" t="str" cm="1">
        <f t="array" ref="AK171">_xlfn.IFS(S171&lt;=3000,"Low",S171&lt;=7000,"Mid",S171&lt;=12000,"High",S171&gt;12000,"Top")</f>
        <v>Mid</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_xlfn.IFS(A172&lt;=25,"Under 25",A172&lt;=35,"26–35",A172&lt;=45,"36–45",A172&gt;45,"46+")</f>
        <v>26–35</v>
      </c>
      <c r="AK172" t="str" cm="1">
        <f t="array" ref="AK172">_xlfn.IFS(S172&lt;=3000,"Low",S172&lt;=7000,"Mid",S172&lt;=12000,"High",S172&gt;12000,"Top")</f>
        <v>Mid</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_xlfn.IFS(A173&lt;=25,"Under 25",A173&lt;=35,"26–35",A173&lt;=45,"36–45",A173&gt;45,"46+")</f>
        <v>Under 25</v>
      </c>
      <c r="AK173" t="str" cm="1">
        <f t="array" ref="AK173">_xlfn.IFS(S173&lt;=3000,"Low",S173&lt;=7000,"Mid",S173&lt;=12000,"High",S173&gt;12000,"Top")</f>
        <v>Low</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_xlfn.IFS(A174&lt;=25,"Under 25",A174&lt;=35,"26–35",A174&lt;=45,"36–45",A174&gt;45,"46+")</f>
        <v>36–45</v>
      </c>
      <c r="AK174" t="str" cm="1">
        <f t="array" ref="AK174">_xlfn.IFS(S174&lt;=3000,"Low",S174&lt;=7000,"Mid",S174&lt;=12000,"High",S174&gt;12000,"Top")</f>
        <v>Low</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_xlfn.IFS(A175&lt;=25,"Under 25",A175&lt;=35,"26–35",A175&lt;=45,"36–45",A175&gt;45,"46+")</f>
        <v>26–35</v>
      </c>
      <c r="AK175" t="str" cm="1">
        <f t="array" ref="AK175">_xlfn.IFS(S175&lt;=3000,"Low",S175&lt;=7000,"Mid",S175&lt;=12000,"High",S175&gt;12000,"Top")</f>
        <v>Mid</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_xlfn.IFS(A176&lt;=25,"Under 25",A176&lt;=35,"26–35",A176&lt;=45,"36–45",A176&gt;45,"46+")</f>
        <v>36–45</v>
      </c>
      <c r="AK176" t="str" cm="1">
        <f t="array" ref="AK176">_xlfn.IFS(S176&lt;=3000,"Low",S176&lt;=7000,"Mid",S176&lt;=12000,"High",S176&gt;12000,"Top")</f>
        <v>Mid</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_xlfn.IFS(A177&lt;=25,"Under 25",A177&lt;=35,"26–35",A177&lt;=45,"36–45",A177&gt;45,"46+")</f>
        <v>46+</v>
      </c>
      <c r="AK177" t="str" cm="1">
        <f t="array" ref="AK177">_xlfn.IFS(S177&lt;=3000,"Low",S177&lt;=7000,"Mid",S177&lt;=12000,"High",S177&gt;12000,"Top")</f>
        <v>Mid</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_xlfn.IFS(A178&lt;=25,"Under 25",A178&lt;=35,"26–35",A178&lt;=45,"36–45",A178&gt;45,"46+")</f>
        <v>26–35</v>
      </c>
      <c r="AK178" t="str" cm="1">
        <f t="array" ref="AK178">_xlfn.IFS(S178&lt;=3000,"Low",S178&lt;=7000,"Mid",S178&lt;=12000,"High",S178&gt;12000,"Top")</f>
        <v>Low</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_xlfn.IFS(A179&lt;=25,"Under 25",A179&lt;=35,"26–35",A179&lt;=45,"36–45",A179&gt;45,"46+")</f>
        <v>Under 25</v>
      </c>
      <c r="AK179" t="str" cm="1">
        <f t="array" ref="AK179">_xlfn.IFS(S179&lt;=3000,"Low",S179&lt;=7000,"Mid",S179&lt;=12000,"High",S179&gt;12000,"Top")</f>
        <v>Low</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_xlfn.IFS(A180&lt;=25,"Under 25",A180&lt;=35,"26–35",A180&lt;=45,"36–45",A180&gt;45,"46+")</f>
        <v>46+</v>
      </c>
      <c r="AK180" t="str" cm="1">
        <f t="array" ref="AK180">_xlfn.IFS(S180&lt;=3000,"Low",S180&lt;=7000,"Mid",S180&lt;=12000,"High",S180&gt;12000,"Top")</f>
        <v>High</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_xlfn.IFS(A181&lt;=25,"Under 25",A181&lt;=35,"26–35",A181&lt;=45,"36–45",A181&gt;45,"46+")</f>
        <v>36–45</v>
      </c>
      <c r="AK181" t="str" cm="1">
        <f t="array" ref="AK181">_xlfn.IFS(S181&lt;=3000,"Low",S181&lt;=7000,"Mid",S181&lt;=12000,"High",S181&gt;12000,"Top")</f>
        <v>Low</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_xlfn.IFS(A182&lt;=25,"Under 25",A182&lt;=35,"26–35",A182&lt;=45,"36–45",A182&gt;45,"46+")</f>
        <v>26–35</v>
      </c>
      <c r="AK182" t="str" cm="1">
        <f t="array" ref="AK182">_xlfn.IFS(S182&lt;=3000,"Low",S182&lt;=7000,"Mid",S182&lt;=12000,"High",S182&gt;12000,"Top")</f>
        <v>Mid</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_xlfn.IFS(A183&lt;=25,"Under 25",A183&lt;=35,"26–35",A183&lt;=45,"36–45",A183&gt;45,"46+")</f>
        <v>26–35</v>
      </c>
      <c r="AK183" t="str" cm="1">
        <f t="array" ref="AK183">_xlfn.IFS(S183&lt;=3000,"Low",S183&lt;=7000,"Mid",S183&lt;=12000,"High",S183&gt;12000,"Top")</f>
        <v>Low</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_xlfn.IFS(A184&lt;=25,"Under 25",A184&lt;=35,"26–35",A184&lt;=45,"36–45",A184&gt;45,"46+")</f>
        <v>36–45</v>
      </c>
      <c r="AK184" t="str" cm="1">
        <f t="array" ref="AK184">_xlfn.IFS(S184&lt;=3000,"Low",S184&lt;=7000,"Mid",S184&lt;=12000,"High",S184&gt;12000,"Top")</f>
        <v>Mid</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_xlfn.IFS(A185&lt;=25,"Under 25",A185&lt;=35,"26–35",A185&lt;=45,"36–45",A185&gt;45,"46+")</f>
        <v>46+</v>
      </c>
      <c r="AK185" t="str" cm="1">
        <f t="array" ref="AK185">_xlfn.IFS(S185&lt;=3000,"Low",S185&lt;=7000,"Mid",S185&lt;=12000,"High",S185&gt;12000,"Top")</f>
        <v>Mid</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_xlfn.IFS(A186&lt;=25,"Under 25",A186&lt;=35,"26–35",A186&lt;=45,"36–45",A186&gt;45,"46+")</f>
        <v>46+</v>
      </c>
      <c r="AK186" t="str" cm="1">
        <f t="array" ref="AK186">_xlfn.IFS(S186&lt;=3000,"Low",S186&lt;=7000,"Mid",S186&lt;=12000,"High",S186&gt;12000,"Top")</f>
        <v>Mid</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_xlfn.IFS(A187&lt;=25,"Under 25",A187&lt;=35,"26–35",A187&lt;=45,"36–45",A187&gt;45,"46+")</f>
        <v>26–35</v>
      </c>
      <c r="AK187" t="str" cm="1">
        <f t="array" ref="AK187">_xlfn.IFS(S187&lt;=3000,"Low",S187&lt;=7000,"Mid",S187&lt;=12000,"High",S187&gt;12000,"Top")</f>
        <v>Low</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_xlfn.IFS(A188&lt;=25,"Under 25",A188&lt;=35,"26–35",A188&lt;=45,"36–45",A188&gt;45,"46+")</f>
        <v>36–45</v>
      </c>
      <c r="AK188" t="str" cm="1">
        <f t="array" ref="AK188">_xlfn.IFS(S188&lt;=3000,"Low",S188&lt;=7000,"Mid",S188&lt;=12000,"High",S188&gt;12000,"Top")</f>
        <v>Top</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_xlfn.IFS(A189&lt;=25,"Under 25",A189&lt;=35,"26–35",A189&lt;=45,"36–45",A189&gt;45,"46+")</f>
        <v>46+</v>
      </c>
      <c r="AK189" t="str" cm="1">
        <f t="array" ref="AK189">_xlfn.IFS(S189&lt;=3000,"Low",S189&lt;=7000,"Mid",S189&lt;=12000,"High",S189&gt;12000,"Top")</f>
        <v>Top</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_xlfn.IFS(A190&lt;=25,"Under 25",A190&lt;=35,"26–35",A190&lt;=45,"36–45",A190&gt;45,"46+")</f>
        <v>26–35</v>
      </c>
      <c r="AK190" t="str" cm="1">
        <f t="array" ref="AK190">_xlfn.IFS(S190&lt;=3000,"Low",S190&lt;=7000,"Mid",S190&lt;=12000,"High",S190&gt;12000,"Top")</f>
        <v>High</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_xlfn.IFS(A191&lt;=25,"Under 25",A191&lt;=35,"26–35",A191&lt;=45,"36–45",A191&gt;45,"46+")</f>
        <v>46+</v>
      </c>
      <c r="AK191" t="str" cm="1">
        <f t="array" ref="AK191">_xlfn.IFS(S191&lt;=3000,"Low",S191&lt;=7000,"Mid",S191&lt;=12000,"High",S191&gt;12000,"Top")</f>
        <v>Top</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_xlfn.IFS(A192&lt;=25,"Under 25",A192&lt;=35,"26–35",A192&lt;=45,"36–45",A192&gt;45,"46+")</f>
        <v>46+</v>
      </c>
      <c r="AK192" t="str" cm="1">
        <f t="array" ref="AK192">_xlfn.IFS(S192&lt;=3000,"Low",S192&lt;=7000,"Mid",S192&lt;=12000,"High",S192&gt;12000,"Top")</f>
        <v>Top</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_xlfn.IFS(A193&lt;=25,"Under 25",A193&lt;=35,"26–35",A193&lt;=45,"36–45",A193&gt;45,"46+")</f>
        <v>26–35</v>
      </c>
      <c r="AK193" t="str" cm="1">
        <f t="array" ref="AK193">_xlfn.IFS(S193&lt;=3000,"Low",S193&lt;=7000,"Mid",S193&lt;=12000,"High",S193&gt;12000,"Top")</f>
        <v>Low</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_xlfn.IFS(A194&lt;=25,"Under 25",A194&lt;=35,"26–35",A194&lt;=45,"36–45",A194&gt;45,"46+")</f>
        <v>26–35</v>
      </c>
      <c r="AK194" t="str" cm="1">
        <f t="array" ref="AK194">_xlfn.IFS(S194&lt;=3000,"Low",S194&lt;=7000,"Mid",S194&lt;=12000,"High",S194&gt;12000,"Top")</f>
        <v>Mid</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_xlfn.IFS(A195&lt;=25,"Under 25",A195&lt;=35,"26–35",A195&lt;=45,"36–45",A195&gt;45,"46+")</f>
        <v>36–45</v>
      </c>
      <c r="AK195" t="str" cm="1">
        <f t="array" ref="AK195">_xlfn.IFS(S195&lt;=3000,"Low",S195&lt;=7000,"Mid",S195&lt;=12000,"High",S195&gt;12000,"Top")</f>
        <v>Low</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_xlfn.IFS(A196&lt;=25,"Under 25",A196&lt;=35,"26–35",A196&lt;=45,"36–45",A196&gt;45,"46+")</f>
        <v>36–45</v>
      </c>
      <c r="AK196" t="str" cm="1">
        <f t="array" ref="AK196">_xlfn.IFS(S196&lt;=3000,"Low",S196&lt;=7000,"Mid",S196&lt;=12000,"High",S196&gt;12000,"Top")</f>
        <v>Top</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_xlfn.IFS(A197&lt;=25,"Under 25",A197&lt;=35,"26–35",A197&lt;=45,"36–45",A197&gt;45,"46+")</f>
        <v>36–45</v>
      </c>
      <c r="AK197" t="str" cm="1">
        <f t="array" ref="AK197">_xlfn.IFS(S197&lt;=3000,"Low",S197&lt;=7000,"Mid",S197&lt;=12000,"High",S197&gt;12000,"Top")</f>
        <v>Mid</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_xlfn.IFS(A198&lt;=25,"Under 25",A198&lt;=35,"26–35",A198&lt;=45,"36–45",A198&gt;45,"46+")</f>
        <v>26–35</v>
      </c>
      <c r="AK198" t="str" cm="1">
        <f t="array" ref="AK198">_xlfn.IFS(S198&lt;=3000,"Low",S198&lt;=7000,"Mid",S198&lt;=12000,"High",S198&gt;12000,"Top")</f>
        <v>Mid</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_xlfn.IFS(A199&lt;=25,"Under 25",A199&lt;=35,"26–35",A199&lt;=45,"36–45",A199&gt;45,"46+")</f>
        <v>36–45</v>
      </c>
      <c r="AK199" t="str" cm="1">
        <f t="array" ref="AK199">_xlfn.IFS(S199&lt;=3000,"Low",S199&lt;=7000,"Mid",S199&lt;=12000,"High",S199&gt;12000,"Top")</f>
        <v>Mid</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_xlfn.IFS(A200&lt;=25,"Under 25",A200&lt;=35,"26–35",A200&lt;=45,"36–45",A200&gt;45,"46+")</f>
        <v>36–45</v>
      </c>
      <c r="AK200" t="str" cm="1">
        <f t="array" ref="AK200">_xlfn.IFS(S200&lt;=3000,"Low",S200&lt;=7000,"Mid",S200&lt;=12000,"High",S200&gt;12000,"Top")</f>
        <v>Mid</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_xlfn.IFS(A201&lt;=25,"Under 25",A201&lt;=35,"26–35",A201&lt;=45,"36–45",A201&gt;45,"46+")</f>
        <v>36–45</v>
      </c>
      <c r="AK201" t="str" cm="1">
        <f t="array" ref="AK201">_xlfn.IFS(S201&lt;=3000,"Low",S201&lt;=7000,"Mid",S201&lt;=12000,"High",S201&gt;12000,"Top")</f>
        <v>Mid</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_xlfn.IFS(A202&lt;=25,"Under 25",A202&lt;=35,"26–35",A202&lt;=45,"36–45",A202&gt;45,"46+")</f>
        <v>26–35</v>
      </c>
      <c r="AK202" t="str" cm="1">
        <f t="array" ref="AK202">_xlfn.IFS(S202&lt;=3000,"Low",S202&lt;=7000,"Mid",S202&lt;=12000,"High",S202&gt;12000,"Top")</f>
        <v>Mid</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_xlfn.IFS(A203&lt;=25,"Under 25",A203&lt;=35,"26–35",A203&lt;=45,"36–45",A203&gt;45,"46+")</f>
        <v>46+</v>
      </c>
      <c r="AK203" t="str" cm="1">
        <f t="array" ref="AK203">_xlfn.IFS(S203&lt;=3000,"Low",S203&lt;=7000,"Mid",S203&lt;=12000,"High",S203&gt;12000,"Top")</f>
        <v>Mid</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_xlfn.IFS(A204&lt;=25,"Under 25",A204&lt;=35,"26–35",A204&lt;=45,"36–45",A204&gt;45,"46+")</f>
        <v>26–35</v>
      </c>
      <c r="AK204" t="str" cm="1">
        <f t="array" ref="AK204">_xlfn.IFS(S204&lt;=3000,"Low",S204&lt;=7000,"Mid",S204&lt;=12000,"High",S204&gt;12000,"Top")</f>
        <v>Mid</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_xlfn.IFS(A205&lt;=25,"Under 25",A205&lt;=35,"26–35",A205&lt;=45,"36–45",A205&gt;45,"46+")</f>
        <v>36–45</v>
      </c>
      <c r="AK205" t="str" cm="1">
        <f t="array" ref="AK205">_xlfn.IFS(S205&lt;=3000,"Low",S205&lt;=7000,"Mid",S205&lt;=12000,"High",S205&gt;12000,"Top")</f>
        <v>Low</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_xlfn.IFS(A206&lt;=25,"Under 25",A206&lt;=35,"26–35",A206&lt;=45,"36–45",A206&gt;45,"46+")</f>
        <v>36–45</v>
      </c>
      <c r="AK206" t="str" cm="1">
        <f t="array" ref="AK206">_xlfn.IFS(S206&lt;=3000,"Low",S206&lt;=7000,"Mid",S206&lt;=12000,"High",S206&gt;12000,"Top")</f>
        <v>Mid</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_xlfn.IFS(A207&lt;=25,"Under 25",A207&lt;=35,"26–35",A207&lt;=45,"36–45",A207&gt;45,"46+")</f>
        <v>26–35</v>
      </c>
      <c r="AK207" t="str" cm="1">
        <f t="array" ref="AK207">_xlfn.IFS(S207&lt;=3000,"Low",S207&lt;=7000,"Mid",S207&lt;=12000,"High",S207&gt;12000,"Top")</f>
        <v>High</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_xlfn.IFS(A208&lt;=25,"Under 25",A208&lt;=35,"26–35",A208&lt;=45,"36–45",A208&gt;45,"46+")</f>
        <v>Under 25</v>
      </c>
      <c r="AK208" t="str" cm="1">
        <f t="array" ref="AK208">_xlfn.IFS(S208&lt;=3000,"Low",S208&lt;=7000,"Mid",S208&lt;=12000,"High",S208&gt;12000,"Top")</f>
        <v>Low</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_xlfn.IFS(A209&lt;=25,"Under 25",A209&lt;=35,"26–35",A209&lt;=45,"36–45",A209&gt;45,"46+")</f>
        <v>36–45</v>
      </c>
      <c r="AK209" t="str" cm="1">
        <f t="array" ref="AK209">_xlfn.IFS(S209&lt;=3000,"Low",S209&lt;=7000,"Mid",S209&lt;=12000,"High",S209&gt;12000,"Top")</f>
        <v>Low</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_xlfn.IFS(A210&lt;=25,"Under 25",A210&lt;=35,"26–35",A210&lt;=45,"36–45",A210&gt;45,"46+")</f>
        <v>36–45</v>
      </c>
      <c r="AK210" t="str" cm="1">
        <f t="array" ref="AK210">_xlfn.IFS(S210&lt;=3000,"Low",S210&lt;=7000,"Mid",S210&lt;=12000,"High",S210&gt;12000,"Top")</f>
        <v>Mid</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_xlfn.IFS(A211&lt;=25,"Under 25",A211&lt;=35,"26–35",A211&lt;=45,"36–45",A211&gt;45,"46+")</f>
        <v>46+</v>
      </c>
      <c r="AK211" t="str" cm="1">
        <f t="array" ref="AK211">_xlfn.IFS(S211&lt;=3000,"Low",S211&lt;=7000,"Mid",S211&lt;=12000,"High",S211&gt;12000,"Top")</f>
        <v>High</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_xlfn.IFS(A212&lt;=25,"Under 25",A212&lt;=35,"26–35",A212&lt;=45,"36–45",A212&gt;45,"46+")</f>
        <v>26–35</v>
      </c>
      <c r="AK212" t="str" cm="1">
        <f t="array" ref="AK212">_xlfn.IFS(S212&lt;=3000,"Low",S212&lt;=7000,"Mid",S212&lt;=12000,"High",S212&gt;12000,"Top")</f>
        <v>High</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_xlfn.IFS(A213&lt;=25,"Under 25",A213&lt;=35,"26–35",A213&lt;=45,"36–45",A213&gt;45,"46+")</f>
        <v>26–35</v>
      </c>
      <c r="AK213" t="str" cm="1">
        <f t="array" ref="AK213">_xlfn.IFS(S213&lt;=3000,"Low",S213&lt;=7000,"Mid",S213&lt;=12000,"High",S213&gt;12000,"Top")</f>
        <v>High</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_xlfn.IFS(A214&lt;=25,"Under 25",A214&lt;=35,"26–35",A214&lt;=45,"36–45",A214&gt;45,"46+")</f>
        <v>26–35</v>
      </c>
      <c r="AK214" t="str" cm="1">
        <f t="array" ref="AK214">_xlfn.IFS(S214&lt;=3000,"Low",S214&lt;=7000,"Mid",S214&lt;=12000,"High",S214&gt;12000,"Top")</f>
        <v>High</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_xlfn.IFS(A215&lt;=25,"Under 25",A215&lt;=35,"26–35",A215&lt;=45,"36–45",A215&gt;45,"46+")</f>
        <v>46+</v>
      </c>
      <c r="AK215" t="str" cm="1">
        <f t="array" ref="AK215">_xlfn.IFS(S215&lt;=3000,"Low",S215&lt;=7000,"Mid",S215&lt;=12000,"High",S215&gt;12000,"Top")</f>
        <v>Top</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_xlfn.IFS(A216&lt;=25,"Under 25",A216&lt;=35,"26–35",A216&lt;=45,"36–45",A216&gt;45,"46+")</f>
        <v>26–35</v>
      </c>
      <c r="AK216" t="str" cm="1">
        <f t="array" ref="AK216">_xlfn.IFS(S216&lt;=3000,"Low",S216&lt;=7000,"Mid",S216&lt;=12000,"High",S216&gt;12000,"Top")</f>
        <v>Low</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_xlfn.IFS(A217&lt;=25,"Under 25",A217&lt;=35,"26–35",A217&lt;=45,"36–45",A217&gt;45,"46+")</f>
        <v>36–45</v>
      </c>
      <c r="AK217" t="str" cm="1">
        <f t="array" ref="AK217">_xlfn.IFS(S217&lt;=3000,"Low",S217&lt;=7000,"Mid",S217&lt;=12000,"High",S217&gt;12000,"Top")</f>
        <v>Top</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_xlfn.IFS(A218&lt;=25,"Under 25",A218&lt;=35,"26–35",A218&lt;=45,"36–45",A218&gt;45,"46+")</f>
        <v>26–35</v>
      </c>
      <c r="AK218" t="str" cm="1">
        <f t="array" ref="AK218">_xlfn.IFS(S218&lt;=3000,"Low",S218&lt;=7000,"Mid",S218&lt;=12000,"High",S218&gt;12000,"Top")</f>
        <v>Mid</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_xlfn.IFS(A219&lt;=25,"Under 25",A219&lt;=35,"26–35",A219&lt;=45,"36–45",A219&gt;45,"46+")</f>
        <v>26–35</v>
      </c>
      <c r="AK219" t="str" cm="1">
        <f t="array" ref="AK219">_xlfn.IFS(S219&lt;=3000,"Low",S219&lt;=7000,"Mid",S219&lt;=12000,"High",S219&gt;12000,"Top")</f>
        <v>Low</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_xlfn.IFS(A220&lt;=25,"Under 25",A220&lt;=35,"26–35",A220&lt;=45,"36–45",A220&gt;45,"46+")</f>
        <v>36–45</v>
      </c>
      <c r="AK220" t="str" cm="1">
        <f t="array" ref="AK220">_xlfn.IFS(S220&lt;=3000,"Low",S220&lt;=7000,"Mid",S220&lt;=12000,"High",S220&gt;12000,"Top")</f>
        <v>High</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_xlfn.IFS(A221&lt;=25,"Under 25",A221&lt;=35,"26–35",A221&lt;=45,"36–45",A221&gt;45,"46+")</f>
        <v>46+</v>
      </c>
      <c r="AK221" t="str" cm="1">
        <f t="array" ref="AK221">_xlfn.IFS(S221&lt;=3000,"Low",S221&lt;=7000,"Mid",S221&lt;=12000,"High",S221&gt;12000,"Top")</f>
        <v>Mid</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_xlfn.IFS(A222&lt;=25,"Under 25",A222&lt;=35,"26–35",A222&lt;=45,"36–45",A222&gt;45,"46+")</f>
        <v>36–45</v>
      </c>
      <c r="AK222" t="str" cm="1">
        <f t="array" ref="AK222">_xlfn.IFS(S222&lt;=3000,"Low",S222&lt;=7000,"Mid",S222&lt;=12000,"High",S222&gt;12000,"Top")</f>
        <v>Mid</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_xlfn.IFS(A223&lt;=25,"Under 25",A223&lt;=35,"26–35",A223&lt;=45,"36–45",A223&gt;45,"46+")</f>
        <v>26–35</v>
      </c>
      <c r="AK223" t="str" cm="1">
        <f t="array" ref="AK223">_xlfn.IFS(S223&lt;=3000,"Low",S223&lt;=7000,"Mid",S223&lt;=12000,"High",S223&gt;12000,"Top")</f>
        <v>Low</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_xlfn.IFS(A224&lt;=25,"Under 25",A224&lt;=35,"26–35",A224&lt;=45,"36–45",A224&gt;45,"46+")</f>
        <v>36–45</v>
      </c>
      <c r="AK224" t="str" cm="1">
        <f t="array" ref="AK224">_xlfn.IFS(S224&lt;=3000,"Low",S224&lt;=7000,"Mid",S224&lt;=12000,"High",S224&gt;12000,"Top")</f>
        <v>Top</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_xlfn.IFS(A225&lt;=25,"Under 25",A225&lt;=35,"26–35",A225&lt;=45,"36–45",A225&gt;45,"46+")</f>
        <v>36–45</v>
      </c>
      <c r="AK225" t="str" cm="1">
        <f t="array" ref="AK225">_xlfn.IFS(S225&lt;=3000,"Low",S225&lt;=7000,"Mid",S225&lt;=12000,"High",S225&gt;12000,"Top")</f>
        <v>High</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_xlfn.IFS(A226&lt;=25,"Under 25",A226&lt;=35,"26–35",A226&lt;=45,"36–45",A226&gt;45,"46+")</f>
        <v>26–35</v>
      </c>
      <c r="AK226" t="str" cm="1">
        <f t="array" ref="AK226">_xlfn.IFS(S226&lt;=3000,"Low",S226&lt;=7000,"Mid",S226&lt;=12000,"High",S226&gt;12000,"Top")</f>
        <v>Mid</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_xlfn.IFS(A227&lt;=25,"Under 25",A227&lt;=35,"26–35",A227&lt;=45,"36–45",A227&gt;45,"46+")</f>
        <v>46+</v>
      </c>
      <c r="AK227" t="str" cm="1">
        <f t="array" ref="AK227">_xlfn.IFS(S227&lt;=3000,"Low",S227&lt;=7000,"Mid",S227&lt;=12000,"High",S227&gt;12000,"Top")</f>
        <v>Low</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_xlfn.IFS(A228&lt;=25,"Under 25",A228&lt;=35,"26–35",A228&lt;=45,"36–45",A228&gt;45,"46+")</f>
        <v>36–45</v>
      </c>
      <c r="AK228" t="str" cm="1">
        <f t="array" ref="AK228">_xlfn.IFS(S228&lt;=3000,"Low",S228&lt;=7000,"Mid",S228&lt;=12000,"High",S228&gt;12000,"Top")</f>
        <v>Low</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_xlfn.IFS(A229&lt;=25,"Under 25",A229&lt;=35,"26–35",A229&lt;=45,"36–45",A229&gt;45,"46+")</f>
        <v>26–35</v>
      </c>
      <c r="AK229" t="str" cm="1">
        <f t="array" ref="AK229">_xlfn.IFS(S229&lt;=3000,"Low",S229&lt;=7000,"Mid",S229&lt;=12000,"High",S229&gt;12000,"Top")</f>
        <v>High</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_xlfn.IFS(A230&lt;=25,"Under 25",A230&lt;=35,"26–35",A230&lt;=45,"36–45",A230&gt;45,"46+")</f>
        <v>26–35</v>
      </c>
      <c r="AK230" t="str" cm="1">
        <f t="array" ref="AK230">_xlfn.IFS(S230&lt;=3000,"Low",S230&lt;=7000,"Mid",S230&lt;=12000,"High",S230&gt;12000,"Top")</f>
        <v>High</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_xlfn.IFS(A231&lt;=25,"Under 25",A231&lt;=35,"26–35",A231&lt;=45,"36–45",A231&gt;45,"46+")</f>
        <v>26–35</v>
      </c>
      <c r="AK231" t="str" cm="1">
        <f t="array" ref="AK231">_xlfn.IFS(S231&lt;=3000,"Low",S231&lt;=7000,"Mid",S231&lt;=12000,"High",S231&gt;12000,"Top")</f>
        <v>Low</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_xlfn.IFS(A232&lt;=25,"Under 25",A232&lt;=35,"26–35",A232&lt;=45,"36–45",A232&gt;45,"46+")</f>
        <v>46+</v>
      </c>
      <c r="AK232" t="str" cm="1">
        <f t="array" ref="AK232">_xlfn.IFS(S232&lt;=3000,"Low",S232&lt;=7000,"Mid",S232&lt;=12000,"High",S232&gt;12000,"Top")</f>
        <v>Mid</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_xlfn.IFS(A233&lt;=25,"Under 25",A233&lt;=35,"26–35",A233&lt;=45,"36–45",A233&gt;45,"46+")</f>
        <v>36–45</v>
      </c>
      <c r="AK233" t="str" cm="1">
        <f t="array" ref="AK233">_xlfn.IFS(S233&lt;=3000,"Low",S233&lt;=7000,"Mid",S233&lt;=12000,"High",S233&gt;12000,"Top")</f>
        <v>Top</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_xlfn.IFS(A234&lt;=25,"Under 25",A234&lt;=35,"26–35",A234&lt;=45,"36–45",A234&gt;45,"46+")</f>
        <v>46+</v>
      </c>
      <c r="AK234" t="str" cm="1">
        <f t="array" ref="AK234">_xlfn.IFS(S234&lt;=3000,"Low",S234&lt;=7000,"Mid",S234&lt;=12000,"High",S234&gt;12000,"Top")</f>
        <v>Low</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_xlfn.IFS(A235&lt;=25,"Under 25",A235&lt;=35,"26–35",A235&lt;=45,"36–45",A235&gt;45,"46+")</f>
        <v>46+</v>
      </c>
      <c r="AK235" t="str" cm="1">
        <f t="array" ref="AK235">_xlfn.IFS(S235&lt;=3000,"Low",S235&lt;=7000,"Mid",S235&lt;=12000,"High",S235&gt;12000,"Top")</f>
        <v>Top</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_xlfn.IFS(A236&lt;=25,"Under 25",A236&lt;=35,"26–35",A236&lt;=45,"36–45",A236&gt;45,"46+")</f>
        <v>26–35</v>
      </c>
      <c r="AK236" t="str" cm="1">
        <f t="array" ref="AK236">_xlfn.IFS(S236&lt;=3000,"Low",S236&lt;=7000,"Mid",S236&lt;=12000,"High",S236&gt;12000,"Top")</f>
        <v>Low</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_xlfn.IFS(A237&lt;=25,"Under 25",A237&lt;=35,"26–35",A237&lt;=45,"36–45",A237&gt;45,"46+")</f>
        <v>36–45</v>
      </c>
      <c r="AK237" t="str" cm="1">
        <f t="array" ref="AK237">_xlfn.IFS(S237&lt;=3000,"Low",S237&lt;=7000,"Mid",S237&lt;=12000,"High",S237&gt;12000,"Top")</f>
        <v>Top</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_xlfn.IFS(A238&lt;=25,"Under 25",A238&lt;=35,"26–35",A238&lt;=45,"36–45",A238&gt;45,"46+")</f>
        <v>26–35</v>
      </c>
      <c r="AK238" t="str" cm="1">
        <f t="array" ref="AK238">_xlfn.IFS(S238&lt;=3000,"Low",S238&lt;=7000,"Mid",S238&lt;=12000,"High",S238&gt;12000,"Top")</f>
        <v>Low</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_xlfn.IFS(A239&lt;=25,"Under 25",A239&lt;=35,"26–35",A239&lt;=45,"36–45",A239&gt;45,"46+")</f>
        <v>46+</v>
      </c>
      <c r="AK239" t="str" cm="1">
        <f t="array" ref="AK239">_xlfn.IFS(S239&lt;=3000,"Low",S239&lt;=7000,"Mid",S239&lt;=12000,"High",S239&gt;12000,"Top")</f>
        <v>Top</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_xlfn.IFS(A240&lt;=25,"Under 25",A240&lt;=35,"26–35",A240&lt;=45,"36–45",A240&gt;45,"46+")</f>
        <v>26–35</v>
      </c>
      <c r="AK240" t="str" cm="1">
        <f t="array" ref="AK240">_xlfn.IFS(S240&lt;=3000,"Low",S240&lt;=7000,"Mid",S240&lt;=12000,"High",S240&gt;12000,"Top")</f>
        <v>Mid</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_xlfn.IFS(A241&lt;=25,"Under 25",A241&lt;=35,"26–35",A241&lt;=45,"36–45",A241&gt;45,"46+")</f>
        <v>26–35</v>
      </c>
      <c r="AK241" t="str" cm="1">
        <f t="array" ref="AK241">_xlfn.IFS(S241&lt;=3000,"Low",S241&lt;=7000,"Mid",S241&lt;=12000,"High",S241&gt;12000,"Top")</f>
        <v>Mid</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_xlfn.IFS(A242&lt;=25,"Under 25",A242&lt;=35,"26–35",A242&lt;=45,"36–45",A242&gt;45,"46+")</f>
        <v>36–45</v>
      </c>
      <c r="AK242" t="str" cm="1">
        <f t="array" ref="AK242">_xlfn.IFS(S242&lt;=3000,"Low",S242&lt;=7000,"Mid",S242&lt;=12000,"High",S242&gt;12000,"Top")</f>
        <v>Low</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_xlfn.IFS(A243&lt;=25,"Under 25",A243&lt;=35,"26–35",A243&lt;=45,"36–45",A243&gt;45,"46+")</f>
        <v>26–35</v>
      </c>
      <c r="AK243" t="str" cm="1">
        <f t="array" ref="AK243">_xlfn.IFS(S243&lt;=3000,"Low",S243&lt;=7000,"Mid",S243&lt;=12000,"High",S243&gt;12000,"Top")</f>
        <v>Mid</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_xlfn.IFS(A244&lt;=25,"Under 25",A244&lt;=35,"26–35",A244&lt;=45,"36–45",A244&gt;45,"46+")</f>
        <v>36–45</v>
      </c>
      <c r="AK244" t="str" cm="1">
        <f t="array" ref="AK244">_xlfn.IFS(S244&lt;=3000,"Low",S244&lt;=7000,"Mid",S244&lt;=12000,"High",S244&gt;12000,"Top")</f>
        <v>Mid</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_xlfn.IFS(A245&lt;=25,"Under 25",A245&lt;=35,"26–35",A245&lt;=45,"36–45",A245&gt;45,"46+")</f>
        <v>36–45</v>
      </c>
      <c r="AK245" t="str" cm="1">
        <f t="array" ref="AK245">_xlfn.IFS(S245&lt;=3000,"Low",S245&lt;=7000,"Mid",S245&lt;=12000,"High",S245&gt;12000,"Top")</f>
        <v>Mid</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_xlfn.IFS(A246&lt;=25,"Under 25",A246&lt;=35,"26–35",A246&lt;=45,"36–45",A246&gt;45,"46+")</f>
        <v>36–45</v>
      </c>
      <c r="AK246" t="str" cm="1">
        <f t="array" ref="AK246">_xlfn.IFS(S246&lt;=3000,"Low",S246&lt;=7000,"Mid",S246&lt;=12000,"High",S246&gt;12000,"Top")</f>
        <v>Top</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_xlfn.IFS(A247&lt;=25,"Under 25",A247&lt;=35,"26–35",A247&lt;=45,"36–45",A247&gt;45,"46+")</f>
        <v>26–35</v>
      </c>
      <c r="AK247" t="str" cm="1">
        <f t="array" ref="AK247">_xlfn.IFS(S247&lt;=3000,"Low",S247&lt;=7000,"Mid",S247&lt;=12000,"High",S247&gt;12000,"Top")</f>
        <v>Top</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_xlfn.IFS(A248&lt;=25,"Under 25",A248&lt;=35,"26–35",A248&lt;=45,"36–45",A248&gt;45,"46+")</f>
        <v>26–35</v>
      </c>
      <c r="AK248" t="str" cm="1">
        <f t="array" ref="AK248">_xlfn.IFS(S248&lt;=3000,"Low",S248&lt;=7000,"Mid",S248&lt;=12000,"High",S248&gt;12000,"Top")</f>
        <v>Low</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_xlfn.IFS(A249&lt;=25,"Under 25",A249&lt;=35,"26–35",A249&lt;=45,"36–45",A249&gt;45,"46+")</f>
        <v>26–35</v>
      </c>
      <c r="AK249" t="str" cm="1">
        <f t="array" ref="AK249">_xlfn.IFS(S249&lt;=3000,"Low",S249&lt;=7000,"Mid",S249&lt;=12000,"High",S249&gt;12000,"Top")</f>
        <v>Mid</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_xlfn.IFS(A250&lt;=25,"Under 25",A250&lt;=35,"26–35",A250&lt;=45,"36–45",A250&gt;45,"46+")</f>
        <v>36–45</v>
      </c>
      <c r="AK250" t="str" cm="1">
        <f t="array" ref="AK250">_xlfn.IFS(S250&lt;=3000,"Low",S250&lt;=7000,"Mid",S250&lt;=12000,"High",S250&gt;12000,"Top")</f>
        <v>Mid</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_xlfn.IFS(A251&lt;=25,"Under 25",A251&lt;=35,"26–35",A251&lt;=45,"36–45",A251&gt;45,"46+")</f>
        <v>36–45</v>
      </c>
      <c r="AK251" t="str" cm="1">
        <f t="array" ref="AK251">_xlfn.IFS(S251&lt;=3000,"Low",S251&lt;=7000,"Mid",S251&lt;=12000,"High",S251&gt;12000,"Top")</f>
        <v>Mid</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_xlfn.IFS(A252&lt;=25,"Under 25",A252&lt;=35,"26–35",A252&lt;=45,"36–45",A252&gt;45,"46+")</f>
        <v>36–45</v>
      </c>
      <c r="AK252" t="str" cm="1">
        <f t="array" ref="AK252">_xlfn.IFS(S252&lt;=3000,"Low",S252&lt;=7000,"Mid",S252&lt;=12000,"High",S252&gt;12000,"Top")</f>
        <v>High</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_xlfn.IFS(A253&lt;=25,"Under 25",A253&lt;=35,"26–35",A253&lt;=45,"36–45",A253&gt;45,"46+")</f>
        <v>36–45</v>
      </c>
      <c r="AK253" t="str" cm="1">
        <f t="array" ref="AK253">_xlfn.IFS(S253&lt;=3000,"Low",S253&lt;=7000,"Mid",S253&lt;=12000,"High",S253&gt;12000,"Top")</f>
        <v>High</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_xlfn.IFS(A254&lt;=25,"Under 25",A254&lt;=35,"26–35",A254&lt;=45,"36–45",A254&gt;45,"46+")</f>
        <v>26–35</v>
      </c>
      <c r="AK254" t="str" cm="1">
        <f t="array" ref="AK254">_xlfn.IFS(S254&lt;=3000,"Low",S254&lt;=7000,"Mid",S254&lt;=12000,"High",S254&gt;12000,"Top")</f>
        <v>Low</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_xlfn.IFS(A255&lt;=25,"Under 25",A255&lt;=35,"26–35",A255&lt;=45,"36–45",A255&gt;45,"46+")</f>
        <v>36–45</v>
      </c>
      <c r="AK255" t="str" cm="1">
        <f t="array" ref="AK255">_xlfn.IFS(S255&lt;=3000,"Low",S255&lt;=7000,"Mid",S255&lt;=12000,"High",S255&gt;12000,"Top")</f>
        <v>Mid</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_xlfn.IFS(A256&lt;=25,"Under 25",A256&lt;=35,"26–35",A256&lt;=45,"36–45",A256&gt;45,"46+")</f>
        <v>26–35</v>
      </c>
      <c r="AK256" t="str" cm="1">
        <f t="array" ref="AK256">_xlfn.IFS(S256&lt;=3000,"Low",S256&lt;=7000,"Mid",S256&lt;=12000,"High",S256&gt;12000,"Top")</f>
        <v>Mid</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_xlfn.IFS(A257&lt;=25,"Under 25",A257&lt;=35,"26–35",A257&lt;=45,"36–45",A257&gt;45,"46+")</f>
        <v>Under 25</v>
      </c>
      <c r="AK257" t="str" cm="1">
        <f t="array" ref="AK257">_xlfn.IFS(S257&lt;=3000,"Low",S257&lt;=7000,"Mid",S257&lt;=12000,"High",S257&gt;12000,"Top")</f>
        <v>Mid</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_xlfn.IFS(A258&lt;=25,"Under 25",A258&lt;=35,"26–35",A258&lt;=45,"36–45",A258&gt;45,"46+")</f>
        <v>36–45</v>
      </c>
      <c r="AK258" t="str" cm="1">
        <f t="array" ref="AK258">_xlfn.IFS(S258&lt;=3000,"Low",S258&lt;=7000,"Mid",S258&lt;=12000,"High",S258&gt;12000,"Top")</f>
        <v>Low</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_xlfn.IFS(A259&lt;=25,"Under 25",A259&lt;=35,"26–35",A259&lt;=45,"36–45",A259&gt;45,"46+")</f>
        <v>36–45</v>
      </c>
      <c r="AK259" t="str" cm="1">
        <f t="array" ref="AK259">_xlfn.IFS(S259&lt;=3000,"Low",S259&lt;=7000,"Mid",S259&lt;=12000,"High",S259&gt;12000,"Top")</f>
        <v>Top</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_xlfn.IFS(A260&lt;=25,"Under 25",A260&lt;=35,"26–35",A260&lt;=45,"36–45",A260&gt;45,"46+")</f>
        <v>46+</v>
      </c>
      <c r="AK260" t="str" cm="1">
        <f t="array" ref="AK260">_xlfn.IFS(S260&lt;=3000,"Low",S260&lt;=7000,"Mid",S260&lt;=12000,"High",S260&gt;12000,"Top")</f>
        <v>Low</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_xlfn.IFS(A261&lt;=25,"Under 25",A261&lt;=35,"26–35",A261&lt;=45,"36–45",A261&gt;45,"46+")</f>
        <v>26–35</v>
      </c>
      <c r="AK261" t="str" cm="1">
        <f t="array" ref="AK261">_xlfn.IFS(S261&lt;=3000,"Low",S261&lt;=7000,"Mid",S261&lt;=12000,"High",S261&gt;12000,"Top")</f>
        <v>Mid</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_xlfn.IFS(A262&lt;=25,"Under 25",A262&lt;=35,"26–35",A262&lt;=45,"36–45",A262&gt;45,"46+")</f>
        <v>26–35</v>
      </c>
      <c r="AK262" t="str" cm="1">
        <f t="array" ref="AK262">_xlfn.IFS(S262&lt;=3000,"Low",S262&lt;=7000,"Mid",S262&lt;=12000,"High",S262&gt;12000,"Top")</f>
        <v>Low</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_xlfn.IFS(A263&lt;=25,"Under 25",A263&lt;=35,"26–35",A263&lt;=45,"36–45",A263&gt;45,"46+")</f>
        <v>36–45</v>
      </c>
      <c r="AK263" t="str" cm="1">
        <f t="array" ref="AK263">_xlfn.IFS(S263&lt;=3000,"Low",S263&lt;=7000,"Mid",S263&lt;=12000,"High",S263&gt;12000,"Top")</f>
        <v>Mid</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_xlfn.IFS(A264&lt;=25,"Under 25",A264&lt;=35,"26–35",A264&lt;=45,"36–45",A264&gt;45,"46+")</f>
        <v>26–35</v>
      </c>
      <c r="AK264" t="str" cm="1">
        <f t="array" ref="AK264">_xlfn.IFS(S264&lt;=3000,"Low",S264&lt;=7000,"Mid",S264&lt;=12000,"High",S264&gt;12000,"Top")</f>
        <v>Low</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_xlfn.IFS(A265&lt;=25,"Under 25",A265&lt;=35,"26–35",A265&lt;=45,"36–45",A265&gt;45,"46+")</f>
        <v>46+</v>
      </c>
      <c r="AK265" t="str" cm="1">
        <f t="array" ref="AK265">_xlfn.IFS(S265&lt;=3000,"Low",S265&lt;=7000,"Mid",S265&lt;=12000,"High",S265&gt;12000,"Top")</f>
        <v>Top</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_xlfn.IFS(A266&lt;=25,"Under 25",A266&lt;=35,"26–35",A266&lt;=45,"36–45",A266&gt;45,"46+")</f>
        <v>26–35</v>
      </c>
      <c r="AK266" t="str" cm="1">
        <f t="array" ref="AK266">_xlfn.IFS(S266&lt;=3000,"Low",S266&lt;=7000,"Mid",S266&lt;=12000,"High",S266&gt;12000,"Top")</f>
        <v>Mid</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_xlfn.IFS(A267&lt;=25,"Under 25",A267&lt;=35,"26–35",A267&lt;=45,"36–45",A267&gt;45,"46+")</f>
        <v>26–35</v>
      </c>
      <c r="AK267" t="str" cm="1">
        <f t="array" ref="AK267">_xlfn.IFS(S267&lt;=3000,"Low",S267&lt;=7000,"Mid",S267&lt;=12000,"High",S267&gt;12000,"Top")</f>
        <v>Mid</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_xlfn.IFS(A268&lt;=25,"Under 25",A268&lt;=35,"26–35",A268&lt;=45,"36–45",A268&gt;45,"46+")</f>
        <v>26–35</v>
      </c>
      <c r="AK268" t="str" cm="1">
        <f t="array" ref="AK268">_xlfn.IFS(S268&lt;=3000,"Low",S268&lt;=7000,"Mid",S268&lt;=12000,"High",S268&gt;12000,"Top")</f>
        <v>Mid</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_xlfn.IFS(A269&lt;=25,"Under 25",A269&lt;=35,"26–35",A269&lt;=45,"36–45",A269&gt;45,"46+")</f>
        <v>Under 25</v>
      </c>
      <c r="AK269" t="str" cm="1">
        <f t="array" ref="AK269">_xlfn.IFS(S269&lt;=3000,"Low",S269&lt;=7000,"Mid",S269&lt;=12000,"High",S269&gt;12000,"Top")</f>
        <v>Mid</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_xlfn.IFS(A270&lt;=25,"Under 25",A270&lt;=35,"26–35",A270&lt;=45,"36–45",A270&gt;45,"46+")</f>
        <v>36–45</v>
      </c>
      <c r="AK270" t="str" cm="1">
        <f t="array" ref="AK270">_xlfn.IFS(S270&lt;=3000,"Low",S270&lt;=7000,"Mid",S270&lt;=12000,"High",S270&gt;12000,"Top")</f>
        <v>Top</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_xlfn.IFS(A271&lt;=25,"Under 25",A271&lt;=35,"26–35",A271&lt;=45,"36–45",A271&gt;45,"46+")</f>
        <v>36–45</v>
      </c>
      <c r="AK271" t="str" cm="1">
        <f t="array" ref="AK271">_xlfn.IFS(S271&lt;=3000,"Low",S271&lt;=7000,"Mid",S271&lt;=12000,"High",S271&gt;12000,"Top")</f>
        <v>Mid</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_xlfn.IFS(A272&lt;=25,"Under 25",A272&lt;=35,"26–35",A272&lt;=45,"36–45",A272&gt;45,"46+")</f>
        <v>46+</v>
      </c>
      <c r="AK272" t="str" cm="1">
        <f t="array" ref="AK272">_xlfn.IFS(S272&lt;=3000,"Low",S272&lt;=7000,"Mid",S272&lt;=12000,"High",S272&gt;12000,"Top")</f>
        <v>Top</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_xlfn.IFS(A273&lt;=25,"Under 25",A273&lt;=35,"26–35",A273&lt;=45,"36–45",A273&gt;45,"46+")</f>
        <v>46+</v>
      </c>
      <c r="AK273" t="str" cm="1">
        <f t="array" ref="AK273">_xlfn.IFS(S273&lt;=3000,"Low",S273&lt;=7000,"Mid",S273&lt;=12000,"High",S273&gt;12000,"Top")</f>
        <v>High</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_xlfn.IFS(A274&lt;=25,"Under 25",A274&lt;=35,"26–35",A274&lt;=45,"36–45",A274&gt;45,"46+")</f>
        <v>26–35</v>
      </c>
      <c r="AK274" t="str" cm="1">
        <f t="array" ref="AK274">_xlfn.IFS(S274&lt;=3000,"Low",S274&lt;=7000,"Mid",S274&lt;=12000,"High",S274&gt;12000,"Top")</f>
        <v>Low</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_xlfn.IFS(A275&lt;=25,"Under 25",A275&lt;=35,"26–35",A275&lt;=45,"36–45",A275&gt;45,"46+")</f>
        <v>36–45</v>
      </c>
      <c r="AK275" t="str" cm="1">
        <f t="array" ref="AK275">_xlfn.IFS(S275&lt;=3000,"Low",S275&lt;=7000,"Mid",S275&lt;=12000,"High",S275&gt;12000,"Top")</f>
        <v>Mid</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_xlfn.IFS(A276&lt;=25,"Under 25",A276&lt;=35,"26–35",A276&lt;=45,"36–45",A276&gt;45,"46+")</f>
        <v>Under 25</v>
      </c>
      <c r="AK276" t="str" cm="1">
        <f t="array" ref="AK276">_xlfn.IFS(S276&lt;=3000,"Low",S276&lt;=7000,"Mid",S276&lt;=12000,"High",S276&gt;12000,"Top")</f>
        <v>Mid</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_xlfn.IFS(A277&lt;=25,"Under 25",A277&lt;=35,"26–35",A277&lt;=45,"36–45",A277&gt;45,"46+")</f>
        <v>36–45</v>
      </c>
      <c r="AK277" t="str" cm="1">
        <f t="array" ref="AK277">_xlfn.IFS(S277&lt;=3000,"Low",S277&lt;=7000,"Mid",S277&lt;=12000,"High",S277&gt;12000,"Top")</f>
        <v>Top</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_xlfn.IFS(A278&lt;=25,"Under 25",A278&lt;=35,"26–35",A278&lt;=45,"36–45",A278&gt;45,"46+")</f>
        <v>26–35</v>
      </c>
      <c r="AK278" t="str" cm="1">
        <f t="array" ref="AK278">_xlfn.IFS(S278&lt;=3000,"Low",S278&lt;=7000,"Mid",S278&lt;=12000,"High",S278&gt;12000,"Top")</f>
        <v>High</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_xlfn.IFS(A279&lt;=25,"Under 25",A279&lt;=35,"26–35",A279&lt;=45,"36–45",A279&gt;45,"46+")</f>
        <v>36–45</v>
      </c>
      <c r="AK279" t="str" cm="1">
        <f t="array" ref="AK279">_xlfn.IFS(S279&lt;=3000,"Low",S279&lt;=7000,"Mid",S279&lt;=12000,"High",S279&gt;12000,"Top")</f>
        <v>Mid</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_xlfn.IFS(A280&lt;=25,"Under 25",A280&lt;=35,"26–35",A280&lt;=45,"36–45",A280&gt;45,"46+")</f>
        <v>26–35</v>
      </c>
      <c r="AK280" t="str" cm="1">
        <f t="array" ref="AK280">_xlfn.IFS(S280&lt;=3000,"Low",S280&lt;=7000,"Mid",S280&lt;=12000,"High",S280&gt;12000,"Top")</f>
        <v>Mid</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_xlfn.IFS(A281&lt;=25,"Under 25",A281&lt;=35,"26–35",A281&lt;=45,"36–45",A281&gt;45,"46+")</f>
        <v>46+</v>
      </c>
      <c r="AK281" t="str" cm="1">
        <f t="array" ref="AK281">_xlfn.IFS(S281&lt;=3000,"Low",S281&lt;=7000,"Mid",S281&lt;=12000,"High",S281&gt;12000,"Top")</f>
        <v>Top</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_xlfn.IFS(A282&lt;=25,"Under 25",A282&lt;=35,"26–35",A282&lt;=45,"36–45",A282&gt;45,"46+")</f>
        <v>46+</v>
      </c>
      <c r="AK282" t="str" cm="1">
        <f t="array" ref="AK282">_xlfn.IFS(S282&lt;=3000,"Low",S282&lt;=7000,"Mid",S282&lt;=12000,"High",S282&gt;12000,"Top")</f>
        <v>Top</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_xlfn.IFS(A283&lt;=25,"Under 25",A283&lt;=35,"26–35",A283&lt;=45,"36–45",A283&gt;45,"46+")</f>
        <v>36–45</v>
      </c>
      <c r="AK283" t="str" cm="1">
        <f t="array" ref="AK283">_xlfn.IFS(S283&lt;=3000,"Low",S283&lt;=7000,"Mid",S283&lt;=12000,"High",S283&gt;12000,"Top")</f>
        <v>Mid</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_xlfn.IFS(A284&lt;=25,"Under 25",A284&lt;=35,"26–35",A284&lt;=45,"36–45",A284&gt;45,"46+")</f>
        <v>26–35</v>
      </c>
      <c r="AK284" t="str" cm="1">
        <f t="array" ref="AK284">_xlfn.IFS(S284&lt;=3000,"Low",S284&lt;=7000,"Mid",S284&lt;=12000,"High",S284&gt;12000,"Top")</f>
        <v>Mid</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_xlfn.IFS(A285&lt;=25,"Under 25",A285&lt;=35,"26–35",A285&lt;=45,"36–45",A285&gt;45,"46+")</f>
        <v>46+</v>
      </c>
      <c r="AK285" t="str" cm="1">
        <f t="array" ref="AK285">_xlfn.IFS(S285&lt;=3000,"Low",S285&lt;=7000,"Mid",S285&lt;=12000,"High",S285&gt;12000,"Top")</f>
        <v>Mid</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_xlfn.IFS(A286&lt;=25,"Under 25",A286&lt;=35,"26–35",A286&lt;=45,"36–45",A286&gt;45,"46+")</f>
        <v>26–35</v>
      </c>
      <c r="AK286" t="str" cm="1">
        <f t="array" ref="AK286">_xlfn.IFS(S286&lt;=3000,"Low",S286&lt;=7000,"Mid",S286&lt;=12000,"High",S286&gt;12000,"Top")</f>
        <v>Mid</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_xlfn.IFS(A287&lt;=25,"Under 25",A287&lt;=35,"26–35",A287&lt;=45,"36–45",A287&gt;45,"46+")</f>
        <v>36–45</v>
      </c>
      <c r="AK287" t="str" cm="1">
        <f t="array" ref="AK287">_xlfn.IFS(S287&lt;=3000,"Low",S287&lt;=7000,"Mid",S287&lt;=12000,"High",S287&gt;12000,"Top")</f>
        <v>Low</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_xlfn.IFS(A288&lt;=25,"Under 25",A288&lt;=35,"26–35",A288&lt;=45,"36–45",A288&gt;45,"46+")</f>
        <v>36–45</v>
      </c>
      <c r="AK288" t="str" cm="1">
        <f t="array" ref="AK288">_xlfn.IFS(S288&lt;=3000,"Low",S288&lt;=7000,"Mid",S288&lt;=12000,"High",S288&gt;12000,"Top")</f>
        <v>Mid</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_xlfn.IFS(A289&lt;=25,"Under 25",A289&lt;=35,"26–35",A289&lt;=45,"36–45",A289&gt;45,"46+")</f>
        <v>36–45</v>
      </c>
      <c r="AK289" t="str" cm="1">
        <f t="array" ref="AK289">_xlfn.IFS(S289&lt;=3000,"Low",S289&lt;=7000,"Mid",S289&lt;=12000,"High",S289&gt;12000,"Top")</f>
        <v>Mid</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_xlfn.IFS(A290&lt;=25,"Under 25",A290&lt;=35,"26–35",A290&lt;=45,"36–45",A290&gt;45,"46+")</f>
        <v>26–35</v>
      </c>
      <c r="AK290" t="str" cm="1">
        <f t="array" ref="AK290">_xlfn.IFS(S290&lt;=3000,"Low",S290&lt;=7000,"Mid",S290&lt;=12000,"High",S290&gt;12000,"Top")</f>
        <v>Low</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_xlfn.IFS(A291&lt;=25,"Under 25",A291&lt;=35,"26–35",A291&lt;=45,"36–45",A291&gt;45,"46+")</f>
        <v>26–35</v>
      </c>
      <c r="AK291" t="str" cm="1">
        <f t="array" ref="AK291">_xlfn.IFS(S291&lt;=3000,"Low",S291&lt;=7000,"Mid",S291&lt;=12000,"High",S291&gt;12000,"Top")</f>
        <v>Mid</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_xlfn.IFS(A292&lt;=25,"Under 25",A292&lt;=35,"26–35",A292&lt;=45,"36–45",A292&gt;45,"46+")</f>
        <v>46+</v>
      </c>
      <c r="AK292" t="str" cm="1">
        <f t="array" ref="AK292">_xlfn.IFS(S292&lt;=3000,"Low",S292&lt;=7000,"Mid",S292&lt;=12000,"High",S292&gt;12000,"Top")</f>
        <v>Top</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_xlfn.IFS(A293&lt;=25,"Under 25",A293&lt;=35,"26–35",A293&lt;=45,"36–45",A293&gt;45,"46+")</f>
        <v>36–45</v>
      </c>
      <c r="AK293" t="str" cm="1">
        <f t="array" ref="AK293">_xlfn.IFS(S293&lt;=3000,"Low",S293&lt;=7000,"Mid",S293&lt;=12000,"High",S293&gt;12000,"Top")</f>
        <v>Mid</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_xlfn.IFS(A294&lt;=25,"Under 25",A294&lt;=35,"26–35",A294&lt;=45,"36–45",A294&gt;45,"46+")</f>
        <v>26–35</v>
      </c>
      <c r="AK294" t="str" cm="1">
        <f t="array" ref="AK294">_xlfn.IFS(S294&lt;=3000,"Low",S294&lt;=7000,"Mid",S294&lt;=12000,"High",S294&gt;12000,"Top")</f>
        <v>Low</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_xlfn.IFS(A295&lt;=25,"Under 25",A295&lt;=35,"26–35",A295&lt;=45,"36–45",A295&gt;45,"46+")</f>
        <v>26–35</v>
      </c>
      <c r="AK295" t="str" cm="1">
        <f t="array" ref="AK295">_xlfn.IFS(S295&lt;=3000,"Low",S295&lt;=7000,"Mid",S295&lt;=12000,"High",S295&gt;12000,"Top")</f>
        <v>Mid</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_xlfn.IFS(A296&lt;=25,"Under 25",A296&lt;=35,"26–35",A296&lt;=45,"36–45",A296&gt;45,"46+")</f>
        <v>36–45</v>
      </c>
      <c r="AK296" t="str" cm="1">
        <f t="array" ref="AK296">_xlfn.IFS(S296&lt;=3000,"Low",S296&lt;=7000,"Mid",S296&lt;=12000,"High",S296&gt;12000,"Top")</f>
        <v>Low</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_xlfn.IFS(A297&lt;=25,"Under 25",A297&lt;=35,"26–35",A297&lt;=45,"36–45",A297&gt;45,"46+")</f>
        <v>36–45</v>
      </c>
      <c r="AK297" t="str" cm="1">
        <f t="array" ref="AK297">_xlfn.IFS(S297&lt;=3000,"Low",S297&lt;=7000,"Mid",S297&lt;=12000,"High",S297&gt;12000,"Top")</f>
        <v>Top</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_xlfn.IFS(A298&lt;=25,"Under 25",A298&lt;=35,"26–35",A298&lt;=45,"36–45",A298&gt;45,"46+")</f>
        <v>Under 25</v>
      </c>
      <c r="AK298" t="str" cm="1">
        <f t="array" ref="AK298">_xlfn.IFS(S298&lt;=3000,"Low",S298&lt;=7000,"Mid",S298&lt;=12000,"High",S298&gt;12000,"Top")</f>
        <v>Low</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_xlfn.IFS(A299&lt;=25,"Under 25",A299&lt;=35,"26–35",A299&lt;=45,"36–45",A299&gt;45,"46+")</f>
        <v>26–35</v>
      </c>
      <c r="AK299" t="str" cm="1">
        <f t="array" ref="AK299">_xlfn.IFS(S299&lt;=3000,"Low",S299&lt;=7000,"Mid",S299&lt;=12000,"High",S299&gt;12000,"Top")</f>
        <v>High</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_xlfn.IFS(A300&lt;=25,"Under 25",A300&lt;=35,"26–35",A300&lt;=45,"36–45",A300&gt;45,"46+")</f>
        <v>36–45</v>
      </c>
      <c r="AK300" t="str" cm="1">
        <f t="array" ref="AK300">_xlfn.IFS(S300&lt;=3000,"Low",S300&lt;=7000,"Mid",S300&lt;=12000,"High",S300&gt;12000,"Top")</f>
        <v>Mid</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_xlfn.IFS(A301&lt;=25,"Under 25",A301&lt;=35,"26–35",A301&lt;=45,"36–45",A301&gt;45,"46+")</f>
        <v>46+</v>
      </c>
      <c r="AK301" t="str" cm="1">
        <f t="array" ref="AK301">_xlfn.IFS(S301&lt;=3000,"Low",S301&lt;=7000,"Mid",S301&lt;=12000,"High",S301&gt;12000,"Top")</f>
        <v>Mid</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_xlfn.IFS(A302&lt;=25,"Under 25",A302&lt;=35,"26–35",A302&lt;=45,"36–45",A302&gt;45,"46+")</f>
        <v>36–45</v>
      </c>
      <c r="AK302" t="str" cm="1">
        <f t="array" ref="AK302">_xlfn.IFS(S302&lt;=3000,"Low",S302&lt;=7000,"Mid",S302&lt;=12000,"High",S302&gt;12000,"Top")</f>
        <v>Top</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_xlfn.IFS(A303&lt;=25,"Under 25",A303&lt;=35,"26–35",A303&lt;=45,"36–45",A303&gt;45,"46+")</f>
        <v>Under 25</v>
      </c>
      <c r="AK303" t="str" cm="1">
        <f t="array" ref="AK303">_xlfn.IFS(S303&lt;=3000,"Low",S303&lt;=7000,"Mid",S303&lt;=12000,"High",S303&gt;12000,"Top")</f>
        <v>Low</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_xlfn.IFS(A304&lt;=25,"Under 25",A304&lt;=35,"26–35",A304&lt;=45,"36–45",A304&gt;45,"46+")</f>
        <v>26–35</v>
      </c>
      <c r="AK304" t="str" cm="1">
        <f t="array" ref="AK304">_xlfn.IFS(S304&lt;=3000,"Low",S304&lt;=7000,"Mid",S304&lt;=12000,"High",S304&gt;12000,"Top")</f>
        <v>Mid</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_xlfn.IFS(A305&lt;=25,"Under 25",A305&lt;=35,"26–35",A305&lt;=45,"36–45",A305&gt;45,"46+")</f>
        <v>26–35</v>
      </c>
      <c r="AK305" t="str" cm="1">
        <f t="array" ref="AK305">_xlfn.IFS(S305&lt;=3000,"Low",S305&lt;=7000,"Mid",S305&lt;=12000,"High",S305&gt;12000,"Top")</f>
        <v>Mid</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_xlfn.IFS(A306&lt;=25,"Under 25",A306&lt;=35,"26–35",A306&lt;=45,"36–45",A306&gt;45,"46+")</f>
        <v>36–45</v>
      </c>
      <c r="AK306" t="str" cm="1">
        <f t="array" ref="AK306">_xlfn.IFS(S306&lt;=3000,"Low",S306&lt;=7000,"Mid",S306&lt;=12000,"High",S306&gt;12000,"Top")</f>
        <v>High</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_xlfn.IFS(A307&lt;=25,"Under 25",A307&lt;=35,"26–35",A307&lt;=45,"36–45",A307&gt;45,"46+")</f>
        <v>36–45</v>
      </c>
      <c r="AK307" t="str" cm="1">
        <f t="array" ref="AK307">_xlfn.IFS(S307&lt;=3000,"Low",S307&lt;=7000,"Mid",S307&lt;=12000,"High",S307&gt;12000,"Top")</f>
        <v>Mid</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_xlfn.IFS(A308&lt;=25,"Under 25",A308&lt;=35,"26–35",A308&lt;=45,"36–45",A308&gt;45,"46+")</f>
        <v>26–35</v>
      </c>
      <c r="AK308" t="str" cm="1">
        <f t="array" ref="AK308">_xlfn.IFS(S308&lt;=3000,"Low",S308&lt;=7000,"Mid",S308&lt;=12000,"High",S308&gt;12000,"Top")</f>
        <v>Mid</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_xlfn.IFS(A309&lt;=25,"Under 25",A309&lt;=35,"26–35",A309&lt;=45,"36–45",A309&gt;45,"46+")</f>
        <v>36–45</v>
      </c>
      <c r="AK309" t="str" cm="1">
        <f t="array" ref="AK309">_xlfn.IFS(S309&lt;=3000,"Low",S309&lt;=7000,"Mid",S309&lt;=12000,"High",S309&gt;12000,"Top")</f>
        <v>Top</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_xlfn.IFS(A310&lt;=25,"Under 25",A310&lt;=35,"26–35",A310&lt;=45,"36–45",A310&gt;45,"46+")</f>
        <v>46+</v>
      </c>
      <c r="AK310" t="str" cm="1">
        <f t="array" ref="AK310">_xlfn.IFS(S310&lt;=3000,"Low",S310&lt;=7000,"Mid",S310&lt;=12000,"High",S310&gt;12000,"Top")</f>
        <v>Mid</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_xlfn.IFS(A311&lt;=25,"Under 25",A311&lt;=35,"26–35",A311&lt;=45,"36–45",A311&gt;45,"46+")</f>
        <v>26–35</v>
      </c>
      <c r="AK311" t="str" cm="1">
        <f t="array" ref="AK311">_xlfn.IFS(S311&lt;=3000,"Low",S311&lt;=7000,"Mid",S311&lt;=12000,"High",S311&gt;12000,"Top")</f>
        <v>Mid</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_xlfn.IFS(A312&lt;=25,"Under 25",A312&lt;=35,"26–35",A312&lt;=45,"36–45",A312&gt;45,"46+")</f>
        <v>26–35</v>
      </c>
      <c r="AK312" t="str" cm="1">
        <f t="array" ref="AK312">_xlfn.IFS(S312&lt;=3000,"Low",S312&lt;=7000,"Mid",S312&lt;=12000,"High",S312&gt;12000,"Top")</f>
        <v>Mid</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_xlfn.IFS(A313&lt;=25,"Under 25",A313&lt;=35,"26–35",A313&lt;=45,"36–45",A313&gt;45,"46+")</f>
        <v>36–45</v>
      </c>
      <c r="AK313" t="str" cm="1">
        <f t="array" ref="AK313">_xlfn.IFS(S313&lt;=3000,"Low",S313&lt;=7000,"Mid",S313&lt;=12000,"High",S313&gt;12000,"Top")</f>
        <v>Mid</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_xlfn.IFS(A314&lt;=25,"Under 25",A314&lt;=35,"26–35",A314&lt;=45,"36–45",A314&gt;45,"46+")</f>
        <v>26–35</v>
      </c>
      <c r="AK314" t="str" cm="1">
        <f t="array" ref="AK314">_xlfn.IFS(S314&lt;=3000,"Low",S314&lt;=7000,"Mid",S314&lt;=12000,"High",S314&gt;12000,"Top")</f>
        <v>Low</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_xlfn.IFS(A315&lt;=25,"Under 25",A315&lt;=35,"26–35",A315&lt;=45,"36–45",A315&gt;45,"46+")</f>
        <v>26–35</v>
      </c>
      <c r="AK315" t="str" cm="1">
        <f t="array" ref="AK315">_xlfn.IFS(S315&lt;=3000,"Low",S315&lt;=7000,"Mid",S315&lt;=12000,"High",S315&gt;12000,"Top")</f>
        <v>High</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_xlfn.IFS(A316&lt;=25,"Under 25",A316&lt;=35,"26–35",A316&lt;=45,"36–45",A316&gt;45,"46+")</f>
        <v>36–45</v>
      </c>
      <c r="AK316" t="str" cm="1">
        <f t="array" ref="AK316">_xlfn.IFS(S316&lt;=3000,"Low",S316&lt;=7000,"Mid",S316&lt;=12000,"High",S316&gt;12000,"Top")</f>
        <v>Top</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_xlfn.IFS(A317&lt;=25,"Under 25",A317&lt;=35,"26–35",A317&lt;=45,"36–45",A317&gt;45,"46+")</f>
        <v>36–45</v>
      </c>
      <c r="AK317" t="str" cm="1">
        <f t="array" ref="AK317">_xlfn.IFS(S317&lt;=3000,"Low",S317&lt;=7000,"Mid",S317&lt;=12000,"High",S317&gt;12000,"Top")</f>
        <v>Low</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_xlfn.IFS(A318&lt;=25,"Under 25",A318&lt;=35,"26–35",A318&lt;=45,"36–45",A318&gt;45,"46+")</f>
        <v>46+</v>
      </c>
      <c r="AK318" t="str" cm="1">
        <f t="array" ref="AK318">_xlfn.IFS(S318&lt;=3000,"Low",S318&lt;=7000,"Mid",S318&lt;=12000,"High",S318&gt;12000,"Top")</f>
        <v>Top</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_xlfn.IFS(A319&lt;=25,"Under 25",A319&lt;=35,"26–35",A319&lt;=45,"36–45",A319&gt;45,"46+")</f>
        <v>46+</v>
      </c>
      <c r="AK319" t="str" cm="1">
        <f t="array" ref="AK319">_xlfn.IFS(S319&lt;=3000,"Low",S319&lt;=7000,"Mid",S319&lt;=12000,"High",S319&gt;12000,"Top")</f>
        <v>Mid</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_xlfn.IFS(A320&lt;=25,"Under 25",A320&lt;=35,"26–35",A320&lt;=45,"36–45",A320&gt;45,"46+")</f>
        <v>26–35</v>
      </c>
      <c r="AK320" t="str" cm="1">
        <f t="array" ref="AK320">_xlfn.IFS(S320&lt;=3000,"Low",S320&lt;=7000,"Mid",S320&lt;=12000,"High",S320&gt;12000,"Top")</f>
        <v>Low</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_xlfn.IFS(A321&lt;=25,"Under 25",A321&lt;=35,"26–35",A321&lt;=45,"36–45",A321&gt;45,"46+")</f>
        <v>26–35</v>
      </c>
      <c r="AK321" t="str" cm="1">
        <f t="array" ref="AK321">_xlfn.IFS(S321&lt;=3000,"Low",S321&lt;=7000,"Mid",S321&lt;=12000,"High",S321&gt;12000,"Top")</f>
        <v>Mid</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_xlfn.IFS(A322&lt;=25,"Under 25",A322&lt;=35,"26–35",A322&lt;=45,"36–45",A322&gt;45,"46+")</f>
        <v>26–35</v>
      </c>
      <c r="AK322" t="str" cm="1">
        <f t="array" ref="AK322">_xlfn.IFS(S322&lt;=3000,"Low",S322&lt;=7000,"Mid",S322&lt;=12000,"High",S322&gt;12000,"Top")</f>
        <v>Mid</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_xlfn.IFS(A323&lt;=25,"Under 25",A323&lt;=35,"26–35",A323&lt;=45,"36–45",A323&gt;45,"46+")</f>
        <v>26–35</v>
      </c>
      <c r="AK323" t="str" cm="1">
        <f t="array" ref="AK323">_xlfn.IFS(S323&lt;=3000,"Low",S323&lt;=7000,"Mid",S323&lt;=12000,"High",S323&gt;12000,"Top")</f>
        <v>High</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_xlfn.IFS(A324&lt;=25,"Under 25",A324&lt;=35,"26–35",A324&lt;=45,"36–45",A324&gt;45,"46+")</f>
        <v>26–35</v>
      </c>
      <c r="AK324" t="str" cm="1">
        <f t="array" ref="AK324">_xlfn.IFS(S324&lt;=3000,"Low",S324&lt;=7000,"Mid",S324&lt;=12000,"High",S324&gt;12000,"Top")</f>
        <v>Mid</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_xlfn.IFS(A325&lt;=25,"Under 25",A325&lt;=35,"26–35",A325&lt;=45,"36–45",A325&gt;45,"46+")</f>
        <v>26–35</v>
      </c>
      <c r="AK325" t="str" cm="1">
        <f t="array" ref="AK325">_xlfn.IFS(S325&lt;=3000,"Low",S325&lt;=7000,"Mid",S325&lt;=12000,"High",S325&gt;12000,"Top")</f>
        <v>Mid</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_xlfn.IFS(A326&lt;=25,"Under 25",A326&lt;=35,"26–35",A326&lt;=45,"36–45",A326&gt;45,"46+")</f>
        <v>26–35</v>
      </c>
      <c r="AK326" t="str" cm="1">
        <f t="array" ref="AK326">_xlfn.IFS(S326&lt;=3000,"Low",S326&lt;=7000,"Mid",S326&lt;=12000,"High",S326&gt;12000,"Top")</f>
        <v>Mid</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_xlfn.IFS(A327&lt;=25,"Under 25",A327&lt;=35,"26–35",A327&lt;=45,"36–45",A327&gt;45,"46+")</f>
        <v>26–35</v>
      </c>
      <c r="AK327" t="str" cm="1">
        <f t="array" ref="AK327">_xlfn.IFS(S327&lt;=3000,"Low",S327&lt;=7000,"Mid",S327&lt;=12000,"High",S327&gt;12000,"Top")</f>
        <v>High</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_xlfn.IFS(A328&lt;=25,"Under 25",A328&lt;=35,"26–35",A328&lt;=45,"36–45",A328&gt;45,"46+")</f>
        <v>36–45</v>
      </c>
      <c r="AK328" t="str" cm="1">
        <f t="array" ref="AK328">_xlfn.IFS(S328&lt;=3000,"Low",S328&lt;=7000,"Mid",S328&lt;=12000,"High",S328&gt;12000,"Top")</f>
        <v>Top</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_xlfn.IFS(A329&lt;=25,"Under 25",A329&lt;=35,"26–35",A329&lt;=45,"36–45",A329&gt;45,"46+")</f>
        <v>36–45</v>
      </c>
      <c r="AK329" t="str" cm="1">
        <f t="array" ref="AK329">_xlfn.IFS(S329&lt;=3000,"Low",S329&lt;=7000,"Mid",S329&lt;=12000,"High",S329&gt;12000,"Top")</f>
        <v>Mid</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_xlfn.IFS(A330&lt;=25,"Under 25",A330&lt;=35,"26–35",A330&lt;=45,"36–45",A330&gt;45,"46+")</f>
        <v>26–35</v>
      </c>
      <c r="AK330" t="str" cm="1">
        <f t="array" ref="AK330">_xlfn.IFS(S330&lt;=3000,"Low",S330&lt;=7000,"Mid",S330&lt;=12000,"High",S330&gt;12000,"Top")</f>
        <v>Mid</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_xlfn.IFS(A331&lt;=25,"Under 25",A331&lt;=35,"26–35",A331&lt;=45,"36–45",A331&gt;45,"46+")</f>
        <v>46+</v>
      </c>
      <c r="AK331" t="str" cm="1">
        <f t="array" ref="AK331">_xlfn.IFS(S331&lt;=3000,"Low",S331&lt;=7000,"Mid",S331&lt;=12000,"High",S331&gt;12000,"Top")</f>
        <v>Top</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_xlfn.IFS(A332&lt;=25,"Under 25",A332&lt;=35,"26–35",A332&lt;=45,"36–45",A332&gt;45,"46+")</f>
        <v>36–45</v>
      </c>
      <c r="AK332" t="str" cm="1">
        <f t="array" ref="AK332">_xlfn.IFS(S332&lt;=3000,"Low",S332&lt;=7000,"Mid",S332&lt;=12000,"High",S332&gt;12000,"Top")</f>
        <v>Mid</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_xlfn.IFS(A333&lt;=25,"Under 25",A333&lt;=35,"26–35",A333&lt;=45,"36–45",A333&gt;45,"46+")</f>
        <v>26–35</v>
      </c>
      <c r="AK333" t="str" cm="1">
        <f t="array" ref="AK333">_xlfn.IFS(S333&lt;=3000,"Low",S333&lt;=7000,"Mid",S333&lt;=12000,"High",S333&gt;12000,"Top")</f>
        <v>Mid</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_xlfn.IFS(A334&lt;=25,"Under 25",A334&lt;=35,"26–35",A334&lt;=45,"36–45",A334&gt;45,"46+")</f>
        <v>46+</v>
      </c>
      <c r="AK334" t="str" cm="1">
        <f t="array" ref="AK334">_xlfn.IFS(S334&lt;=3000,"Low",S334&lt;=7000,"Mid",S334&lt;=12000,"High",S334&gt;12000,"Top")</f>
        <v>Mid</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_xlfn.IFS(A335&lt;=25,"Under 25",A335&lt;=35,"26–35",A335&lt;=45,"36–45",A335&gt;45,"46+")</f>
        <v>36–45</v>
      </c>
      <c r="AK335" t="str" cm="1">
        <f t="array" ref="AK335">_xlfn.IFS(S335&lt;=3000,"Low",S335&lt;=7000,"Mid",S335&lt;=12000,"High",S335&gt;12000,"Top")</f>
        <v>High</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_xlfn.IFS(A336&lt;=25,"Under 25",A336&lt;=35,"26–35",A336&lt;=45,"36–45",A336&gt;45,"46+")</f>
        <v>36–45</v>
      </c>
      <c r="AK336" t="str" cm="1">
        <f t="array" ref="AK336">_xlfn.IFS(S336&lt;=3000,"Low",S336&lt;=7000,"Mid",S336&lt;=12000,"High",S336&gt;12000,"Top")</f>
        <v>Mid</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_xlfn.IFS(A337&lt;=25,"Under 25",A337&lt;=35,"26–35",A337&lt;=45,"36–45",A337&gt;45,"46+")</f>
        <v>36–45</v>
      </c>
      <c r="AK337" t="str" cm="1">
        <f t="array" ref="AK337">_xlfn.IFS(S337&lt;=3000,"Low",S337&lt;=7000,"Mid",S337&lt;=12000,"High",S337&gt;12000,"Top")</f>
        <v>High</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_xlfn.IFS(A338&lt;=25,"Under 25",A338&lt;=35,"26–35",A338&lt;=45,"36–45",A338&gt;45,"46+")</f>
        <v>26–35</v>
      </c>
      <c r="AK338" t="str" cm="1">
        <f t="array" ref="AK338">_xlfn.IFS(S338&lt;=3000,"Low",S338&lt;=7000,"Mid",S338&lt;=12000,"High",S338&gt;12000,"Top")</f>
        <v>Low</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_xlfn.IFS(A339&lt;=25,"Under 25",A339&lt;=35,"26–35",A339&lt;=45,"36–45",A339&gt;45,"46+")</f>
        <v>26–35</v>
      </c>
      <c r="AK339" t="str" cm="1">
        <f t="array" ref="AK339">_xlfn.IFS(S339&lt;=3000,"Low",S339&lt;=7000,"Mid",S339&lt;=12000,"High",S339&gt;12000,"Top")</f>
        <v>Mid</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_xlfn.IFS(A340&lt;=25,"Under 25",A340&lt;=35,"26–35",A340&lt;=45,"36–45",A340&gt;45,"46+")</f>
        <v>26–35</v>
      </c>
      <c r="AK340" t="str" cm="1">
        <f t="array" ref="AK340">_xlfn.IFS(S340&lt;=3000,"Low",S340&lt;=7000,"Mid",S340&lt;=12000,"High",S340&gt;12000,"Top")</f>
        <v>Mid</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_xlfn.IFS(A341&lt;=25,"Under 25",A341&lt;=35,"26–35",A341&lt;=45,"36–45",A341&gt;45,"46+")</f>
        <v>26–35</v>
      </c>
      <c r="AK341" t="str" cm="1">
        <f t="array" ref="AK341">_xlfn.IFS(S341&lt;=3000,"Low",S341&lt;=7000,"Mid",S341&lt;=12000,"High",S341&gt;12000,"Top")</f>
        <v>Mid</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_xlfn.IFS(A342&lt;=25,"Under 25",A342&lt;=35,"26–35",A342&lt;=45,"36–45",A342&gt;45,"46+")</f>
        <v>36–45</v>
      </c>
      <c r="AK342" t="str" cm="1">
        <f t="array" ref="AK342">_xlfn.IFS(S342&lt;=3000,"Low",S342&lt;=7000,"Mid",S342&lt;=12000,"High",S342&gt;12000,"Top")</f>
        <v>Mid</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_xlfn.IFS(A343&lt;=25,"Under 25",A343&lt;=35,"26–35",A343&lt;=45,"36–45",A343&gt;45,"46+")</f>
        <v>36–45</v>
      </c>
      <c r="AK343" t="str" cm="1">
        <f t="array" ref="AK343">_xlfn.IFS(S343&lt;=3000,"Low",S343&lt;=7000,"Mid",S343&lt;=12000,"High",S343&gt;12000,"Top")</f>
        <v>High</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_xlfn.IFS(A344&lt;=25,"Under 25",A344&lt;=35,"26–35",A344&lt;=45,"36–45",A344&gt;45,"46+")</f>
        <v>26–35</v>
      </c>
      <c r="AK344" t="str" cm="1">
        <f t="array" ref="AK344">_xlfn.IFS(S344&lt;=3000,"Low",S344&lt;=7000,"Mid",S344&lt;=12000,"High",S344&gt;12000,"Top")</f>
        <v>High</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_xlfn.IFS(A345&lt;=25,"Under 25",A345&lt;=35,"26–35",A345&lt;=45,"36–45",A345&gt;45,"46+")</f>
        <v>26–35</v>
      </c>
      <c r="AK345" t="str" cm="1">
        <f t="array" ref="AK345">_xlfn.IFS(S345&lt;=3000,"Low",S345&lt;=7000,"Mid",S345&lt;=12000,"High",S345&gt;12000,"Top")</f>
        <v>High</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_xlfn.IFS(A346&lt;=25,"Under 25",A346&lt;=35,"26–35",A346&lt;=45,"36–45",A346&gt;45,"46+")</f>
        <v>26–35</v>
      </c>
      <c r="AK346" t="str" cm="1">
        <f t="array" ref="AK346">_xlfn.IFS(S346&lt;=3000,"Low",S346&lt;=7000,"Mid",S346&lt;=12000,"High",S346&gt;12000,"Top")</f>
        <v>High</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_xlfn.IFS(A347&lt;=25,"Under 25",A347&lt;=35,"26–35",A347&lt;=45,"36–45",A347&gt;45,"46+")</f>
        <v>Under 25</v>
      </c>
      <c r="AK347" t="str" cm="1">
        <f t="array" ref="AK347">_xlfn.IFS(S347&lt;=3000,"Low",S347&lt;=7000,"Mid",S347&lt;=12000,"High",S347&gt;12000,"Top")</f>
        <v>Low</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_xlfn.IFS(A348&lt;=25,"Under 25",A348&lt;=35,"26–35",A348&lt;=45,"36–45",A348&gt;45,"46+")</f>
        <v>36–45</v>
      </c>
      <c r="AK348" t="str" cm="1">
        <f t="array" ref="AK348">_xlfn.IFS(S348&lt;=3000,"Low",S348&lt;=7000,"Mid",S348&lt;=12000,"High",S348&gt;12000,"Top")</f>
        <v>Mid</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_xlfn.IFS(A349&lt;=25,"Under 25",A349&lt;=35,"26–35",A349&lt;=45,"36–45",A349&gt;45,"46+")</f>
        <v>46+</v>
      </c>
      <c r="AK349" t="str" cm="1">
        <f t="array" ref="AK349">_xlfn.IFS(S349&lt;=3000,"Low",S349&lt;=7000,"Mid",S349&lt;=12000,"High",S349&gt;12000,"Top")</f>
        <v>Low</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_xlfn.IFS(A350&lt;=25,"Under 25",A350&lt;=35,"26–35",A350&lt;=45,"36–45",A350&gt;45,"46+")</f>
        <v>36–45</v>
      </c>
      <c r="AK350" t="str" cm="1">
        <f t="array" ref="AK350">_xlfn.IFS(S350&lt;=3000,"Low",S350&lt;=7000,"Mid",S350&lt;=12000,"High",S350&gt;12000,"Top")</f>
        <v>Top</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_xlfn.IFS(A351&lt;=25,"Under 25",A351&lt;=35,"26–35",A351&lt;=45,"36–45",A351&gt;45,"46+")</f>
        <v>26–35</v>
      </c>
      <c r="AK351" t="str" cm="1">
        <f t="array" ref="AK351">_xlfn.IFS(S351&lt;=3000,"Low",S351&lt;=7000,"Mid",S351&lt;=12000,"High",S351&gt;12000,"Top")</f>
        <v>Mid</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_xlfn.IFS(A352&lt;=25,"Under 25",A352&lt;=35,"26–35",A352&lt;=45,"36–45",A352&gt;45,"46+")</f>
        <v>36–45</v>
      </c>
      <c r="AK352" t="str" cm="1">
        <f t="array" ref="AK352">_xlfn.IFS(S352&lt;=3000,"Low",S352&lt;=7000,"Mid",S352&lt;=12000,"High",S352&gt;12000,"Top")</f>
        <v>Low</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_xlfn.IFS(A353&lt;=25,"Under 25",A353&lt;=35,"26–35",A353&lt;=45,"36–45",A353&gt;45,"46+")</f>
        <v>26–35</v>
      </c>
      <c r="AK353" t="str" cm="1">
        <f t="array" ref="AK353">_xlfn.IFS(S353&lt;=3000,"Low",S353&lt;=7000,"Mid",S353&lt;=12000,"High",S353&gt;12000,"Top")</f>
        <v>Low</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_xlfn.IFS(A354&lt;=25,"Under 25",A354&lt;=35,"26–35",A354&lt;=45,"36–45",A354&gt;45,"46+")</f>
        <v>46+</v>
      </c>
      <c r="AK354" t="str" cm="1">
        <f t="array" ref="AK354">_xlfn.IFS(S354&lt;=3000,"Low",S354&lt;=7000,"Mid",S354&lt;=12000,"High",S354&gt;12000,"Top")</f>
        <v>Top</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_xlfn.IFS(A355&lt;=25,"Under 25",A355&lt;=35,"26–35",A355&lt;=45,"36–45",A355&gt;45,"46+")</f>
        <v>36–45</v>
      </c>
      <c r="AK355" t="str" cm="1">
        <f t="array" ref="AK355">_xlfn.IFS(S355&lt;=3000,"Low",S355&lt;=7000,"Mid",S355&lt;=12000,"High",S355&gt;12000,"Top")</f>
        <v>Mid</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_xlfn.IFS(A356&lt;=25,"Under 25",A356&lt;=35,"26–35",A356&lt;=45,"36–45",A356&gt;45,"46+")</f>
        <v>26–35</v>
      </c>
      <c r="AK356" t="str" cm="1">
        <f t="array" ref="AK356">_xlfn.IFS(S356&lt;=3000,"Low",S356&lt;=7000,"Mid",S356&lt;=12000,"High",S356&gt;12000,"Top")</f>
        <v>Mid</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_xlfn.IFS(A357&lt;=25,"Under 25",A357&lt;=35,"26–35",A357&lt;=45,"36–45",A357&gt;45,"46+")</f>
        <v>26–35</v>
      </c>
      <c r="AK357" t="str" cm="1">
        <f t="array" ref="AK357">_xlfn.IFS(S357&lt;=3000,"Low",S357&lt;=7000,"Mid",S357&lt;=12000,"High",S357&gt;12000,"Top")</f>
        <v>Mid</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_xlfn.IFS(A358&lt;=25,"Under 25",A358&lt;=35,"26–35",A358&lt;=45,"36–45",A358&gt;45,"46+")</f>
        <v>36–45</v>
      </c>
      <c r="AK358" t="str" cm="1">
        <f t="array" ref="AK358">_xlfn.IFS(S358&lt;=3000,"Low",S358&lt;=7000,"Mid",S358&lt;=12000,"High",S358&gt;12000,"Top")</f>
        <v>Mid</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_xlfn.IFS(A359&lt;=25,"Under 25",A359&lt;=35,"26–35",A359&lt;=45,"36–45",A359&gt;45,"46+")</f>
        <v>Under 25</v>
      </c>
      <c r="AK359" t="str" cm="1">
        <f t="array" ref="AK359">_xlfn.IFS(S359&lt;=3000,"Low",S359&lt;=7000,"Mid",S359&lt;=12000,"High",S359&gt;12000,"Top")</f>
        <v>Low</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_xlfn.IFS(A360&lt;=25,"Under 25",A360&lt;=35,"26–35",A360&lt;=45,"36–45",A360&gt;45,"46+")</f>
        <v>36–45</v>
      </c>
      <c r="AK360" t="str" cm="1">
        <f t="array" ref="AK360">_xlfn.IFS(S360&lt;=3000,"Low",S360&lt;=7000,"Mid",S360&lt;=12000,"High",S360&gt;12000,"Top")</f>
        <v>Mid</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_xlfn.IFS(A361&lt;=25,"Under 25",A361&lt;=35,"26–35",A361&lt;=45,"36–45",A361&gt;45,"46+")</f>
        <v>36–45</v>
      </c>
      <c r="AK361" t="str" cm="1">
        <f t="array" ref="AK361">_xlfn.IFS(S361&lt;=3000,"Low",S361&lt;=7000,"Mid",S361&lt;=12000,"High",S361&gt;12000,"Top")</f>
        <v>High</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_xlfn.IFS(A362&lt;=25,"Under 25",A362&lt;=35,"26–35",A362&lt;=45,"36–45",A362&gt;45,"46+")</f>
        <v>46+</v>
      </c>
      <c r="AK362" t="str" cm="1">
        <f t="array" ref="AK362">_xlfn.IFS(S362&lt;=3000,"Low",S362&lt;=7000,"Mid",S362&lt;=12000,"High",S362&gt;12000,"Top")</f>
        <v>Mid</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_xlfn.IFS(A363&lt;=25,"Under 25",A363&lt;=35,"26–35",A363&lt;=45,"36–45",A363&gt;45,"46+")</f>
        <v>36–45</v>
      </c>
      <c r="AK363" t="str" cm="1">
        <f t="array" ref="AK363">_xlfn.IFS(S363&lt;=3000,"Low",S363&lt;=7000,"Mid",S363&lt;=12000,"High",S363&gt;12000,"Top")</f>
        <v>Low</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_xlfn.IFS(A364&lt;=25,"Under 25",A364&lt;=35,"26–35",A364&lt;=45,"36–45",A364&gt;45,"46+")</f>
        <v>Under 25</v>
      </c>
      <c r="AK364" t="str" cm="1">
        <f t="array" ref="AK364">_xlfn.IFS(S364&lt;=3000,"Low",S364&lt;=7000,"Mid",S364&lt;=12000,"High",S364&gt;12000,"Top")</f>
        <v>Low</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_xlfn.IFS(A365&lt;=25,"Under 25",A365&lt;=35,"26–35",A365&lt;=45,"36–45",A365&gt;45,"46+")</f>
        <v>26–35</v>
      </c>
      <c r="AK365" t="str" cm="1">
        <f t="array" ref="AK365">_xlfn.IFS(S365&lt;=3000,"Low",S365&lt;=7000,"Mid",S365&lt;=12000,"High",S365&gt;12000,"Top")</f>
        <v>Low</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_xlfn.IFS(A366&lt;=25,"Under 25",A366&lt;=35,"26–35",A366&lt;=45,"36–45",A366&gt;45,"46+")</f>
        <v>36–45</v>
      </c>
      <c r="AK366" t="str" cm="1">
        <f t="array" ref="AK366">_xlfn.IFS(S366&lt;=3000,"Low",S366&lt;=7000,"Mid",S366&lt;=12000,"High",S366&gt;12000,"Top")</f>
        <v>Mid</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_xlfn.IFS(A367&lt;=25,"Under 25",A367&lt;=35,"26–35",A367&lt;=45,"36–45",A367&gt;45,"46+")</f>
        <v>46+</v>
      </c>
      <c r="AK367" t="str" cm="1">
        <f t="array" ref="AK367">_xlfn.IFS(S367&lt;=3000,"Low",S367&lt;=7000,"Mid",S367&lt;=12000,"High",S367&gt;12000,"Top")</f>
        <v>Mid</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_xlfn.IFS(A368&lt;=25,"Under 25",A368&lt;=35,"26–35",A368&lt;=45,"36–45",A368&gt;45,"46+")</f>
        <v>36–45</v>
      </c>
      <c r="AK368" t="str" cm="1">
        <f t="array" ref="AK368">_xlfn.IFS(S368&lt;=3000,"Low",S368&lt;=7000,"Mid",S368&lt;=12000,"High",S368&gt;12000,"Top")</f>
        <v>High</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_xlfn.IFS(A369&lt;=25,"Under 25",A369&lt;=35,"26–35",A369&lt;=45,"36–45",A369&gt;45,"46+")</f>
        <v>46+</v>
      </c>
      <c r="AK369" t="str" cm="1">
        <f t="array" ref="AK369">_xlfn.IFS(S369&lt;=3000,"Low",S369&lt;=7000,"Mid",S369&lt;=12000,"High",S369&gt;12000,"Top")</f>
        <v>High</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_xlfn.IFS(A370&lt;=25,"Under 25",A370&lt;=35,"26–35",A370&lt;=45,"36–45",A370&gt;45,"46+")</f>
        <v>36–45</v>
      </c>
      <c r="AK370" t="str" cm="1">
        <f t="array" ref="AK370">_xlfn.IFS(S370&lt;=3000,"Low",S370&lt;=7000,"Mid",S370&lt;=12000,"High",S370&gt;12000,"Top")</f>
        <v>Mid</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_xlfn.IFS(A371&lt;=25,"Under 25",A371&lt;=35,"26–35",A371&lt;=45,"36–45",A371&gt;45,"46+")</f>
        <v>26–35</v>
      </c>
      <c r="AK371" t="str" cm="1">
        <f t="array" ref="AK371">_xlfn.IFS(S371&lt;=3000,"Low",S371&lt;=7000,"Mid",S371&lt;=12000,"High",S371&gt;12000,"Top")</f>
        <v>Low</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_xlfn.IFS(A372&lt;=25,"Under 25",A372&lt;=35,"26–35",A372&lt;=45,"36–45",A372&gt;45,"46+")</f>
        <v>Under 25</v>
      </c>
      <c r="AK372" t="str" cm="1">
        <f t="array" ref="AK372">_xlfn.IFS(S372&lt;=3000,"Low",S372&lt;=7000,"Mid",S372&lt;=12000,"High",S372&gt;12000,"Top")</f>
        <v>Low</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_xlfn.IFS(A373&lt;=25,"Under 25",A373&lt;=35,"26–35",A373&lt;=45,"36–45",A373&gt;45,"46+")</f>
        <v>26–35</v>
      </c>
      <c r="AK373" t="str" cm="1">
        <f t="array" ref="AK373">_xlfn.IFS(S373&lt;=3000,"Low",S373&lt;=7000,"Mid",S373&lt;=12000,"High",S373&gt;12000,"Top")</f>
        <v>Low</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_xlfn.IFS(A374&lt;=25,"Under 25",A374&lt;=35,"26–35",A374&lt;=45,"36–45",A374&gt;45,"46+")</f>
        <v>26–35</v>
      </c>
      <c r="AK374" t="str" cm="1">
        <f t="array" ref="AK374">_xlfn.IFS(S374&lt;=3000,"Low",S374&lt;=7000,"Mid",S374&lt;=12000,"High",S374&gt;12000,"Top")</f>
        <v>Mid</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_xlfn.IFS(A375&lt;=25,"Under 25",A375&lt;=35,"26–35",A375&lt;=45,"36–45",A375&gt;45,"46+")</f>
        <v>26–35</v>
      </c>
      <c r="AK375" t="str" cm="1">
        <f t="array" ref="AK375">_xlfn.IFS(S375&lt;=3000,"Low",S375&lt;=7000,"Mid",S375&lt;=12000,"High",S375&gt;12000,"Top")</f>
        <v>Mid</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_xlfn.IFS(A376&lt;=25,"Under 25",A376&lt;=35,"26–35",A376&lt;=45,"36–45",A376&gt;45,"46+")</f>
        <v>26–35</v>
      </c>
      <c r="AK376" t="str" cm="1">
        <f t="array" ref="AK376">_xlfn.IFS(S376&lt;=3000,"Low",S376&lt;=7000,"Mid",S376&lt;=12000,"High",S376&gt;12000,"Top")</f>
        <v>Mid</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_xlfn.IFS(A377&lt;=25,"Under 25",A377&lt;=35,"26–35",A377&lt;=45,"36–45",A377&gt;45,"46+")</f>
        <v>46+</v>
      </c>
      <c r="AK377" t="str" cm="1">
        <f t="array" ref="AK377">_xlfn.IFS(S377&lt;=3000,"Low",S377&lt;=7000,"Mid",S377&lt;=12000,"High",S377&gt;12000,"Top")</f>
        <v>High</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_xlfn.IFS(A378&lt;=25,"Under 25",A378&lt;=35,"26–35",A378&lt;=45,"36–45",A378&gt;45,"46+")</f>
        <v>46+</v>
      </c>
      <c r="AK378" t="str" cm="1">
        <f t="array" ref="AK378">_xlfn.IFS(S378&lt;=3000,"Low",S378&lt;=7000,"Mid",S378&lt;=12000,"High",S378&gt;12000,"Top")</f>
        <v>Mid</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_xlfn.IFS(A379&lt;=25,"Under 25",A379&lt;=35,"26–35",A379&lt;=45,"36–45",A379&gt;45,"46+")</f>
        <v>36–45</v>
      </c>
      <c r="AK379" t="str" cm="1">
        <f t="array" ref="AK379">_xlfn.IFS(S379&lt;=3000,"Low",S379&lt;=7000,"Mid",S379&lt;=12000,"High",S379&gt;12000,"Top")</f>
        <v>Low</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_xlfn.IFS(A380&lt;=25,"Under 25",A380&lt;=35,"26–35",A380&lt;=45,"36–45",A380&gt;45,"46+")</f>
        <v>26–35</v>
      </c>
      <c r="AK380" t="str" cm="1">
        <f t="array" ref="AK380">_xlfn.IFS(S380&lt;=3000,"Low",S380&lt;=7000,"Mid",S380&lt;=12000,"High",S380&gt;12000,"Top")</f>
        <v>Mid</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_xlfn.IFS(A381&lt;=25,"Under 25",A381&lt;=35,"26–35",A381&lt;=45,"36–45",A381&gt;45,"46+")</f>
        <v>46+</v>
      </c>
      <c r="AK381" t="str" cm="1">
        <f t="array" ref="AK381">_xlfn.IFS(S381&lt;=3000,"Low",S381&lt;=7000,"Mid",S381&lt;=12000,"High",S381&gt;12000,"Top")</f>
        <v>Top</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_xlfn.IFS(A382&lt;=25,"Under 25",A382&lt;=35,"26–35",A382&lt;=45,"36–45",A382&gt;45,"46+")</f>
        <v>Under 25</v>
      </c>
      <c r="AK382" t="str" cm="1">
        <f t="array" ref="AK382">_xlfn.IFS(S382&lt;=3000,"Low",S382&lt;=7000,"Mid",S382&lt;=12000,"High",S382&gt;12000,"Top")</f>
        <v>Mid</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_xlfn.IFS(A383&lt;=25,"Under 25",A383&lt;=35,"26–35",A383&lt;=45,"36–45",A383&gt;45,"46+")</f>
        <v>26–35</v>
      </c>
      <c r="AK383" t="str" cm="1">
        <f t="array" ref="AK383">_xlfn.IFS(S383&lt;=3000,"Low",S383&lt;=7000,"Mid",S383&lt;=12000,"High",S383&gt;12000,"Top")</f>
        <v>Low</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_xlfn.IFS(A384&lt;=25,"Under 25",A384&lt;=35,"26–35",A384&lt;=45,"36–45",A384&gt;45,"46+")</f>
        <v>26–35</v>
      </c>
      <c r="AK384" t="str" cm="1">
        <f t="array" ref="AK384">_xlfn.IFS(S384&lt;=3000,"Low",S384&lt;=7000,"Mid",S384&lt;=12000,"High",S384&gt;12000,"Top")</f>
        <v>Mid</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_xlfn.IFS(A385&lt;=25,"Under 25",A385&lt;=35,"26–35",A385&lt;=45,"36–45",A385&gt;45,"46+")</f>
        <v>Under 25</v>
      </c>
      <c r="AK385" t="str" cm="1">
        <f t="array" ref="AK385">_xlfn.IFS(S385&lt;=3000,"Low",S385&lt;=7000,"Mid",S385&lt;=12000,"High",S385&gt;12000,"Top")</f>
        <v>Low</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_xlfn.IFS(A386&lt;=25,"Under 25",A386&lt;=35,"26–35",A386&lt;=45,"36–45",A386&gt;45,"46+")</f>
        <v>36–45</v>
      </c>
      <c r="AK386" t="str" cm="1">
        <f t="array" ref="AK386">_xlfn.IFS(S386&lt;=3000,"Low",S386&lt;=7000,"Mid",S386&lt;=12000,"High",S386&gt;12000,"Top")</f>
        <v>High</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_xlfn.IFS(A387&lt;=25,"Under 25",A387&lt;=35,"26–35",A387&lt;=45,"36–45",A387&gt;45,"46+")</f>
        <v>26–35</v>
      </c>
      <c r="AK387" t="str" cm="1">
        <f t="array" ref="AK387">_xlfn.IFS(S387&lt;=3000,"Low",S387&lt;=7000,"Mid",S387&lt;=12000,"High",S387&gt;12000,"Top")</f>
        <v>Low</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_xlfn.IFS(A388&lt;=25,"Under 25",A388&lt;=35,"26–35",A388&lt;=45,"36–45",A388&gt;45,"46+")</f>
        <v>36–45</v>
      </c>
      <c r="AK388" t="str" cm="1">
        <f t="array" ref="AK388">_xlfn.IFS(S388&lt;=3000,"Low",S388&lt;=7000,"Mid",S388&lt;=12000,"High",S388&gt;12000,"Top")</f>
        <v>Mid</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_xlfn.IFS(A389&lt;=25,"Under 25",A389&lt;=35,"26–35",A389&lt;=45,"36–45",A389&gt;45,"46+")</f>
        <v>36–45</v>
      </c>
      <c r="AK389" t="str" cm="1">
        <f t="array" ref="AK389">_xlfn.IFS(S389&lt;=3000,"Low",S389&lt;=7000,"Mid",S389&lt;=12000,"High",S389&gt;12000,"Top")</f>
        <v>Mid</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_xlfn.IFS(A390&lt;=25,"Under 25",A390&lt;=35,"26–35",A390&lt;=45,"36–45",A390&gt;45,"46+")</f>
        <v>36–45</v>
      </c>
      <c r="AK390" t="str" cm="1">
        <f t="array" ref="AK390">_xlfn.IFS(S390&lt;=3000,"Low",S390&lt;=7000,"Mid",S390&lt;=12000,"High",S390&gt;12000,"Top")</f>
        <v>Low</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_xlfn.IFS(A391&lt;=25,"Under 25",A391&lt;=35,"26–35",A391&lt;=45,"36–45",A391&gt;45,"46+")</f>
        <v>36–45</v>
      </c>
      <c r="AK391" t="str" cm="1">
        <f t="array" ref="AK391">_xlfn.IFS(S391&lt;=3000,"Low",S391&lt;=7000,"Mid",S391&lt;=12000,"High",S391&gt;12000,"Top")</f>
        <v>Mid</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_xlfn.IFS(A392&lt;=25,"Under 25",A392&lt;=35,"26–35",A392&lt;=45,"36–45",A392&gt;45,"46+")</f>
        <v>36–45</v>
      </c>
      <c r="AK392" t="str" cm="1">
        <f t="array" ref="AK392">_xlfn.IFS(S392&lt;=3000,"Low",S392&lt;=7000,"Mid",S392&lt;=12000,"High",S392&gt;12000,"Top")</f>
        <v>Top</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_xlfn.IFS(A393&lt;=25,"Under 25",A393&lt;=35,"26–35",A393&lt;=45,"36–45",A393&gt;45,"46+")</f>
        <v>36–45</v>
      </c>
      <c r="AK393" t="str" cm="1">
        <f t="array" ref="AK393">_xlfn.IFS(S393&lt;=3000,"Low",S393&lt;=7000,"Mid",S393&lt;=12000,"High",S393&gt;12000,"Top")</f>
        <v>Mid</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_xlfn.IFS(A394&lt;=25,"Under 25",A394&lt;=35,"26–35",A394&lt;=45,"36–45",A394&gt;45,"46+")</f>
        <v>46+</v>
      </c>
      <c r="AK394" t="str" cm="1">
        <f t="array" ref="AK394">_xlfn.IFS(S394&lt;=3000,"Low",S394&lt;=7000,"Mid",S394&lt;=12000,"High",S394&gt;12000,"Top")</f>
        <v>Top</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_xlfn.IFS(A395&lt;=25,"Under 25",A395&lt;=35,"26–35",A395&lt;=45,"36–45",A395&gt;45,"46+")</f>
        <v>26–35</v>
      </c>
      <c r="AK395" t="str" cm="1">
        <f t="array" ref="AK395">_xlfn.IFS(S395&lt;=3000,"Low",S395&lt;=7000,"Mid",S395&lt;=12000,"High",S395&gt;12000,"Top")</f>
        <v>Mid</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_xlfn.IFS(A396&lt;=25,"Under 25",A396&lt;=35,"26–35",A396&lt;=45,"36–45",A396&gt;45,"46+")</f>
        <v>26–35</v>
      </c>
      <c r="AK396" t="str" cm="1">
        <f t="array" ref="AK396">_xlfn.IFS(S396&lt;=3000,"Low",S396&lt;=7000,"Mid",S396&lt;=12000,"High",S396&gt;12000,"Top")</f>
        <v>Mid</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_xlfn.IFS(A397&lt;=25,"Under 25",A397&lt;=35,"26–35",A397&lt;=45,"36–45",A397&gt;45,"46+")</f>
        <v>36–45</v>
      </c>
      <c r="AK397" t="str" cm="1">
        <f t="array" ref="AK397">_xlfn.IFS(S397&lt;=3000,"Low",S397&lt;=7000,"Mid",S397&lt;=12000,"High",S397&gt;12000,"Top")</f>
        <v>Low</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_xlfn.IFS(A398&lt;=25,"Under 25",A398&lt;=35,"26–35",A398&lt;=45,"36–45",A398&gt;45,"46+")</f>
        <v>36–45</v>
      </c>
      <c r="AK398" t="str" cm="1">
        <f t="array" ref="AK398">_xlfn.IFS(S398&lt;=3000,"Low",S398&lt;=7000,"Mid",S398&lt;=12000,"High",S398&gt;12000,"Top")</f>
        <v>Mid</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_xlfn.IFS(A399&lt;=25,"Under 25",A399&lt;=35,"26–35",A399&lt;=45,"36–45",A399&gt;45,"46+")</f>
        <v>Under 25</v>
      </c>
      <c r="AK399" t="str" cm="1">
        <f t="array" ref="AK399">_xlfn.IFS(S399&lt;=3000,"Low",S399&lt;=7000,"Mid",S399&lt;=12000,"High",S399&gt;12000,"Top")</f>
        <v>Mid</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_xlfn.IFS(A400&lt;=25,"Under 25",A400&lt;=35,"26–35",A400&lt;=45,"36–45",A400&gt;45,"46+")</f>
        <v>36–45</v>
      </c>
      <c r="AK400" t="str" cm="1">
        <f t="array" ref="AK400">_xlfn.IFS(S400&lt;=3000,"Low",S400&lt;=7000,"Mid",S400&lt;=12000,"High",S400&gt;12000,"Top")</f>
        <v>Mid</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_xlfn.IFS(A401&lt;=25,"Under 25",A401&lt;=35,"26–35",A401&lt;=45,"36–45",A401&gt;45,"46+")</f>
        <v>26–35</v>
      </c>
      <c r="AK401" t="str" cm="1">
        <f t="array" ref="AK401">_xlfn.IFS(S401&lt;=3000,"Low",S401&lt;=7000,"Mid",S401&lt;=12000,"High",S401&gt;12000,"Top")</f>
        <v>Low</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_xlfn.IFS(A402&lt;=25,"Under 25",A402&lt;=35,"26–35",A402&lt;=45,"36–45",A402&gt;45,"46+")</f>
        <v>36–45</v>
      </c>
      <c r="AK402" t="str" cm="1">
        <f t="array" ref="AK402">_xlfn.IFS(S402&lt;=3000,"Low",S402&lt;=7000,"Mid",S402&lt;=12000,"High",S402&gt;12000,"Top")</f>
        <v>Top</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_xlfn.IFS(A403&lt;=25,"Under 25",A403&lt;=35,"26–35",A403&lt;=45,"36–45",A403&gt;45,"46+")</f>
        <v>46+</v>
      </c>
      <c r="AK403" t="str" cm="1">
        <f t="array" ref="AK403">_xlfn.IFS(S403&lt;=3000,"Low",S403&lt;=7000,"Mid",S403&lt;=12000,"High",S403&gt;12000,"Top")</f>
        <v>Top</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_xlfn.IFS(A404&lt;=25,"Under 25",A404&lt;=35,"26–35",A404&lt;=45,"36–45",A404&gt;45,"46+")</f>
        <v>26–35</v>
      </c>
      <c r="AK404" t="str" cm="1">
        <f t="array" ref="AK404">_xlfn.IFS(S404&lt;=3000,"Low",S404&lt;=7000,"Mid",S404&lt;=12000,"High",S404&gt;12000,"Top")</f>
        <v>Mid</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_xlfn.IFS(A405&lt;=25,"Under 25",A405&lt;=35,"26–35",A405&lt;=45,"36–45",A405&gt;45,"46+")</f>
        <v>36–45</v>
      </c>
      <c r="AK405" t="str" cm="1">
        <f t="array" ref="AK405">_xlfn.IFS(S405&lt;=3000,"Low",S405&lt;=7000,"Mid",S405&lt;=12000,"High",S405&gt;12000,"Top")</f>
        <v>High</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_xlfn.IFS(A406&lt;=25,"Under 25",A406&lt;=35,"26–35",A406&lt;=45,"36–45",A406&gt;45,"46+")</f>
        <v>26–35</v>
      </c>
      <c r="AK406" t="str" cm="1">
        <f t="array" ref="AK406">_xlfn.IFS(S406&lt;=3000,"Low",S406&lt;=7000,"Mid",S406&lt;=12000,"High",S406&gt;12000,"Top")</f>
        <v>Mid</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_xlfn.IFS(A407&lt;=25,"Under 25",A407&lt;=35,"26–35",A407&lt;=45,"36–45",A407&gt;45,"46+")</f>
        <v>Under 25</v>
      </c>
      <c r="AK407" t="str" cm="1">
        <f t="array" ref="AK407">_xlfn.IFS(S407&lt;=3000,"Low",S407&lt;=7000,"Mid",S407&lt;=12000,"High",S407&gt;12000,"Top")</f>
        <v>Mid</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_xlfn.IFS(A408&lt;=25,"Under 25",A408&lt;=35,"26–35",A408&lt;=45,"36–45",A408&gt;45,"46+")</f>
        <v>46+</v>
      </c>
      <c r="AK408" t="str" cm="1">
        <f t="array" ref="AK408">_xlfn.IFS(S408&lt;=3000,"Low",S408&lt;=7000,"Mid",S408&lt;=12000,"High",S408&gt;12000,"Top")</f>
        <v>High</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_xlfn.IFS(A409&lt;=25,"Under 25",A409&lt;=35,"26–35",A409&lt;=45,"36–45",A409&gt;45,"46+")</f>
        <v>36–45</v>
      </c>
      <c r="AK409" t="str" cm="1">
        <f t="array" ref="AK409">_xlfn.IFS(S409&lt;=3000,"Low",S409&lt;=7000,"Mid",S409&lt;=12000,"High",S409&gt;12000,"Top")</f>
        <v>Low</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_xlfn.IFS(A410&lt;=25,"Under 25",A410&lt;=35,"26–35",A410&lt;=45,"36–45",A410&gt;45,"46+")</f>
        <v>46+</v>
      </c>
      <c r="AK410" t="str" cm="1">
        <f t="array" ref="AK410">_xlfn.IFS(S410&lt;=3000,"Low",S410&lt;=7000,"Mid",S410&lt;=12000,"High",S410&gt;12000,"Top")</f>
        <v>Top</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_xlfn.IFS(A411&lt;=25,"Under 25",A411&lt;=35,"26–35",A411&lt;=45,"36–45",A411&gt;45,"46+")</f>
        <v>36–45</v>
      </c>
      <c r="AK411" t="str" cm="1">
        <f t="array" ref="AK411">_xlfn.IFS(S411&lt;=3000,"Low",S411&lt;=7000,"Mid",S411&lt;=12000,"High",S411&gt;12000,"Top")</f>
        <v>Mid</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_xlfn.IFS(A412&lt;=25,"Under 25",A412&lt;=35,"26–35",A412&lt;=45,"36–45",A412&gt;45,"46+")</f>
        <v>26–35</v>
      </c>
      <c r="AK412" t="str" cm="1">
        <f t="array" ref="AK412">_xlfn.IFS(S412&lt;=3000,"Low",S412&lt;=7000,"Mid",S412&lt;=12000,"High",S412&gt;12000,"Top")</f>
        <v>Mid</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_xlfn.IFS(A413&lt;=25,"Under 25",A413&lt;=35,"26–35",A413&lt;=45,"36–45",A413&gt;45,"46+")</f>
        <v>46+</v>
      </c>
      <c r="AK413" t="str" cm="1">
        <f t="array" ref="AK413">_xlfn.IFS(S413&lt;=3000,"Low",S413&lt;=7000,"Mid",S413&lt;=12000,"High",S413&gt;12000,"Top")</f>
        <v>Top</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_xlfn.IFS(A414&lt;=25,"Under 25",A414&lt;=35,"26–35",A414&lt;=45,"36–45",A414&gt;45,"46+")</f>
        <v>46+</v>
      </c>
      <c r="AK414" t="str" cm="1">
        <f t="array" ref="AK414">_xlfn.IFS(S414&lt;=3000,"Low",S414&lt;=7000,"Mid",S414&lt;=12000,"High",S414&gt;12000,"Top")</f>
        <v>Mid</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_xlfn.IFS(A415&lt;=25,"Under 25",A415&lt;=35,"26–35",A415&lt;=45,"36–45",A415&gt;45,"46+")</f>
        <v>36–45</v>
      </c>
      <c r="AK415" t="str" cm="1">
        <f t="array" ref="AK415">_xlfn.IFS(S415&lt;=3000,"Low",S415&lt;=7000,"Mid",S415&lt;=12000,"High",S415&gt;12000,"Top")</f>
        <v>Mid</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_xlfn.IFS(A416&lt;=25,"Under 25",A416&lt;=35,"26–35",A416&lt;=45,"36–45",A416&gt;45,"46+")</f>
        <v>Under 25</v>
      </c>
      <c r="AK416" t="str" cm="1">
        <f t="array" ref="AK416">_xlfn.IFS(S416&lt;=3000,"Low",S416&lt;=7000,"Mid",S416&lt;=12000,"High",S416&gt;12000,"Top")</f>
        <v>Mid</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_xlfn.IFS(A417&lt;=25,"Under 25",A417&lt;=35,"26–35",A417&lt;=45,"36–45",A417&gt;45,"46+")</f>
        <v>26–35</v>
      </c>
      <c r="AK417" t="str" cm="1">
        <f t="array" ref="AK417">_xlfn.IFS(S417&lt;=3000,"Low",S417&lt;=7000,"Mid",S417&lt;=12000,"High",S417&gt;12000,"Top")</f>
        <v>Low</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_xlfn.IFS(A418&lt;=25,"Under 25",A418&lt;=35,"26–35",A418&lt;=45,"36–45",A418&gt;45,"46+")</f>
        <v>36–45</v>
      </c>
      <c r="AK418" t="str" cm="1">
        <f t="array" ref="AK418">_xlfn.IFS(S418&lt;=3000,"Low",S418&lt;=7000,"Mid",S418&lt;=12000,"High",S418&gt;12000,"Top")</f>
        <v>Low</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_xlfn.IFS(A419&lt;=25,"Under 25",A419&lt;=35,"26–35",A419&lt;=45,"36–45",A419&gt;45,"46+")</f>
        <v>36–45</v>
      </c>
      <c r="AK419" t="str" cm="1">
        <f t="array" ref="AK419">_xlfn.IFS(S419&lt;=3000,"Low",S419&lt;=7000,"Mid",S419&lt;=12000,"High",S419&gt;12000,"Top")</f>
        <v>Top</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_xlfn.IFS(A420&lt;=25,"Under 25",A420&lt;=35,"26–35",A420&lt;=45,"36–45",A420&gt;45,"46+")</f>
        <v>26–35</v>
      </c>
      <c r="AK420" t="str" cm="1">
        <f t="array" ref="AK420">_xlfn.IFS(S420&lt;=3000,"Low",S420&lt;=7000,"Mid",S420&lt;=12000,"High",S420&gt;12000,"Top")</f>
        <v>Low</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_xlfn.IFS(A421&lt;=25,"Under 25",A421&lt;=35,"26–35",A421&lt;=45,"36–45",A421&gt;45,"46+")</f>
        <v>26–35</v>
      </c>
      <c r="AK421" t="str" cm="1">
        <f t="array" ref="AK421">_xlfn.IFS(S421&lt;=3000,"Low",S421&lt;=7000,"Mid",S421&lt;=12000,"High",S421&gt;12000,"Top")</f>
        <v>Low</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_xlfn.IFS(A422&lt;=25,"Under 25",A422&lt;=35,"26–35",A422&lt;=45,"36–45",A422&gt;45,"46+")</f>
        <v>26–35</v>
      </c>
      <c r="AK422" t="str" cm="1">
        <f t="array" ref="AK422">_xlfn.IFS(S422&lt;=3000,"Low",S422&lt;=7000,"Mid",S422&lt;=12000,"High",S422&gt;12000,"Top")</f>
        <v>High</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_xlfn.IFS(A423&lt;=25,"Under 25",A423&lt;=35,"26–35",A423&lt;=45,"36–45",A423&gt;45,"46+")</f>
        <v>26–35</v>
      </c>
      <c r="AK423" t="str" cm="1">
        <f t="array" ref="AK423">_xlfn.IFS(S423&lt;=3000,"Low",S423&lt;=7000,"Mid",S423&lt;=12000,"High",S423&gt;12000,"Top")</f>
        <v>Low</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_xlfn.IFS(A424&lt;=25,"Under 25",A424&lt;=35,"26–35",A424&lt;=45,"36–45",A424&gt;45,"46+")</f>
        <v>Under 25</v>
      </c>
      <c r="AK424" t="str" cm="1">
        <f t="array" ref="AK424">_xlfn.IFS(S424&lt;=3000,"Low",S424&lt;=7000,"Mid",S424&lt;=12000,"High",S424&gt;12000,"Top")</f>
        <v>Low</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_xlfn.IFS(A425&lt;=25,"Under 25",A425&lt;=35,"26–35",A425&lt;=45,"36–45",A425&gt;45,"46+")</f>
        <v>26–35</v>
      </c>
      <c r="AK425" t="str" cm="1">
        <f t="array" ref="AK425">_xlfn.IFS(S425&lt;=3000,"Low",S425&lt;=7000,"Mid",S425&lt;=12000,"High",S425&gt;12000,"Top")</f>
        <v>High</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_xlfn.IFS(A426&lt;=25,"Under 25",A426&lt;=35,"26–35",A426&lt;=45,"36–45",A426&gt;45,"46+")</f>
        <v>46+</v>
      </c>
      <c r="AK426" t="str" cm="1">
        <f t="array" ref="AK426">_xlfn.IFS(S426&lt;=3000,"Low",S426&lt;=7000,"Mid",S426&lt;=12000,"High",S426&gt;12000,"Top")</f>
        <v>Top</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_xlfn.IFS(A427&lt;=25,"Under 25",A427&lt;=35,"26–35",A427&lt;=45,"36–45",A427&gt;45,"46+")</f>
        <v>46+</v>
      </c>
      <c r="AK427" t="str" cm="1">
        <f t="array" ref="AK427">_xlfn.IFS(S427&lt;=3000,"Low",S427&lt;=7000,"Mid",S427&lt;=12000,"High",S427&gt;12000,"Top")</f>
        <v>Top</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_xlfn.IFS(A428&lt;=25,"Under 25",A428&lt;=35,"26–35",A428&lt;=45,"36–45",A428&gt;45,"46+")</f>
        <v>26–35</v>
      </c>
      <c r="AK428" t="str" cm="1">
        <f t="array" ref="AK428">_xlfn.IFS(S428&lt;=3000,"Low",S428&lt;=7000,"Mid",S428&lt;=12000,"High",S428&gt;12000,"Top")</f>
        <v>Low</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_xlfn.IFS(A429&lt;=25,"Under 25",A429&lt;=35,"26–35",A429&lt;=45,"36–45",A429&gt;45,"46+")</f>
        <v>46+</v>
      </c>
      <c r="AK429" t="str" cm="1">
        <f t="array" ref="AK429">_xlfn.IFS(S429&lt;=3000,"Low",S429&lt;=7000,"Mid",S429&lt;=12000,"High",S429&gt;12000,"Top")</f>
        <v>High</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_xlfn.IFS(A430&lt;=25,"Under 25",A430&lt;=35,"26–35",A430&lt;=45,"36–45",A430&gt;45,"46+")</f>
        <v>46+</v>
      </c>
      <c r="AK430" t="str" cm="1">
        <f t="array" ref="AK430">_xlfn.IFS(S430&lt;=3000,"Low",S430&lt;=7000,"Mid",S430&lt;=12000,"High",S430&gt;12000,"Top")</f>
        <v>Mid</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_xlfn.IFS(A431&lt;=25,"Under 25",A431&lt;=35,"26–35",A431&lt;=45,"36–45",A431&gt;45,"46+")</f>
        <v>46+</v>
      </c>
      <c r="AK431" t="str" cm="1">
        <f t="array" ref="AK431">_xlfn.IFS(S431&lt;=3000,"Low",S431&lt;=7000,"Mid",S431&lt;=12000,"High",S431&gt;12000,"Top")</f>
        <v>Top</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_xlfn.IFS(A432&lt;=25,"Under 25",A432&lt;=35,"26–35",A432&lt;=45,"36–45",A432&gt;45,"46+")</f>
        <v>26–35</v>
      </c>
      <c r="AK432" t="str" cm="1">
        <f t="array" ref="AK432">_xlfn.IFS(S432&lt;=3000,"Low",S432&lt;=7000,"Mid",S432&lt;=12000,"High",S432&gt;12000,"Top")</f>
        <v>Mid</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_xlfn.IFS(A433&lt;=25,"Under 25",A433&lt;=35,"26–35",A433&lt;=45,"36–45",A433&gt;45,"46+")</f>
        <v>46+</v>
      </c>
      <c r="AK433" t="str" cm="1">
        <f t="array" ref="AK433">_xlfn.IFS(S433&lt;=3000,"Low",S433&lt;=7000,"Mid",S433&lt;=12000,"High",S433&gt;12000,"Top")</f>
        <v>Mid</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_xlfn.IFS(A434&lt;=25,"Under 25",A434&lt;=35,"26–35",A434&lt;=45,"36–45",A434&gt;45,"46+")</f>
        <v>26–35</v>
      </c>
      <c r="AK434" t="str" cm="1">
        <f t="array" ref="AK434">_xlfn.IFS(S434&lt;=3000,"Low",S434&lt;=7000,"Mid",S434&lt;=12000,"High",S434&gt;12000,"Top")</f>
        <v>Low</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_xlfn.IFS(A435&lt;=25,"Under 25",A435&lt;=35,"26–35",A435&lt;=45,"36–45",A435&gt;45,"46+")</f>
        <v>46+</v>
      </c>
      <c r="AK435" t="str" cm="1">
        <f t="array" ref="AK435">_xlfn.IFS(S435&lt;=3000,"Low",S435&lt;=7000,"Mid",S435&lt;=12000,"High",S435&gt;12000,"Top")</f>
        <v>High</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_xlfn.IFS(A436&lt;=25,"Under 25",A436&lt;=35,"26–35",A436&lt;=45,"36–45",A436&gt;45,"46+")</f>
        <v>26–35</v>
      </c>
      <c r="AK436" t="str" cm="1">
        <f t="array" ref="AK436">_xlfn.IFS(S436&lt;=3000,"Low",S436&lt;=7000,"Mid",S436&lt;=12000,"High",S436&gt;12000,"Top")</f>
        <v>High</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_xlfn.IFS(A437&lt;=25,"Under 25",A437&lt;=35,"26–35",A437&lt;=45,"36–45",A437&gt;45,"46+")</f>
        <v>26–35</v>
      </c>
      <c r="AK437" t="str" cm="1">
        <f t="array" ref="AK437">_xlfn.IFS(S437&lt;=3000,"Low",S437&lt;=7000,"Mid",S437&lt;=12000,"High",S437&gt;12000,"Top")</f>
        <v>Top</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_xlfn.IFS(A438&lt;=25,"Under 25",A438&lt;=35,"26–35",A438&lt;=45,"36–45",A438&gt;45,"46+")</f>
        <v>26–35</v>
      </c>
      <c r="AK438" t="str" cm="1">
        <f t="array" ref="AK438">_xlfn.IFS(S438&lt;=3000,"Low",S438&lt;=7000,"Mid",S438&lt;=12000,"High",S438&gt;12000,"Top")</f>
        <v>Mid</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_xlfn.IFS(A439&lt;=25,"Under 25",A439&lt;=35,"26–35",A439&lt;=45,"36–45",A439&gt;45,"46+")</f>
        <v>26–35</v>
      </c>
      <c r="AK439" t="str" cm="1">
        <f t="array" ref="AK439">_xlfn.IFS(S439&lt;=3000,"Low",S439&lt;=7000,"Mid",S439&lt;=12000,"High",S439&gt;12000,"Top")</f>
        <v>Low</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_xlfn.IFS(A440&lt;=25,"Under 25",A440&lt;=35,"26–35",A440&lt;=45,"36–45",A440&gt;45,"46+")</f>
        <v>26–35</v>
      </c>
      <c r="AK440" t="str" cm="1">
        <f t="array" ref="AK440">_xlfn.IFS(S440&lt;=3000,"Low",S440&lt;=7000,"Mid",S440&lt;=12000,"High",S440&gt;12000,"Top")</f>
        <v>High</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_xlfn.IFS(A441&lt;=25,"Under 25",A441&lt;=35,"26–35",A441&lt;=45,"36–45",A441&gt;45,"46+")</f>
        <v>26–35</v>
      </c>
      <c r="AK441" t="str" cm="1">
        <f t="array" ref="AK441">_xlfn.IFS(S441&lt;=3000,"Low",S441&lt;=7000,"Mid",S441&lt;=12000,"High",S441&gt;12000,"Top")</f>
        <v>High</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_xlfn.IFS(A442&lt;=25,"Under 25",A442&lt;=35,"26–35",A442&lt;=45,"36–45",A442&gt;45,"46+")</f>
        <v>26–35</v>
      </c>
      <c r="AK442" t="str" cm="1">
        <f t="array" ref="AK442">_xlfn.IFS(S442&lt;=3000,"Low",S442&lt;=7000,"Mid",S442&lt;=12000,"High",S442&gt;12000,"Top")</f>
        <v>High</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_xlfn.IFS(A443&lt;=25,"Under 25",A443&lt;=35,"26–35",A443&lt;=45,"36–45",A443&gt;45,"46+")</f>
        <v>36–45</v>
      </c>
      <c r="AK443" t="str" cm="1">
        <f t="array" ref="AK443">_xlfn.IFS(S443&lt;=3000,"Low",S443&lt;=7000,"Mid",S443&lt;=12000,"High",S443&gt;12000,"Top")</f>
        <v>Low</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_xlfn.IFS(A444&lt;=25,"Under 25",A444&lt;=35,"26–35",A444&lt;=45,"36–45",A444&gt;45,"46+")</f>
        <v>36–45</v>
      </c>
      <c r="AK444" t="str" cm="1">
        <f t="array" ref="AK444">_xlfn.IFS(S444&lt;=3000,"Low",S444&lt;=7000,"Mid",S444&lt;=12000,"High",S444&gt;12000,"Top")</f>
        <v>High</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_xlfn.IFS(A445&lt;=25,"Under 25",A445&lt;=35,"26–35",A445&lt;=45,"36–45",A445&gt;45,"46+")</f>
        <v>Under 25</v>
      </c>
      <c r="AK445" t="str" cm="1">
        <f t="array" ref="AK445">_xlfn.IFS(S445&lt;=3000,"Low",S445&lt;=7000,"Mid",S445&lt;=12000,"High",S445&gt;12000,"Top")</f>
        <v>Mid</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_xlfn.IFS(A446&lt;=25,"Under 25",A446&lt;=35,"26–35",A446&lt;=45,"36–45",A446&gt;45,"46+")</f>
        <v>46+</v>
      </c>
      <c r="AK446" t="str" cm="1">
        <f t="array" ref="AK446">_xlfn.IFS(S446&lt;=3000,"Low",S446&lt;=7000,"Mid",S446&lt;=12000,"High",S446&gt;12000,"Top")</f>
        <v>Mid</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_xlfn.IFS(A447&lt;=25,"Under 25",A447&lt;=35,"26–35",A447&lt;=45,"36–45",A447&gt;45,"46+")</f>
        <v>46+</v>
      </c>
      <c r="AK447" t="str" cm="1">
        <f t="array" ref="AK447">_xlfn.IFS(S447&lt;=3000,"Low",S447&lt;=7000,"Mid",S447&lt;=12000,"High",S447&gt;12000,"Top")</f>
        <v>Top</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_xlfn.IFS(A448&lt;=25,"Under 25",A448&lt;=35,"26–35",A448&lt;=45,"36–45",A448&gt;45,"46+")</f>
        <v>36–45</v>
      </c>
      <c r="AK448" t="str" cm="1">
        <f t="array" ref="AK448">_xlfn.IFS(S448&lt;=3000,"Low",S448&lt;=7000,"Mid",S448&lt;=12000,"High",S448&gt;12000,"Top")</f>
        <v>Mid</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_xlfn.IFS(A449&lt;=25,"Under 25",A449&lt;=35,"26–35",A449&lt;=45,"36–45",A449&gt;45,"46+")</f>
        <v>26–35</v>
      </c>
      <c r="AK449" t="str" cm="1">
        <f t="array" ref="AK449">_xlfn.IFS(S449&lt;=3000,"Low",S449&lt;=7000,"Mid",S449&lt;=12000,"High",S449&gt;12000,"Top")</f>
        <v>Mid</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_xlfn.IFS(A450&lt;=25,"Under 25",A450&lt;=35,"26–35",A450&lt;=45,"36–45",A450&gt;45,"46+")</f>
        <v>36–45</v>
      </c>
      <c r="AK450" t="str" cm="1">
        <f t="array" ref="AK450">_xlfn.IFS(S450&lt;=3000,"Low",S450&lt;=7000,"Mid",S450&lt;=12000,"High",S450&gt;12000,"Top")</f>
        <v>Top</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_xlfn.IFS(A451&lt;=25,"Under 25",A451&lt;=35,"26–35",A451&lt;=45,"36–45",A451&gt;45,"46+")</f>
        <v>36–45</v>
      </c>
      <c r="AK451" t="str" cm="1">
        <f t="array" ref="AK451">_xlfn.IFS(S451&lt;=3000,"Low",S451&lt;=7000,"Mid",S451&lt;=12000,"High",S451&gt;12000,"Top")</f>
        <v>Mid</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_xlfn.IFS(A452&lt;=25,"Under 25",A452&lt;=35,"26–35",A452&lt;=45,"36–45",A452&gt;45,"46+")</f>
        <v>26–35</v>
      </c>
      <c r="AK452" t="str" cm="1">
        <f t="array" ref="AK452">_xlfn.IFS(S452&lt;=3000,"Low",S452&lt;=7000,"Mid",S452&lt;=12000,"High",S452&gt;12000,"Top")</f>
        <v>Mid</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_xlfn.IFS(A453&lt;=25,"Under 25",A453&lt;=35,"26–35",A453&lt;=45,"36–45",A453&gt;45,"46+")</f>
        <v>36–45</v>
      </c>
      <c r="AK453" t="str" cm="1">
        <f t="array" ref="AK453">_xlfn.IFS(S453&lt;=3000,"Low",S453&lt;=7000,"Mid",S453&lt;=12000,"High",S453&gt;12000,"Top")</f>
        <v>High</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_xlfn.IFS(A454&lt;=25,"Under 25",A454&lt;=35,"26–35",A454&lt;=45,"36–45",A454&gt;45,"46+")</f>
        <v>36–45</v>
      </c>
      <c r="AK454" t="str" cm="1">
        <f t="array" ref="AK454">_xlfn.IFS(S454&lt;=3000,"Low",S454&lt;=7000,"Mid",S454&lt;=12000,"High",S454&gt;12000,"Top")</f>
        <v>Mid</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_xlfn.IFS(A455&lt;=25,"Under 25",A455&lt;=35,"26–35",A455&lt;=45,"36–45",A455&gt;45,"46+")</f>
        <v>26–35</v>
      </c>
      <c r="AK455" t="str" cm="1">
        <f t="array" ref="AK455">_xlfn.IFS(S455&lt;=3000,"Low",S455&lt;=7000,"Mid",S455&lt;=12000,"High",S455&gt;12000,"Top")</f>
        <v>Low</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_xlfn.IFS(A456&lt;=25,"Under 25",A456&lt;=35,"26–35",A456&lt;=45,"36–45",A456&gt;45,"46+")</f>
        <v>26–35</v>
      </c>
      <c r="AK456" t="str" cm="1">
        <f t="array" ref="AK456">_xlfn.IFS(S456&lt;=3000,"Low",S456&lt;=7000,"Mid",S456&lt;=12000,"High",S456&gt;12000,"Top")</f>
        <v>Mid</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_xlfn.IFS(A457&lt;=25,"Under 25",A457&lt;=35,"26–35",A457&lt;=45,"36–45",A457&gt;45,"46+")</f>
        <v>26–35</v>
      </c>
      <c r="AK457" t="str" cm="1">
        <f t="array" ref="AK457">_xlfn.IFS(S457&lt;=3000,"Low",S457&lt;=7000,"Mid",S457&lt;=12000,"High",S457&gt;12000,"Top")</f>
        <v>Top</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_xlfn.IFS(A458&lt;=25,"Under 25",A458&lt;=35,"26–35",A458&lt;=45,"36–45",A458&gt;45,"46+")</f>
        <v>26–35</v>
      </c>
      <c r="AK458" t="str" cm="1">
        <f t="array" ref="AK458">_xlfn.IFS(S458&lt;=3000,"Low",S458&lt;=7000,"Mid",S458&lt;=12000,"High",S458&gt;12000,"Top")</f>
        <v>High</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_xlfn.IFS(A459&lt;=25,"Under 25",A459&lt;=35,"26–35",A459&lt;=45,"36–45",A459&gt;45,"46+")</f>
        <v>Under 25</v>
      </c>
      <c r="AK459" t="str" cm="1">
        <f t="array" ref="AK459">_xlfn.IFS(S459&lt;=3000,"Low",S459&lt;=7000,"Mid",S459&lt;=12000,"High",S459&gt;12000,"Top")</f>
        <v>Low</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_xlfn.IFS(A460&lt;=25,"Under 25",A460&lt;=35,"26–35",A460&lt;=45,"36–45",A460&gt;45,"46+")</f>
        <v>36–45</v>
      </c>
      <c r="AK460" t="str" cm="1">
        <f t="array" ref="AK460">_xlfn.IFS(S460&lt;=3000,"Low",S460&lt;=7000,"Mid",S460&lt;=12000,"High",S460&gt;12000,"Top")</f>
        <v>High</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_xlfn.IFS(A461&lt;=25,"Under 25",A461&lt;=35,"26–35",A461&lt;=45,"36–45",A461&gt;45,"46+")</f>
        <v>36–45</v>
      </c>
      <c r="AK461" t="str" cm="1">
        <f t="array" ref="AK461">_xlfn.IFS(S461&lt;=3000,"Low",S461&lt;=7000,"Mid",S461&lt;=12000,"High",S461&gt;12000,"Top")</f>
        <v>Mid</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_xlfn.IFS(A462&lt;=25,"Under 25",A462&lt;=35,"26–35",A462&lt;=45,"36–45",A462&gt;45,"46+")</f>
        <v>26–35</v>
      </c>
      <c r="AK462" t="str" cm="1">
        <f t="array" ref="AK462">_xlfn.IFS(S462&lt;=3000,"Low",S462&lt;=7000,"Mid",S462&lt;=12000,"High",S462&gt;12000,"Top")</f>
        <v>Mid</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_xlfn.IFS(A463&lt;=25,"Under 25",A463&lt;=35,"26–35",A463&lt;=45,"36–45",A463&gt;45,"46+")</f>
        <v>26–35</v>
      </c>
      <c r="AK463" t="str" cm="1">
        <f t="array" ref="AK463">_xlfn.IFS(S463&lt;=3000,"Low",S463&lt;=7000,"Mid",S463&lt;=12000,"High",S463&gt;12000,"Top")</f>
        <v>Mid</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_xlfn.IFS(A464&lt;=25,"Under 25",A464&lt;=35,"26–35",A464&lt;=45,"36–45",A464&gt;45,"46+")</f>
        <v>26–35</v>
      </c>
      <c r="AK464" t="str" cm="1">
        <f t="array" ref="AK464">_xlfn.IFS(S464&lt;=3000,"Low",S464&lt;=7000,"Mid",S464&lt;=12000,"High",S464&gt;12000,"Top")</f>
        <v>Mid</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_xlfn.IFS(A465&lt;=25,"Under 25",A465&lt;=35,"26–35",A465&lt;=45,"36–45",A465&gt;45,"46+")</f>
        <v>26–35</v>
      </c>
      <c r="AK465" t="str" cm="1">
        <f t="array" ref="AK465">_xlfn.IFS(S465&lt;=3000,"Low",S465&lt;=7000,"Mid",S465&lt;=12000,"High",S465&gt;12000,"Top")</f>
        <v>Low</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_xlfn.IFS(A466&lt;=25,"Under 25",A466&lt;=35,"26–35",A466&lt;=45,"36–45",A466&gt;45,"46+")</f>
        <v>36–45</v>
      </c>
      <c r="AK466" t="str" cm="1">
        <f t="array" ref="AK466">_xlfn.IFS(S466&lt;=3000,"Low",S466&lt;=7000,"Mid",S466&lt;=12000,"High",S466&gt;12000,"Top")</f>
        <v>High</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_xlfn.IFS(A467&lt;=25,"Under 25",A467&lt;=35,"26–35",A467&lt;=45,"36–45",A467&gt;45,"46+")</f>
        <v>46+</v>
      </c>
      <c r="AK467" t="str" cm="1">
        <f t="array" ref="AK467">_xlfn.IFS(S467&lt;=3000,"Low",S467&lt;=7000,"Mid",S467&lt;=12000,"High",S467&gt;12000,"Top")</f>
        <v>High</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_xlfn.IFS(A468&lt;=25,"Under 25",A468&lt;=35,"26–35",A468&lt;=45,"36–45",A468&gt;45,"46+")</f>
        <v>36–45</v>
      </c>
      <c r="AK468" t="str" cm="1">
        <f t="array" ref="AK468">_xlfn.IFS(S468&lt;=3000,"Low",S468&lt;=7000,"Mid",S468&lt;=12000,"High",S468&gt;12000,"Top")</f>
        <v>Top</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_xlfn.IFS(A469&lt;=25,"Under 25",A469&lt;=35,"26–35",A469&lt;=45,"36–45",A469&gt;45,"46+")</f>
        <v>36–45</v>
      </c>
      <c r="AK469" t="str" cm="1">
        <f t="array" ref="AK469">_xlfn.IFS(S469&lt;=3000,"Low",S469&lt;=7000,"Mid",S469&lt;=12000,"High",S469&gt;12000,"Top")</f>
        <v>High</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_xlfn.IFS(A470&lt;=25,"Under 25",A470&lt;=35,"26–35",A470&lt;=45,"36–45",A470&gt;45,"46+")</f>
        <v>46+</v>
      </c>
      <c r="AK470" t="str" cm="1">
        <f t="array" ref="AK470">_xlfn.IFS(S470&lt;=3000,"Low",S470&lt;=7000,"Mid",S470&lt;=12000,"High",S470&gt;12000,"Top")</f>
        <v>Mid</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_xlfn.IFS(A471&lt;=25,"Under 25",A471&lt;=35,"26–35",A471&lt;=45,"36–45",A471&gt;45,"46+")</f>
        <v>26–35</v>
      </c>
      <c r="AK471" t="str" cm="1">
        <f t="array" ref="AK471">_xlfn.IFS(S471&lt;=3000,"Low",S471&lt;=7000,"Mid",S471&lt;=12000,"High",S471&gt;12000,"Top")</f>
        <v>Mid</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_xlfn.IFS(A472&lt;=25,"Under 25",A472&lt;=35,"26–35",A472&lt;=45,"36–45",A472&gt;45,"46+")</f>
        <v>Under 25</v>
      </c>
      <c r="AK472" t="str" cm="1">
        <f t="array" ref="AK472">_xlfn.IFS(S472&lt;=3000,"Low",S472&lt;=7000,"Mid",S472&lt;=12000,"High",S472&gt;12000,"Top")</f>
        <v>Low</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_xlfn.IFS(A473&lt;=25,"Under 25",A473&lt;=35,"26–35",A473&lt;=45,"36–45",A473&gt;45,"46+")</f>
        <v>36–45</v>
      </c>
      <c r="AK473" t="str" cm="1">
        <f t="array" ref="AK473">_xlfn.IFS(S473&lt;=3000,"Low",S473&lt;=7000,"Mid",S473&lt;=12000,"High",S473&gt;12000,"Top")</f>
        <v>High</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_xlfn.IFS(A474&lt;=25,"Under 25",A474&lt;=35,"26–35",A474&lt;=45,"36–45",A474&gt;45,"46+")</f>
        <v>36–45</v>
      </c>
      <c r="AK474" t="str" cm="1">
        <f t="array" ref="AK474">_xlfn.IFS(S474&lt;=3000,"Low",S474&lt;=7000,"Mid",S474&lt;=12000,"High",S474&gt;12000,"Top")</f>
        <v>Mid</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_xlfn.IFS(A475&lt;=25,"Under 25",A475&lt;=35,"26–35",A475&lt;=45,"36–45",A475&gt;45,"46+")</f>
        <v>46+</v>
      </c>
      <c r="AK475" t="str" cm="1">
        <f t="array" ref="AK475">_xlfn.IFS(S475&lt;=3000,"Low",S475&lt;=7000,"Mid",S475&lt;=12000,"High",S475&gt;12000,"Top")</f>
        <v>Top</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_xlfn.IFS(A476&lt;=25,"Under 25",A476&lt;=35,"26–35",A476&lt;=45,"36–45",A476&gt;45,"46+")</f>
        <v>Under 25</v>
      </c>
      <c r="AK476" t="str" cm="1">
        <f t="array" ref="AK476">_xlfn.IFS(S476&lt;=3000,"Low",S476&lt;=7000,"Mid",S476&lt;=12000,"High",S476&gt;12000,"Top")</f>
        <v>Low</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_xlfn.IFS(A477&lt;=25,"Under 25",A477&lt;=35,"26–35",A477&lt;=45,"36–45",A477&gt;45,"46+")</f>
        <v>26–35</v>
      </c>
      <c r="AK477" t="str" cm="1">
        <f t="array" ref="AK477">_xlfn.IFS(S477&lt;=3000,"Low",S477&lt;=7000,"Mid",S477&lt;=12000,"High",S477&gt;12000,"Top")</f>
        <v>Mid</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_xlfn.IFS(A478&lt;=25,"Under 25",A478&lt;=35,"26–35",A478&lt;=45,"36–45",A478&gt;45,"46+")</f>
        <v>Under 25</v>
      </c>
      <c r="AK478" t="str" cm="1">
        <f t="array" ref="AK478">_xlfn.IFS(S478&lt;=3000,"Low",S478&lt;=7000,"Mid",S478&lt;=12000,"High",S478&gt;12000,"Top")</f>
        <v>Low</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_xlfn.IFS(A479&lt;=25,"Under 25",A479&lt;=35,"26–35",A479&lt;=45,"36–45",A479&gt;45,"46+")</f>
        <v>46+</v>
      </c>
      <c r="AK479" t="str" cm="1">
        <f t="array" ref="AK479">_xlfn.IFS(S479&lt;=3000,"Low",S479&lt;=7000,"Mid",S479&lt;=12000,"High",S479&gt;12000,"Top")</f>
        <v>Top</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_xlfn.IFS(A480&lt;=25,"Under 25",A480&lt;=35,"26–35",A480&lt;=45,"36–45",A480&gt;45,"46+")</f>
        <v>Under 25</v>
      </c>
      <c r="AK480" t="str" cm="1">
        <f t="array" ref="AK480">_xlfn.IFS(S480&lt;=3000,"Low",S480&lt;=7000,"Mid",S480&lt;=12000,"High",S480&gt;12000,"Top")</f>
        <v>Low</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_xlfn.IFS(A481&lt;=25,"Under 25",A481&lt;=35,"26–35",A481&lt;=45,"36–45",A481&gt;45,"46+")</f>
        <v>Under 25</v>
      </c>
      <c r="AK481" t="str" cm="1">
        <f t="array" ref="AK481">_xlfn.IFS(S481&lt;=3000,"Low",S481&lt;=7000,"Mid",S481&lt;=12000,"High",S481&gt;12000,"Top")</f>
        <v>Low</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_xlfn.IFS(A482&lt;=25,"Under 25",A482&lt;=35,"26–35",A482&lt;=45,"36–45",A482&gt;45,"46+")</f>
        <v>26–35</v>
      </c>
      <c r="AK482" t="str" cm="1">
        <f t="array" ref="AK482">_xlfn.IFS(S482&lt;=3000,"Low",S482&lt;=7000,"Mid",S482&lt;=12000,"High",S482&gt;12000,"Top")</f>
        <v>Low</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_xlfn.IFS(A483&lt;=25,"Under 25",A483&lt;=35,"26–35",A483&lt;=45,"36–45",A483&gt;45,"46+")</f>
        <v>26–35</v>
      </c>
      <c r="AK483" t="str" cm="1">
        <f t="array" ref="AK483">_xlfn.IFS(S483&lt;=3000,"Low",S483&lt;=7000,"Mid",S483&lt;=12000,"High",S483&gt;12000,"Top")</f>
        <v>Mid</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_xlfn.IFS(A484&lt;=25,"Under 25",A484&lt;=35,"26–35",A484&lt;=45,"36–45",A484&gt;45,"46+")</f>
        <v>26–35</v>
      </c>
      <c r="AK484" t="str" cm="1">
        <f t="array" ref="AK484">_xlfn.IFS(S484&lt;=3000,"Low",S484&lt;=7000,"Mid",S484&lt;=12000,"High",S484&gt;12000,"Top")</f>
        <v>Mid</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_xlfn.IFS(A485&lt;=25,"Under 25",A485&lt;=35,"26–35",A485&lt;=45,"36–45",A485&gt;45,"46+")</f>
        <v>26–35</v>
      </c>
      <c r="AK485" t="str" cm="1">
        <f t="array" ref="AK485">_xlfn.IFS(S485&lt;=3000,"Low",S485&lt;=7000,"Mid",S485&lt;=12000,"High",S485&gt;12000,"Top")</f>
        <v>Mid</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_xlfn.IFS(A486&lt;=25,"Under 25",A486&lt;=35,"26–35",A486&lt;=45,"36–45",A486&gt;45,"46+")</f>
        <v>26–35</v>
      </c>
      <c r="AK486" t="str" cm="1">
        <f t="array" ref="AK486">_xlfn.IFS(S486&lt;=3000,"Low",S486&lt;=7000,"Mid",S486&lt;=12000,"High",S486&gt;12000,"Top")</f>
        <v>Mid</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_xlfn.IFS(A487&lt;=25,"Under 25",A487&lt;=35,"26–35",A487&lt;=45,"36–45",A487&gt;45,"46+")</f>
        <v>26–35</v>
      </c>
      <c r="AK487" t="str" cm="1">
        <f t="array" ref="AK487">_xlfn.IFS(S487&lt;=3000,"Low",S487&lt;=7000,"Mid",S487&lt;=12000,"High",S487&gt;12000,"Top")</f>
        <v>Low</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_xlfn.IFS(A488&lt;=25,"Under 25",A488&lt;=35,"26–35",A488&lt;=45,"36–45",A488&gt;45,"46+")</f>
        <v>36–45</v>
      </c>
      <c r="AK488" t="str" cm="1">
        <f t="array" ref="AK488">_xlfn.IFS(S488&lt;=3000,"Low",S488&lt;=7000,"Mid",S488&lt;=12000,"High",S488&gt;12000,"Top")</f>
        <v>High</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_xlfn.IFS(A489&lt;=25,"Under 25",A489&lt;=35,"26–35",A489&lt;=45,"36–45",A489&gt;45,"46+")</f>
        <v>Under 25</v>
      </c>
      <c r="AK489" t="str" cm="1">
        <f t="array" ref="AK489">_xlfn.IFS(S489&lt;=3000,"Low",S489&lt;=7000,"Mid",S489&lt;=12000,"High",S489&gt;12000,"Top")</f>
        <v>Low</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_xlfn.IFS(A490&lt;=25,"Under 25",A490&lt;=35,"26–35",A490&lt;=45,"36–45",A490&gt;45,"46+")</f>
        <v>36–45</v>
      </c>
      <c r="AK490" t="str" cm="1">
        <f t="array" ref="AK490">_xlfn.IFS(S490&lt;=3000,"Low",S490&lt;=7000,"Mid",S490&lt;=12000,"High",S490&gt;12000,"Top")</f>
        <v>Mid</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_xlfn.IFS(A491&lt;=25,"Under 25",A491&lt;=35,"26–35",A491&lt;=45,"36–45",A491&gt;45,"46+")</f>
        <v>36–45</v>
      </c>
      <c r="AK491" t="str" cm="1">
        <f t="array" ref="AK491">_xlfn.IFS(S491&lt;=3000,"Low",S491&lt;=7000,"Mid",S491&lt;=12000,"High",S491&gt;12000,"Top")</f>
        <v>Top</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_xlfn.IFS(A492&lt;=25,"Under 25",A492&lt;=35,"26–35",A492&lt;=45,"36–45",A492&gt;45,"46+")</f>
        <v>36–45</v>
      </c>
      <c r="AK492" t="str" cm="1">
        <f t="array" ref="AK492">_xlfn.IFS(S492&lt;=3000,"Low",S492&lt;=7000,"Mid",S492&lt;=12000,"High",S492&gt;12000,"Top")</f>
        <v>Low</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_xlfn.IFS(A493&lt;=25,"Under 25",A493&lt;=35,"26–35",A493&lt;=45,"36–45",A493&gt;45,"46+")</f>
        <v>36–45</v>
      </c>
      <c r="AK493" t="str" cm="1">
        <f t="array" ref="AK493">_xlfn.IFS(S493&lt;=3000,"Low",S493&lt;=7000,"Mid",S493&lt;=12000,"High",S493&gt;12000,"Top")</f>
        <v>Mid</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_xlfn.IFS(A494&lt;=25,"Under 25",A494&lt;=35,"26–35",A494&lt;=45,"36–45",A494&gt;45,"46+")</f>
        <v>46+</v>
      </c>
      <c r="AK494" t="str" cm="1">
        <f t="array" ref="AK494">_xlfn.IFS(S494&lt;=3000,"Low",S494&lt;=7000,"Mid",S494&lt;=12000,"High",S494&gt;12000,"Top")</f>
        <v>Top</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_xlfn.IFS(A495&lt;=25,"Under 25",A495&lt;=35,"26–35",A495&lt;=45,"36–45",A495&gt;45,"46+")</f>
        <v>36–45</v>
      </c>
      <c r="AK495" t="str" cm="1">
        <f t="array" ref="AK495">_xlfn.IFS(S495&lt;=3000,"Low",S495&lt;=7000,"Mid",S495&lt;=12000,"High",S495&gt;12000,"Top")</f>
        <v>Mid</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_xlfn.IFS(A496&lt;=25,"Under 25",A496&lt;=35,"26–35",A496&lt;=45,"36–45",A496&gt;45,"46+")</f>
        <v>26–35</v>
      </c>
      <c r="AK496" t="str" cm="1">
        <f t="array" ref="AK496">_xlfn.IFS(S496&lt;=3000,"Low",S496&lt;=7000,"Mid",S496&lt;=12000,"High",S496&gt;12000,"Top")</f>
        <v>Low</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_xlfn.IFS(A497&lt;=25,"Under 25",A497&lt;=35,"26–35",A497&lt;=45,"36–45",A497&gt;45,"46+")</f>
        <v>26–35</v>
      </c>
      <c r="AK497" t="str" cm="1">
        <f t="array" ref="AK497">_xlfn.IFS(S497&lt;=3000,"Low",S497&lt;=7000,"Mid",S497&lt;=12000,"High",S497&gt;12000,"Top")</f>
        <v>Mid</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_xlfn.IFS(A498&lt;=25,"Under 25",A498&lt;=35,"26–35",A498&lt;=45,"36–45",A498&gt;45,"46+")</f>
        <v>Under 25</v>
      </c>
      <c r="AK498" t="str" cm="1">
        <f t="array" ref="AK498">_xlfn.IFS(S498&lt;=3000,"Low",S498&lt;=7000,"Mid",S498&lt;=12000,"High",S498&gt;12000,"Top")</f>
        <v>Mid</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_xlfn.IFS(A499&lt;=25,"Under 25",A499&lt;=35,"26–35",A499&lt;=45,"36–45",A499&gt;45,"46+")</f>
        <v>36–45</v>
      </c>
      <c r="AK499" t="str" cm="1">
        <f t="array" ref="AK499">_xlfn.IFS(S499&lt;=3000,"Low",S499&lt;=7000,"Mid",S499&lt;=12000,"High",S499&gt;12000,"Top")</f>
        <v>Top</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_xlfn.IFS(A500&lt;=25,"Under 25",A500&lt;=35,"26–35",A500&lt;=45,"36–45",A500&gt;45,"46+")</f>
        <v>Under 25</v>
      </c>
      <c r="AK500" t="str" cm="1">
        <f t="array" ref="AK500">_xlfn.IFS(S500&lt;=3000,"Low",S500&lt;=7000,"Mid",S500&lt;=12000,"High",S500&gt;12000,"Top")</f>
        <v>Low</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_xlfn.IFS(A501&lt;=25,"Under 25",A501&lt;=35,"26–35",A501&lt;=45,"36–45",A501&gt;45,"46+")</f>
        <v>26–35</v>
      </c>
      <c r="AK501" t="str" cm="1">
        <f t="array" ref="AK501">_xlfn.IFS(S501&lt;=3000,"Low",S501&lt;=7000,"Mid",S501&lt;=12000,"High",S501&gt;12000,"Top")</f>
        <v>High</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_xlfn.IFS(A502&lt;=25,"Under 25",A502&lt;=35,"26–35",A502&lt;=45,"36–45",A502&gt;45,"46+")</f>
        <v>26–35</v>
      </c>
      <c r="AK502" t="str" cm="1">
        <f t="array" ref="AK502">_xlfn.IFS(S502&lt;=3000,"Low",S502&lt;=7000,"Mid",S502&lt;=12000,"High",S502&gt;12000,"Top")</f>
        <v>Mid</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_xlfn.IFS(A503&lt;=25,"Under 25",A503&lt;=35,"26–35",A503&lt;=45,"36–45",A503&gt;45,"46+")</f>
        <v>26–35</v>
      </c>
      <c r="AK503" t="str" cm="1">
        <f t="array" ref="AK503">_xlfn.IFS(S503&lt;=3000,"Low",S503&lt;=7000,"Mid",S503&lt;=12000,"High",S503&gt;12000,"Top")</f>
        <v>Low</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_xlfn.IFS(A504&lt;=25,"Under 25",A504&lt;=35,"26–35",A504&lt;=45,"36–45",A504&gt;45,"46+")</f>
        <v>46+</v>
      </c>
      <c r="AK504" t="str" cm="1">
        <f t="array" ref="AK504">_xlfn.IFS(S504&lt;=3000,"Low",S504&lt;=7000,"Mid",S504&lt;=12000,"High",S504&gt;12000,"Top")</f>
        <v>High</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_xlfn.IFS(A505&lt;=25,"Under 25",A505&lt;=35,"26–35",A505&lt;=45,"36–45",A505&gt;45,"46+")</f>
        <v>26–35</v>
      </c>
      <c r="AK505" t="str" cm="1">
        <f t="array" ref="AK505">_xlfn.IFS(S505&lt;=3000,"Low",S505&lt;=7000,"Mid",S505&lt;=12000,"High",S505&gt;12000,"Top")</f>
        <v>Low</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_xlfn.IFS(A506&lt;=25,"Under 25",A506&lt;=35,"26–35",A506&lt;=45,"36–45",A506&gt;45,"46+")</f>
        <v>36–45</v>
      </c>
      <c r="AK506" t="str" cm="1">
        <f t="array" ref="AK506">_xlfn.IFS(S506&lt;=3000,"Low",S506&lt;=7000,"Mid",S506&lt;=12000,"High",S506&gt;12000,"Top")</f>
        <v>Mid</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_xlfn.IFS(A507&lt;=25,"Under 25",A507&lt;=35,"26–35",A507&lt;=45,"36–45",A507&gt;45,"46+")</f>
        <v>26–35</v>
      </c>
      <c r="AK507" t="str" cm="1">
        <f t="array" ref="AK507">_xlfn.IFS(S507&lt;=3000,"Low",S507&lt;=7000,"Mid",S507&lt;=12000,"High",S507&gt;12000,"Top")</f>
        <v>Low</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_xlfn.IFS(A508&lt;=25,"Under 25",A508&lt;=35,"26–35",A508&lt;=45,"36–45",A508&gt;45,"46+")</f>
        <v>36–45</v>
      </c>
      <c r="AK508" t="str" cm="1">
        <f t="array" ref="AK508">_xlfn.IFS(S508&lt;=3000,"Low",S508&lt;=7000,"Mid",S508&lt;=12000,"High",S508&gt;12000,"Top")</f>
        <v>High</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_xlfn.IFS(A509&lt;=25,"Under 25",A509&lt;=35,"26–35",A509&lt;=45,"36–45",A509&gt;45,"46+")</f>
        <v>26–35</v>
      </c>
      <c r="AK509" t="str" cm="1">
        <f t="array" ref="AK509">_xlfn.IFS(S509&lt;=3000,"Low",S509&lt;=7000,"Mid",S509&lt;=12000,"High",S509&gt;12000,"Top")</f>
        <v>Mid</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_xlfn.IFS(A510&lt;=25,"Under 25",A510&lt;=35,"26–35",A510&lt;=45,"36–45",A510&gt;45,"46+")</f>
        <v>26–35</v>
      </c>
      <c r="AK510" t="str" cm="1">
        <f t="array" ref="AK510">_xlfn.IFS(S510&lt;=3000,"Low",S510&lt;=7000,"Mid",S510&lt;=12000,"High",S510&gt;12000,"Top")</f>
        <v>Mid</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_xlfn.IFS(A511&lt;=25,"Under 25",A511&lt;=35,"26–35",A511&lt;=45,"36–45",A511&gt;45,"46+")</f>
        <v>26–35</v>
      </c>
      <c r="AK511" t="str" cm="1">
        <f t="array" ref="AK511">_xlfn.IFS(S511&lt;=3000,"Low",S511&lt;=7000,"Mid",S511&lt;=12000,"High",S511&gt;12000,"Top")</f>
        <v>High</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_xlfn.IFS(A512&lt;=25,"Under 25",A512&lt;=35,"26–35",A512&lt;=45,"36–45",A512&gt;45,"46+")</f>
        <v>46+</v>
      </c>
      <c r="AK512" t="str" cm="1">
        <f t="array" ref="AK512">_xlfn.IFS(S512&lt;=3000,"Low",S512&lt;=7000,"Mid",S512&lt;=12000,"High",S512&gt;12000,"Top")</f>
        <v>High</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_xlfn.IFS(A513&lt;=25,"Under 25",A513&lt;=35,"26–35",A513&lt;=45,"36–45",A513&gt;45,"46+")</f>
        <v>36–45</v>
      </c>
      <c r="AK513" t="str" cm="1">
        <f t="array" ref="AK513">_xlfn.IFS(S513&lt;=3000,"Low",S513&lt;=7000,"Mid",S513&lt;=12000,"High",S513&gt;12000,"Top")</f>
        <v>High</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_xlfn.IFS(A514&lt;=25,"Under 25",A514&lt;=35,"26–35",A514&lt;=45,"36–45",A514&gt;45,"46+")</f>
        <v>26–35</v>
      </c>
      <c r="AK514" t="str" cm="1">
        <f t="array" ref="AK514">_xlfn.IFS(S514&lt;=3000,"Low",S514&lt;=7000,"Mid",S514&lt;=12000,"High",S514&gt;12000,"Top")</f>
        <v>Low</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_xlfn.IFS(A515&lt;=25,"Under 25",A515&lt;=35,"26–35",A515&lt;=45,"36–45",A515&gt;45,"46+")</f>
        <v>Under 25</v>
      </c>
      <c r="AK515" t="str" cm="1">
        <f t="array" ref="AK515">_xlfn.IFS(S515&lt;=3000,"Low",S515&lt;=7000,"Mid",S515&lt;=12000,"High",S515&gt;12000,"Top")</f>
        <v>Low</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_xlfn.IFS(A516&lt;=25,"Under 25",A516&lt;=35,"26–35",A516&lt;=45,"36–45",A516&gt;45,"46+")</f>
        <v>26–35</v>
      </c>
      <c r="AK516" t="str" cm="1">
        <f t="array" ref="AK516">_xlfn.IFS(S516&lt;=3000,"Low",S516&lt;=7000,"Mid",S516&lt;=12000,"High",S516&gt;12000,"Top")</f>
        <v>Mid</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_xlfn.IFS(A517&lt;=25,"Under 25",A517&lt;=35,"26–35",A517&lt;=45,"36–45",A517&gt;45,"46+")</f>
        <v>26–35</v>
      </c>
      <c r="AK517" t="str" cm="1">
        <f t="array" ref="AK517">_xlfn.IFS(S517&lt;=3000,"Low",S517&lt;=7000,"Mid",S517&lt;=12000,"High",S517&gt;12000,"Top")</f>
        <v>Low</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_xlfn.IFS(A518&lt;=25,"Under 25",A518&lt;=35,"26–35",A518&lt;=45,"36–45",A518&gt;45,"46+")</f>
        <v>Under 25</v>
      </c>
      <c r="AK518" t="str" cm="1">
        <f t="array" ref="AK518">_xlfn.IFS(S518&lt;=3000,"Low",S518&lt;=7000,"Mid",S518&lt;=12000,"High",S518&gt;12000,"Top")</f>
        <v>Low</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_xlfn.IFS(A519&lt;=25,"Under 25",A519&lt;=35,"26–35",A519&lt;=45,"36–45",A519&gt;45,"46+")</f>
        <v>Under 25</v>
      </c>
      <c r="AK519" t="str" cm="1">
        <f t="array" ref="AK519">_xlfn.IFS(S519&lt;=3000,"Low",S519&lt;=7000,"Mid",S519&lt;=12000,"High",S519&gt;12000,"Top")</f>
        <v>Mid</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_xlfn.IFS(A520&lt;=25,"Under 25",A520&lt;=35,"26–35",A520&lt;=45,"36–45",A520&gt;45,"46+")</f>
        <v>36–45</v>
      </c>
      <c r="AK520" t="str" cm="1">
        <f t="array" ref="AK520">_xlfn.IFS(S520&lt;=3000,"Low",S520&lt;=7000,"Mid",S520&lt;=12000,"High",S520&gt;12000,"Top")</f>
        <v>Mid</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_xlfn.IFS(A521&lt;=25,"Under 25",A521&lt;=35,"26–35",A521&lt;=45,"36–45",A521&gt;45,"46+")</f>
        <v>26–35</v>
      </c>
      <c r="AK521" t="str" cm="1">
        <f t="array" ref="AK521">_xlfn.IFS(S521&lt;=3000,"Low",S521&lt;=7000,"Mid",S521&lt;=12000,"High",S521&gt;12000,"Top")</f>
        <v>Low</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_xlfn.IFS(A522&lt;=25,"Under 25",A522&lt;=35,"26–35",A522&lt;=45,"36–45",A522&gt;45,"46+")</f>
        <v>46+</v>
      </c>
      <c r="AK522" t="str" cm="1">
        <f t="array" ref="AK522">_xlfn.IFS(S522&lt;=3000,"Low",S522&lt;=7000,"Mid",S522&lt;=12000,"High",S522&gt;12000,"Top")</f>
        <v>High</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_xlfn.IFS(A523&lt;=25,"Under 25",A523&lt;=35,"26–35",A523&lt;=45,"36–45",A523&gt;45,"46+")</f>
        <v>26–35</v>
      </c>
      <c r="AK523" t="str" cm="1">
        <f t="array" ref="AK523">_xlfn.IFS(S523&lt;=3000,"Low",S523&lt;=7000,"Mid",S523&lt;=12000,"High",S523&gt;12000,"Top")</f>
        <v>Mid</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_xlfn.IFS(A524&lt;=25,"Under 25",A524&lt;=35,"26–35",A524&lt;=45,"36–45",A524&gt;45,"46+")</f>
        <v>36–45</v>
      </c>
      <c r="AK524" t="str" cm="1">
        <f t="array" ref="AK524">_xlfn.IFS(S524&lt;=3000,"Low",S524&lt;=7000,"Mid",S524&lt;=12000,"High",S524&gt;12000,"Top")</f>
        <v>Mid</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_xlfn.IFS(A525&lt;=25,"Under 25",A525&lt;=35,"26–35",A525&lt;=45,"36–45",A525&gt;45,"46+")</f>
        <v>46+</v>
      </c>
      <c r="AK525" t="str" cm="1">
        <f t="array" ref="AK525">_xlfn.IFS(S525&lt;=3000,"Low",S525&lt;=7000,"Mid",S525&lt;=12000,"High",S525&gt;12000,"Top")</f>
        <v>Mid</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_xlfn.IFS(A526&lt;=25,"Under 25",A526&lt;=35,"26–35",A526&lt;=45,"36–45",A526&gt;45,"46+")</f>
        <v>26–35</v>
      </c>
      <c r="AK526" t="str" cm="1">
        <f t="array" ref="AK526">_xlfn.IFS(S526&lt;=3000,"Low",S526&lt;=7000,"Mid",S526&lt;=12000,"High",S526&gt;12000,"Top")</f>
        <v>High</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_xlfn.IFS(A527&lt;=25,"Under 25",A527&lt;=35,"26–35",A527&lt;=45,"36–45",A527&gt;45,"46+")</f>
        <v>Under 25</v>
      </c>
      <c r="AK527" t="str" cm="1">
        <f t="array" ref="AK527">_xlfn.IFS(S527&lt;=3000,"Low",S527&lt;=7000,"Mid",S527&lt;=12000,"High",S527&gt;12000,"Top")</f>
        <v>Mid</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_xlfn.IFS(A528&lt;=25,"Under 25",A528&lt;=35,"26–35",A528&lt;=45,"36–45",A528&gt;45,"46+")</f>
        <v>36–45</v>
      </c>
      <c r="AK528" t="str" cm="1">
        <f t="array" ref="AK528">_xlfn.IFS(S528&lt;=3000,"Low",S528&lt;=7000,"Mid",S528&lt;=12000,"High",S528&gt;12000,"Top")</f>
        <v>Mid</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_xlfn.IFS(A529&lt;=25,"Under 25",A529&lt;=35,"26–35",A529&lt;=45,"36–45",A529&gt;45,"46+")</f>
        <v>26–35</v>
      </c>
      <c r="AK529" t="str" cm="1">
        <f t="array" ref="AK529">_xlfn.IFS(S529&lt;=3000,"Low",S529&lt;=7000,"Mid",S529&lt;=12000,"High",S529&gt;12000,"Top")</f>
        <v>Mid</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_xlfn.IFS(A530&lt;=25,"Under 25",A530&lt;=35,"26–35",A530&lt;=45,"36–45",A530&gt;45,"46+")</f>
        <v>46+</v>
      </c>
      <c r="AK530" t="str" cm="1">
        <f t="array" ref="AK530">_xlfn.IFS(S530&lt;=3000,"Low",S530&lt;=7000,"Mid",S530&lt;=12000,"High",S530&gt;12000,"Top")</f>
        <v>Mid</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_xlfn.IFS(A531&lt;=25,"Under 25",A531&lt;=35,"26–35",A531&lt;=45,"36–45",A531&gt;45,"46+")</f>
        <v>36–45</v>
      </c>
      <c r="AK531" t="str" cm="1">
        <f t="array" ref="AK531">_xlfn.IFS(S531&lt;=3000,"Low",S531&lt;=7000,"Mid",S531&lt;=12000,"High",S531&gt;12000,"Top")</f>
        <v>High</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_xlfn.IFS(A532&lt;=25,"Under 25",A532&lt;=35,"26–35",A532&lt;=45,"36–45",A532&gt;45,"46+")</f>
        <v>26–35</v>
      </c>
      <c r="AK532" t="str" cm="1">
        <f t="array" ref="AK532">_xlfn.IFS(S532&lt;=3000,"Low",S532&lt;=7000,"Mid",S532&lt;=12000,"High",S532&gt;12000,"Top")</f>
        <v>High</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_xlfn.IFS(A533&lt;=25,"Under 25",A533&lt;=35,"26–35",A533&lt;=45,"36–45",A533&gt;45,"46+")</f>
        <v>26–35</v>
      </c>
      <c r="AK533" t="str" cm="1">
        <f t="array" ref="AK533">_xlfn.IFS(S533&lt;=3000,"Low",S533&lt;=7000,"Mid",S533&lt;=12000,"High",S533&gt;12000,"Top")</f>
        <v>High</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_xlfn.IFS(A534&lt;=25,"Under 25",A534&lt;=35,"26–35",A534&lt;=45,"36–45",A534&gt;45,"46+")</f>
        <v>46+</v>
      </c>
      <c r="AK534" t="str" cm="1">
        <f t="array" ref="AK534">_xlfn.IFS(S534&lt;=3000,"Low",S534&lt;=7000,"Mid",S534&lt;=12000,"High",S534&gt;12000,"Top")</f>
        <v>Mid</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_xlfn.IFS(A535&lt;=25,"Under 25",A535&lt;=35,"26–35",A535&lt;=45,"36–45",A535&gt;45,"46+")</f>
        <v>36–45</v>
      </c>
      <c r="AK535" t="str" cm="1">
        <f t="array" ref="AK535">_xlfn.IFS(S535&lt;=3000,"Low",S535&lt;=7000,"Mid",S535&lt;=12000,"High",S535&gt;12000,"Top")</f>
        <v>High</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_xlfn.IFS(A536&lt;=25,"Under 25",A536&lt;=35,"26–35",A536&lt;=45,"36–45",A536&gt;45,"46+")</f>
        <v>46+</v>
      </c>
      <c r="AK536" t="str" cm="1">
        <f t="array" ref="AK536">_xlfn.IFS(S536&lt;=3000,"Low",S536&lt;=7000,"Mid",S536&lt;=12000,"High",S536&gt;12000,"Top")</f>
        <v>Top</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_xlfn.IFS(A537&lt;=25,"Under 25",A537&lt;=35,"26–35",A537&lt;=45,"36–45",A537&gt;45,"46+")</f>
        <v>36–45</v>
      </c>
      <c r="AK537" t="str" cm="1">
        <f t="array" ref="AK537">_xlfn.IFS(S537&lt;=3000,"Low",S537&lt;=7000,"Mid",S537&lt;=12000,"High",S537&gt;12000,"Top")</f>
        <v>Top</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_xlfn.IFS(A538&lt;=25,"Under 25",A538&lt;=35,"26–35",A538&lt;=45,"36–45",A538&gt;45,"46+")</f>
        <v>46+</v>
      </c>
      <c r="AK538" t="str" cm="1">
        <f t="array" ref="AK538">_xlfn.IFS(S538&lt;=3000,"Low",S538&lt;=7000,"Mid",S538&lt;=12000,"High",S538&gt;12000,"Top")</f>
        <v>Mid</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_xlfn.IFS(A539&lt;=25,"Under 25",A539&lt;=35,"26–35",A539&lt;=45,"36–45",A539&gt;45,"46+")</f>
        <v>26–35</v>
      </c>
      <c r="AK539" t="str" cm="1">
        <f t="array" ref="AK539">_xlfn.IFS(S539&lt;=3000,"Low",S539&lt;=7000,"Mid",S539&lt;=12000,"High",S539&gt;12000,"Top")</f>
        <v>High</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_xlfn.IFS(A540&lt;=25,"Under 25",A540&lt;=35,"26–35",A540&lt;=45,"36–45",A540&gt;45,"46+")</f>
        <v>36–45</v>
      </c>
      <c r="AK540" t="str" cm="1">
        <f t="array" ref="AK540">_xlfn.IFS(S540&lt;=3000,"Low",S540&lt;=7000,"Mid",S540&lt;=12000,"High",S540&gt;12000,"Top")</f>
        <v>Top</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_xlfn.IFS(A541&lt;=25,"Under 25",A541&lt;=35,"26–35",A541&lt;=45,"36–45",A541&gt;45,"46+")</f>
        <v>46+</v>
      </c>
      <c r="AK541" t="str" cm="1">
        <f t="array" ref="AK541">_xlfn.IFS(S541&lt;=3000,"Low",S541&lt;=7000,"Mid",S541&lt;=12000,"High",S541&gt;12000,"Top")</f>
        <v>Mid</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_xlfn.IFS(A542&lt;=25,"Under 25",A542&lt;=35,"26–35",A542&lt;=45,"36–45",A542&gt;45,"46+")</f>
        <v>26–35</v>
      </c>
      <c r="AK542" t="str" cm="1">
        <f t="array" ref="AK542">_xlfn.IFS(S542&lt;=3000,"Low",S542&lt;=7000,"Mid",S542&lt;=12000,"High",S542&gt;12000,"Top")</f>
        <v>Low</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_xlfn.IFS(A543&lt;=25,"Under 25",A543&lt;=35,"26–35",A543&lt;=45,"36–45",A543&gt;45,"46+")</f>
        <v>36–45</v>
      </c>
      <c r="AK543" t="str" cm="1">
        <f t="array" ref="AK543">_xlfn.IFS(S543&lt;=3000,"Low",S543&lt;=7000,"Mid",S543&lt;=12000,"High",S543&gt;12000,"Top")</f>
        <v>High</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_xlfn.IFS(A544&lt;=25,"Under 25",A544&lt;=35,"26–35",A544&lt;=45,"36–45",A544&gt;45,"46+")</f>
        <v>36–45</v>
      </c>
      <c r="AK544" t="str" cm="1">
        <f t="array" ref="AK544">_xlfn.IFS(S544&lt;=3000,"Low",S544&lt;=7000,"Mid",S544&lt;=12000,"High",S544&gt;12000,"Top")</f>
        <v>High</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_xlfn.IFS(A545&lt;=25,"Under 25",A545&lt;=35,"26–35",A545&lt;=45,"36–45",A545&gt;45,"46+")</f>
        <v>36–45</v>
      </c>
      <c r="AK545" t="str" cm="1">
        <f t="array" ref="AK545">_xlfn.IFS(S545&lt;=3000,"Low",S545&lt;=7000,"Mid",S545&lt;=12000,"High",S545&gt;12000,"Top")</f>
        <v>Mid</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_xlfn.IFS(A546&lt;=25,"Under 25",A546&lt;=35,"26–35",A546&lt;=45,"36–45",A546&gt;45,"46+")</f>
        <v>46+</v>
      </c>
      <c r="AK546" t="str" cm="1">
        <f t="array" ref="AK546">_xlfn.IFS(S546&lt;=3000,"Low",S546&lt;=7000,"Mid",S546&lt;=12000,"High",S546&gt;12000,"Top")</f>
        <v>Top</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_xlfn.IFS(A547&lt;=25,"Under 25",A547&lt;=35,"26–35",A547&lt;=45,"36–45",A547&gt;45,"46+")</f>
        <v>26–35</v>
      </c>
      <c r="AK547" t="str" cm="1">
        <f t="array" ref="AK547">_xlfn.IFS(S547&lt;=3000,"Low",S547&lt;=7000,"Mid",S547&lt;=12000,"High",S547&gt;12000,"Top")</f>
        <v>Mid</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_xlfn.IFS(A548&lt;=25,"Under 25",A548&lt;=35,"26–35",A548&lt;=45,"36–45",A548&gt;45,"46+")</f>
        <v>26–35</v>
      </c>
      <c r="AK548" t="str" cm="1">
        <f t="array" ref="AK548">_xlfn.IFS(S548&lt;=3000,"Low",S548&lt;=7000,"Mid",S548&lt;=12000,"High",S548&gt;12000,"Top")</f>
        <v>Low</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_xlfn.IFS(A549&lt;=25,"Under 25",A549&lt;=35,"26–35",A549&lt;=45,"36–45",A549&gt;45,"46+")</f>
        <v>36–45</v>
      </c>
      <c r="AK549" t="str" cm="1">
        <f t="array" ref="AK549">_xlfn.IFS(S549&lt;=3000,"Low",S549&lt;=7000,"Mid",S549&lt;=12000,"High",S549&gt;12000,"Top")</f>
        <v>Low</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_xlfn.IFS(A550&lt;=25,"Under 25",A550&lt;=35,"26–35",A550&lt;=45,"36–45",A550&gt;45,"46+")</f>
        <v>36–45</v>
      </c>
      <c r="AK550" t="str" cm="1">
        <f t="array" ref="AK550">_xlfn.IFS(S550&lt;=3000,"Low",S550&lt;=7000,"Mid",S550&lt;=12000,"High",S550&gt;12000,"Top")</f>
        <v>Mid</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_xlfn.IFS(A551&lt;=25,"Under 25",A551&lt;=35,"26–35",A551&lt;=45,"36–45",A551&gt;45,"46+")</f>
        <v>26–35</v>
      </c>
      <c r="AK551" t="str" cm="1">
        <f t="array" ref="AK551">_xlfn.IFS(S551&lt;=3000,"Low",S551&lt;=7000,"Mid",S551&lt;=12000,"High",S551&gt;12000,"Top")</f>
        <v>Mid</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_xlfn.IFS(A552&lt;=25,"Under 25",A552&lt;=35,"26–35",A552&lt;=45,"36–45",A552&gt;45,"46+")</f>
        <v>Under 25</v>
      </c>
      <c r="AK552" t="str" cm="1">
        <f t="array" ref="AK552">_xlfn.IFS(S552&lt;=3000,"Low",S552&lt;=7000,"Mid",S552&lt;=12000,"High",S552&gt;12000,"Top")</f>
        <v>Low</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_xlfn.IFS(A553&lt;=25,"Under 25",A553&lt;=35,"26–35",A553&lt;=45,"36–45",A553&gt;45,"46+")</f>
        <v>36–45</v>
      </c>
      <c r="AK553" t="str" cm="1">
        <f t="array" ref="AK553">_xlfn.IFS(S553&lt;=3000,"Low",S553&lt;=7000,"Mid",S553&lt;=12000,"High",S553&gt;12000,"Top")</f>
        <v>Mid</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_xlfn.IFS(A554&lt;=25,"Under 25",A554&lt;=35,"26–35",A554&lt;=45,"36–45",A554&gt;45,"46+")</f>
        <v>46+</v>
      </c>
      <c r="AK554" t="str" cm="1">
        <f t="array" ref="AK554">_xlfn.IFS(S554&lt;=3000,"Low",S554&lt;=7000,"Mid",S554&lt;=12000,"High",S554&gt;12000,"Top")</f>
        <v>High</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_xlfn.IFS(A555&lt;=25,"Under 25",A555&lt;=35,"26–35",A555&lt;=45,"36–45",A555&gt;45,"46+")</f>
        <v>36–45</v>
      </c>
      <c r="AK555" t="str" cm="1">
        <f t="array" ref="AK555">_xlfn.IFS(S555&lt;=3000,"Low",S555&lt;=7000,"Mid",S555&lt;=12000,"High",S555&gt;12000,"Top")</f>
        <v>Low</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_xlfn.IFS(A556&lt;=25,"Under 25",A556&lt;=35,"26–35",A556&lt;=45,"36–45",A556&gt;45,"46+")</f>
        <v>26–35</v>
      </c>
      <c r="AK556" t="str" cm="1">
        <f t="array" ref="AK556">_xlfn.IFS(S556&lt;=3000,"Low",S556&lt;=7000,"Mid",S556&lt;=12000,"High",S556&gt;12000,"Top")</f>
        <v>Mid</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_xlfn.IFS(A557&lt;=25,"Under 25",A557&lt;=35,"26–35",A557&lt;=45,"36–45",A557&gt;45,"46+")</f>
        <v>26–35</v>
      </c>
      <c r="AK557" t="str" cm="1">
        <f t="array" ref="AK557">_xlfn.IFS(S557&lt;=3000,"Low",S557&lt;=7000,"Mid",S557&lt;=12000,"High",S557&gt;12000,"Top")</f>
        <v>Low</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_xlfn.IFS(A558&lt;=25,"Under 25",A558&lt;=35,"26–35",A558&lt;=45,"36–45",A558&gt;45,"46+")</f>
        <v>46+</v>
      </c>
      <c r="AK558" t="str" cm="1">
        <f t="array" ref="AK558">_xlfn.IFS(S558&lt;=3000,"Low",S558&lt;=7000,"Mid",S558&lt;=12000,"High",S558&gt;12000,"Top")</f>
        <v>Low</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_xlfn.IFS(A559&lt;=25,"Under 25",A559&lt;=35,"26–35",A559&lt;=45,"36–45",A559&gt;45,"46+")</f>
        <v>26–35</v>
      </c>
      <c r="AK559" t="str" cm="1">
        <f t="array" ref="AK559">_xlfn.IFS(S559&lt;=3000,"Low",S559&lt;=7000,"Mid",S559&lt;=12000,"High",S559&gt;12000,"Top")</f>
        <v>Mid</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_xlfn.IFS(A560&lt;=25,"Under 25",A560&lt;=35,"26–35",A560&lt;=45,"36–45",A560&gt;45,"46+")</f>
        <v>26–35</v>
      </c>
      <c r="AK560" t="str" cm="1">
        <f t="array" ref="AK560">_xlfn.IFS(S560&lt;=3000,"Low",S560&lt;=7000,"Mid",S560&lt;=12000,"High",S560&gt;12000,"Top")</f>
        <v>Mid</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_xlfn.IFS(A561&lt;=25,"Under 25",A561&lt;=35,"26–35",A561&lt;=45,"36–45",A561&gt;45,"46+")</f>
        <v>36–45</v>
      </c>
      <c r="AK561" t="str" cm="1">
        <f t="array" ref="AK561">_xlfn.IFS(S561&lt;=3000,"Low",S561&lt;=7000,"Mid",S561&lt;=12000,"High",S561&gt;12000,"Top")</f>
        <v>Mid</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_xlfn.IFS(A562&lt;=25,"Under 25",A562&lt;=35,"26–35",A562&lt;=45,"36–45",A562&gt;45,"46+")</f>
        <v>26–35</v>
      </c>
      <c r="AK562" t="str" cm="1">
        <f t="array" ref="AK562">_xlfn.IFS(S562&lt;=3000,"Low",S562&lt;=7000,"Mid",S562&lt;=12000,"High",S562&gt;12000,"Top")</f>
        <v>Mid</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_xlfn.IFS(A563&lt;=25,"Under 25",A563&lt;=35,"26–35",A563&lt;=45,"36–45",A563&gt;45,"46+")</f>
        <v>46+</v>
      </c>
      <c r="AK563" t="str" cm="1">
        <f t="array" ref="AK563">_xlfn.IFS(S563&lt;=3000,"Low",S563&lt;=7000,"Mid",S563&lt;=12000,"High",S563&gt;12000,"Top")</f>
        <v>Top</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_xlfn.IFS(A564&lt;=25,"Under 25",A564&lt;=35,"26–35",A564&lt;=45,"36–45",A564&gt;45,"46+")</f>
        <v>26–35</v>
      </c>
      <c r="AK564" t="str" cm="1">
        <f t="array" ref="AK564">_xlfn.IFS(S564&lt;=3000,"Low",S564&lt;=7000,"Mid",S564&lt;=12000,"High",S564&gt;12000,"Top")</f>
        <v>Low</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_xlfn.IFS(A565&lt;=25,"Under 25",A565&lt;=35,"26–35",A565&lt;=45,"36–45",A565&gt;45,"46+")</f>
        <v>Under 25</v>
      </c>
      <c r="AK565" t="str" cm="1">
        <f t="array" ref="AK565">_xlfn.IFS(S565&lt;=3000,"Low",S565&lt;=7000,"Mid",S565&lt;=12000,"High",S565&gt;12000,"Top")</f>
        <v>Mid</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_xlfn.IFS(A566&lt;=25,"Under 25",A566&lt;=35,"26–35",A566&lt;=45,"36–45",A566&gt;45,"46+")</f>
        <v>36–45</v>
      </c>
      <c r="AK566" t="str" cm="1">
        <f t="array" ref="AK566">_xlfn.IFS(S566&lt;=3000,"Low",S566&lt;=7000,"Mid",S566&lt;=12000,"High",S566&gt;12000,"Top")</f>
        <v>Mid</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_xlfn.IFS(A567&lt;=25,"Under 25",A567&lt;=35,"26–35",A567&lt;=45,"36–45",A567&gt;45,"46+")</f>
        <v>Under 25</v>
      </c>
      <c r="AK567" t="str" cm="1">
        <f t="array" ref="AK567">_xlfn.IFS(S567&lt;=3000,"Low",S567&lt;=7000,"Mid",S567&lt;=12000,"High",S567&gt;12000,"Top")</f>
        <v>Mid</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_xlfn.IFS(A568&lt;=25,"Under 25",A568&lt;=35,"26–35",A568&lt;=45,"36–45",A568&gt;45,"46+")</f>
        <v>46+</v>
      </c>
      <c r="AK568" t="str" cm="1">
        <f t="array" ref="AK568">_xlfn.IFS(S568&lt;=3000,"Low",S568&lt;=7000,"Mid",S568&lt;=12000,"High",S568&gt;12000,"Top")</f>
        <v>Mid</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_xlfn.IFS(A569&lt;=25,"Under 25",A569&lt;=35,"26–35",A569&lt;=45,"36–45",A569&gt;45,"46+")</f>
        <v>26–35</v>
      </c>
      <c r="AK569" t="str" cm="1">
        <f t="array" ref="AK569">_xlfn.IFS(S569&lt;=3000,"Low",S569&lt;=7000,"Mid",S569&lt;=12000,"High",S569&gt;12000,"Top")</f>
        <v>Mid</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_xlfn.IFS(A570&lt;=25,"Under 25",A570&lt;=35,"26–35",A570&lt;=45,"36–45",A570&gt;45,"46+")</f>
        <v>46+</v>
      </c>
      <c r="AK570" t="str" cm="1">
        <f t="array" ref="AK570">_xlfn.IFS(S570&lt;=3000,"Low",S570&lt;=7000,"Mid",S570&lt;=12000,"High",S570&gt;12000,"Top")</f>
        <v>Top</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_xlfn.IFS(A571&lt;=25,"Under 25",A571&lt;=35,"26–35",A571&lt;=45,"36–45",A571&gt;45,"46+")</f>
        <v>36–45</v>
      </c>
      <c r="AK571" t="str" cm="1">
        <f t="array" ref="AK571">_xlfn.IFS(S571&lt;=3000,"Low",S571&lt;=7000,"Mid",S571&lt;=12000,"High",S571&gt;12000,"Top")</f>
        <v>High</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_xlfn.IFS(A572&lt;=25,"Under 25",A572&lt;=35,"26–35",A572&lt;=45,"36–45",A572&gt;45,"46+")</f>
        <v>46+</v>
      </c>
      <c r="AK572" t="str" cm="1">
        <f t="array" ref="AK572">_xlfn.IFS(S572&lt;=3000,"Low",S572&lt;=7000,"Mid",S572&lt;=12000,"High",S572&gt;12000,"Top")</f>
        <v>Mid</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_xlfn.IFS(A573&lt;=25,"Under 25",A573&lt;=35,"26–35",A573&lt;=45,"36–45",A573&gt;45,"46+")</f>
        <v>26–35</v>
      </c>
      <c r="AK573" t="str" cm="1">
        <f t="array" ref="AK573">_xlfn.IFS(S573&lt;=3000,"Low",S573&lt;=7000,"Mid",S573&lt;=12000,"High",S573&gt;12000,"Top")</f>
        <v>Mid</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_xlfn.IFS(A574&lt;=25,"Under 25",A574&lt;=35,"26–35",A574&lt;=45,"36–45",A574&gt;45,"46+")</f>
        <v>26–35</v>
      </c>
      <c r="AK574" t="str" cm="1">
        <f t="array" ref="AK574">_xlfn.IFS(S574&lt;=3000,"Low",S574&lt;=7000,"Mid",S574&lt;=12000,"High",S574&gt;12000,"Top")</f>
        <v>Mid</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_xlfn.IFS(A575&lt;=25,"Under 25",A575&lt;=35,"26–35",A575&lt;=45,"36–45",A575&gt;45,"46+")</f>
        <v>26–35</v>
      </c>
      <c r="AK575" t="str" cm="1">
        <f t="array" ref="AK575">_xlfn.IFS(S575&lt;=3000,"Low",S575&lt;=7000,"Mid",S575&lt;=12000,"High",S575&gt;12000,"Top")</f>
        <v>Mid</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_xlfn.IFS(A576&lt;=25,"Under 25",A576&lt;=35,"26–35",A576&lt;=45,"36–45",A576&gt;45,"46+")</f>
        <v>26–35</v>
      </c>
      <c r="AK576" t="str" cm="1">
        <f t="array" ref="AK576">_xlfn.IFS(S576&lt;=3000,"Low",S576&lt;=7000,"Mid",S576&lt;=12000,"High",S576&gt;12000,"Top")</f>
        <v>Mid</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_xlfn.IFS(A577&lt;=25,"Under 25",A577&lt;=35,"26–35",A577&lt;=45,"36–45",A577&gt;45,"46+")</f>
        <v>46+</v>
      </c>
      <c r="AK577" t="str" cm="1">
        <f t="array" ref="AK577">_xlfn.IFS(S577&lt;=3000,"Low",S577&lt;=7000,"Mid",S577&lt;=12000,"High",S577&gt;12000,"Top")</f>
        <v>Mid</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_xlfn.IFS(A578&lt;=25,"Under 25",A578&lt;=35,"26–35",A578&lt;=45,"36–45",A578&gt;45,"46+")</f>
        <v>26–35</v>
      </c>
      <c r="AK578" t="str" cm="1">
        <f t="array" ref="AK578">_xlfn.IFS(S578&lt;=3000,"Low",S578&lt;=7000,"Mid",S578&lt;=12000,"High",S578&gt;12000,"Top")</f>
        <v>Mid</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_xlfn.IFS(A579&lt;=25,"Under 25",A579&lt;=35,"26–35",A579&lt;=45,"36–45",A579&gt;45,"46+")</f>
        <v>36–45</v>
      </c>
      <c r="AK579" t="str" cm="1">
        <f t="array" ref="AK579">_xlfn.IFS(S579&lt;=3000,"Low",S579&lt;=7000,"Mid",S579&lt;=12000,"High",S579&gt;12000,"Top")</f>
        <v>Low</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_xlfn.IFS(A580&lt;=25,"Under 25",A580&lt;=35,"26–35",A580&lt;=45,"36–45",A580&gt;45,"46+")</f>
        <v>36–45</v>
      </c>
      <c r="AK580" t="str" cm="1">
        <f t="array" ref="AK580">_xlfn.IFS(S580&lt;=3000,"Low",S580&lt;=7000,"Mid",S580&lt;=12000,"High",S580&gt;12000,"Top")</f>
        <v>Mid</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_xlfn.IFS(A581&lt;=25,"Under 25",A581&lt;=35,"26–35",A581&lt;=45,"36–45",A581&gt;45,"46+")</f>
        <v>26–35</v>
      </c>
      <c r="AK581" t="str" cm="1">
        <f t="array" ref="AK581">_xlfn.IFS(S581&lt;=3000,"Low",S581&lt;=7000,"Mid",S581&lt;=12000,"High",S581&gt;12000,"Top")</f>
        <v>Mid</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_xlfn.IFS(A582&lt;=25,"Under 25",A582&lt;=35,"26–35",A582&lt;=45,"36–45",A582&gt;45,"46+")</f>
        <v>26–35</v>
      </c>
      <c r="AK582" t="str" cm="1">
        <f t="array" ref="AK582">_xlfn.IFS(S582&lt;=3000,"Low",S582&lt;=7000,"Mid",S582&lt;=12000,"High",S582&gt;12000,"Top")</f>
        <v>Low</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_xlfn.IFS(A583&lt;=25,"Under 25",A583&lt;=35,"26–35",A583&lt;=45,"36–45",A583&gt;45,"46+")</f>
        <v>26–35</v>
      </c>
      <c r="AK583" t="str" cm="1">
        <f t="array" ref="AK583">_xlfn.IFS(S583&lt;=3000,"Low",S583&lt;=7000,"Mid",S583&lt;=12000,"High",S583&gt;12000,"Top")</f>
        <v>Mid</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_xlfn.IFS(A584&lt;=25,"Under 25",A584&lt;=35,"26–35",A584&lt;=45,"36–45",A584&gt;45,"46+")</f>
        <v>36–45</v>
      </c>
      <c r="AK584" t="str" cm="1">
        <f t="array" ref="AK584">_xlfn.IFS(S584&lt;=3000,"Low",S584&lt;=7000,"Mid",S584&lt;=12000,"High",S584&gt;12000,"Top")</f>
        <v>Mid</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_xlfn.IFS(A585&lt;=25,"Under 25",A585&lt;=35,"26–35",A585&lt;=45,"36–45",A585&gt;45,"46+")</f>
        <v>26–35</v>
      </c>
      <c r="AK585" t="str" cm="1">
        <f t="array" ref="AK585">_xlfn.IFS(S585&lt;=3000,"Low",S585&lt;=7000,"Mid",S585&lt;=12000,"High",S585&gt;12000,"Top")</f>
        <v>Mid</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_xlfn.IFS(A586&lt;=25,"Under 25",A586&lt;=35,"26–35",A586&lt;=45,"36–45",A586&gt;45,"46+")</f>
        <v>36–45</v>
      </c>
      <c r="AK586" t="str" cm="1">
        <f t="array" ref="AK586">_xlfn.IFS(S586&lt;=3000,"Low",S586&lt;=7000,"Mid",S586&lt;=12000,"High",S586&gt;12000,"Top")</f>
        <v>Top</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_xlfn.IFS(A587&lt;=25,"Under 25",A587&lt;=35,"26–35",A587&lt;=45,"36–45",A587&gt;45,"46+")</f>
        <v>Under 25</v>
      </c>
      <c r="AK587" t="str" cm="1">
        <f t="array" ref="AK587">_xlfn.IFS(S587&lt;=3000,"Low",S587&lt;=7000,"Mid",S587&lt;=12000,"High",S587&gt;12000,"Top")</f>
        <v>Low</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_xlfn.IFS(A588&lt;=25,"Under 25",A588&lt;=35,"26–35",A588&lt;=45,"36–45",A588&gt;45,"46+")</f>
        <v>Under 25</v>
      </c>
      <c r="AK588" t="str" cm="1">
        <f t="array" ref="AK588">_xlfn.IFS(S588&lt;=3000,"Low",S588&lt;=7000,"Mid",S588&lt;=12000,"High",S588&gt;12000,"Top")</f>
        <v>Low</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_xlfn.IFS(A589&lt;=25,"Under 25",A589&lt;=35,"26–35",A589&lt;=45,"36–45",A589&gt;45,"46+")</f>
        <v>46+</v>
      </c>
      <c r="AK589" t="str" cm="1">
        <f t="array" ref="AK589">_xlfn.IFS(S589&lt;=3000,"Low",S589&lt;=7000,"Mid",S589&lt;=12000,"High",S589&gt;12000,"Top")</f>
        <v>Mid</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_xlfn.IFS(A590&lt;=25,"Under 25",A590&lt;=35,"26–35",A590&lt;=45,"36–45",A590&gt;45,"46+")</f>
        <v>46+</v>
      </c>
      <c r="AK590" t="str" cm="1">
        <f t="array" ref="AK590">_xlfn.IFS(S590&lt;=3000,"Low",S590&lt;=7000,"Mid",S590&lt;=12000,"High",S590&gt;12000,"Top")</f>
        <v>Top</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_xlfn.IFS(A591&lt;=25,"Under 25",A591&lt;=35,"26–35",A591&lt;=45,"36–45",A591&gt;45,"46+")</f>
        <v>26–35</v>
      </c>
      <c r="AK591" t="str" cm="1">
        <f t="array" ref="AK591">_xlfn.IFS(S591&lt;=3000,"Low",S591&lt;=7000,"Mid",S591&lt;=12000,"High",S591&gt;12000,"Top")</f>
        <v>Low</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_xlfn.IFS(A592&lt;=25,"Under 25",A592&lt;=35,"26–35",A592&lt;=45,"36–45",A592&gt;45,"46+")</f>
        <v>26–35</v>
      </c>
      <c r="AK592" t="str" cm="1">
        <f t="array" ref="AK592">_xlfn.IFS(S592&lt;=3000,"Low",S592&lt;=7000,"Mid",S592&lt;=12000,"High",S592&gt;12000,"Top")</f>
        <v>High</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_xlfn.IFS(A593&lt;=25,"Under 25",A593&lt;=35,"26–35",A593&lt;=45,"36–45",A593&gt;45,"46+")</f>
        <v>26–35</v>
      </c>
      <c r="AK593" t="str" cm="1">
        <f t="array" ref="AK593">_xlfn.IFS(S593&lt;=3000,"Low",S593&lt;=7000,"Mid",S593&lt;=12000,"High",S593&gt;12000,"Top")</f>
        <v>Mid</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_xlfn.IFS(A594&lt;=25,"Under 25",A594&lt;=35,"26–35",A594&lt;=45,"36–45",A594&gt;45,"46+")</f>
        <v>46+</v>
      </c>
      <c r="AK594" t="str" cm="1">
        <f t="array" ref="AK594">_xlfn.IFS(S594&lt;=3000,"Low",S594&lt;=7000,"Mid",S594&lt;=12000,"High",S594&gt;12000,"Top")</f>
        <v>Top</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_xlfn.IFS(A595&lt;=25,"Under 25",A595&lt;=35,"26–35",A595&lt;=45,"36–45",A595&gt;45,"46+")</f>
        <v>36–45</v>
      </c>
      <c r="AK595" t="str" cm="1">
        <f t="array" ref="AK595">_xlfn.IFS(S595&lt;=3000,"Low",S595&lt;=7000,"Mid",S595&lt;=12000,"High",S595&gt;12000,"Top")</f>
        <v>Mid</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_xlfn.IFS(A596&lt;=25,"Under 25",A596&lt;=35,"26–35",A596&lt;=45,"36–45",A596&gt;45,"46+")</f>
        <v>26–35</v>
      </c>
      <c r="AK596" t="str" cm="1">
        <f t="array" ref="AK596">_xlfn.IFS(S596&lt;=3000,"Low",S596&lt;=7000,"Mid",S596&lt;=12000,"High",S596&gt;12000,"Top")</f>
        <v>Low</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_xlfn.IFS(A597&lt;=25,"Under 25",A597&lt;=35,"26–35",A597&lt;=45,"36–45",A597&gt;45,"46+")</f>
        <v>46+</v>
      </c>
      <c r="AK597" t="str" cm="1">
        <f t="array" ref="AK597">_xlfn.IFS(S597&lt;=3000,"Low",S597&lt;=7000,"Mid",S597&lt;=12000,"High",S597&gt;12000,"Top")</f>
        <v>Top</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_xlfn.IFS(A598&lt;=25,"Under 25",A598&lt;=35,"26–35",A598&lt;=45,"36–45",A598&gt;45,"46+")</f>
        <v>26–35</v>
      </c>
      <c r="AK598" t="str" cm="1">
        <f t="array" ref="AK598">_xlfn.IFS(S598&lt;=3000,"Low",S598&lt;=7000,"Mid",S598&lt;=12000,"High",S598&gt;12000,"Top")</f>
        <v>Low</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_xlfn.IFS(A599&lt;=25,"Under 25",A599&lt;=35,"26–35",A599&lt;=45,"36–45",A599&gt;45,"46+")</f>
        <v>36–45</v>
      </c>
      <c r="AK599" t="str" cm="1">
        <f t="array" ref="AK599">_xlfn.IFS(S599&lt;=3000,"Low",S599&lt;=7000,"Mid",S599&lt;=12000,"High",S599&gt;12000,"Top")</f>
        <v>Mid</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_xlfn.IFS(A600&lt;=25,"Under 25",A600&lt;=35,"26–35",A600&lt;=45,"36–45",A600&gt;45,"46+")</f>
        <v>26–35</v>
      </c>
      <c r="AK600" t="str" cm="1">
        <f t="array" ref="AK600">_xlfn.IFS(S600&lt;=3000,"Low",S600&lt;=7000,"Mid",S600&lt;=12000,"High",S600&gt;12000,"Top")</f>
        <v>Mid</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_xlfn.IFS(A601&lt;=25,"Under 25",A601&lt;=35,"26–35",A601&lt;=45,"36–45",A601&gt;45,"46+")</f>
        <v>36–45</v>
      </c>
      <c r="AK601" t="str" cm="1">
        <f t="array" ref="AK601">_xlfn.IFS(S601&lt;=3000,"Low",S601&lt;=7000,"Mid",S601&lt;=12000,"High",S601&gt;12000,"Top")</f>
        <v>Low</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_xlfn.IFS(A602&lt;=25,"Under 25",A602&lt;=35,"26–35",A602&lt;=45,"36–45",A602&gt;45,"46+")</f>
        <v>26–35</v>
      </c>
      <c r="AK602" t="str" cm="1">
        <f t="array" ref="AK602">_xlfn.IFS(S602&lt;=3000,"Low",S602&lt;=7000,"Mid",S602&lt;=12000,"High",S602&gt;12000,"Top")</f>
        <v>Mid</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_xlfn.IFS(A603&lt;=25,"Under 25",A603&lt;=35,"26–35",A603&lt;=45,"36–45",A603&gt;45,"46+")</f>
        <v>36–45</v>
      </c>
      <c r="AK603" t="str" cm="1">
        <f t="array" ref="AK603">_xlfn.IFS(S603&lt;=3000,"Low",S603&lt;=7000,"Mid",S603&lt;=12000,"High",S603&gt;12000,"Top")</f>
        <v>Mid</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_xlfn.IFS(A604&lt;=25,"Under 25",A604&lt;=35,"26–35",A604&lt;=45,"36–45",A604&gt;45,"46+")</f>
        <v>26–35</v>
      </c>
      <c r="AK604" t="str" cm="1">
        <f t="array" ref="AK604">_xlfn.IFS(S604&lt;=3000,"Low",S604&lt;=7000,"Mid",S604&lt;=12000,"High",S604&gt;12000,"Top")</f>
        <v>Mid</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_xlfn.IFS(A605&lt;=25,"Under 25",A605&lt;=35,"26–35",A605&lt;=45,"36–45",A605&gt;45,"46+")</f>
        <v>36–45</v>
      </c>
      <c r="AK605" t="str" cm="1">
        <f t="array" ref="AK605">_xlfn.IFS(S605&lt;=3000,"Low",S605&lt;=7000,"Mid",S605&lt;=12000,"High",S605&gt;12000,"Top")</f>
        <v>Low</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_xlfn.IFS(A606&lt;=25,"Under 25",A606&lt;=35,"26–35",A606&lt;=45,"36–45",A606&gt;45,"46+")</f>
        <v>36–45</v>
      </c>
      <c r="AK606" t="str" cm="1">
        <f t="array" ref="AK606">_xlfn.IFS(S606&lt;=3000,"Low",S606&lt;=7000,"Mid",S606&lt;=12000,"High",S606&gt;12000,"Top")</f>
        <v>Mid</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_xlfn.IFS(A607&lt;=25,"Under 25",A607&lt;=35,"26–35",A607&lt;=45,"36–45",A607&gt;45,"46+")</f>
        <v>36–45</v>
      </c>
      <c r="AK607" t="str" cm="1">
        <f t="array" ref="AK607">_xlfn.IFS(S607&lt;=3000,"Low",S607&lt;=7000,"Mid",S607&lt;=12000,"High",S607&gt;12000,"Top")</f>
        <v>Mid</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_xlfn.IFS(A608&lt;=25,"Under 25",A608&lt;=35,"26–35",A608&lt;=45,"36–45",A608&gt;45,"46+")</f>
        <v>26–35</v>
      </c>
      <c r="AK608" t="str" cm="1">
        <f t="array" ref="AK608">_xlfn.IFS(S608&lt;=3000,"Low",S608&lt;=7000,"Mid",S608&lt;=12000,"High",S608&gt;12000,"Top")</f>
        <v>Low</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_xlfn.IFS(A609&lt;=25,"Under 25",A609&lt;=35,"26–35",A609&lt;=45,"36–45",A609&gt;45,"46+")</f>
        <v>46+</v>
      </c>
      <c r="AK609" t="str" cm="1">
        <f t="array" ref="AK609">_xlfn.IFS(S609&lt;=3000,"Low",S609&lt;=7000,"Mid",S609&lt;=12000,"High",S609&gt;12000,"Top")</f>
        <v>High</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_xlfn.IFS(A610&lt;=25,"Under 25",A610&lt;=35,"26–35",A610&lt;=45,"36–45",A610&gt;45,"46+")</f>
        <v>46+</v>
      </c>
      <c r="AK610" t="str" cm="1">
        <f t="array" ref="AK610">_xlfn.IFS(S610&lt;=3000,"Low",S610&lt;=7000,"Mid",S610&lt;=12000,"High",S610&gt;12000,"Top")</f>
        <v>Mid</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_xlfn.IFS(A611&lt;=25,"Under 25",A611&lt;=35,"26–35",A611&lt;=45,"36–45",A611&gt;45,"46+")</f>
        <v>36–45</v>
      </c>
      <c r="AK611" t="str" cm="1">
        <f t="array" ref="AK611">_xlfn.IFS(S611&lt;=3000,"Low",S611&lt;=7000,"Mid",S611&lt;=12000,"High",S611&gt;12000,"Top")</f>
        <v>Top</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_xlfn.IFS(A612&lt;=25,"Under 25",A612&lt;=35,"26–35",A612&lt;=45,"36–45",A612&gt;45,"46+")</f>
        <v>26–35</v>
      </c>
      <c r="AK612" t="str" cm="1">
        <f t="array" ref="AK612">_xlfn.IFS(S612&lt;=3000,"Low",S612&lt;=7000,"Mid",S612&lt;=12000,"High",S612&gt;12000,"Top")</f>
        <v>Top</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_xlfn.IFS(A613&lt;=25,"Under 25",A613&lt;=35,"26–35",A613&lt;=45,"36–45",A613&gt;45,"46+")</f>
        <v>26–35</v>
      </c>
      <c r="AK613" t="str" cm="1">
        <f t="array" ref="AK613">_xlfn.IFS(S613&lt;=3000,"Low",S613&lt;=7000,"Mid",S613&lt;=12000,"High",S613&gt;12000,"Top")</f>
        <v>High</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_xlfn.IFS(A614&lt;=25,"Under 25",A614&lt;=35,"26–35",A614&lt;=45,"36–45",A614&gt;45,"46+")</f>
        <v>26–35</v>
      </c>
      <c r="AK614" t="str" cm="1">
        <f t="array" ref="AK614">_xlfn.IFS(S614&lt;=3000,"Low",S614&lt;=7000,"Mid",S614&lt;=12000,"High",S614&gt;12000,"Top")</f>
        <v>Mid</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_xlfn.IFS(A615&lt;=25,"Under 25",A615&lt;=35,"26–35",A615&lt;=45,"36–45",A615&gt;45,"46+")</f>
        <v>26–35</v>
      </c>
      <c r="AK615" t="str" cm="1">
        <f t="array" ref="AK615">_xlfn.IFS(S615&lt;=3000,"Low",S615&lt;=7000,"Mid",S615&lt;=12000,"High",S615&gt;12000,"Top")</f>
        <v>Mid</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_xlfn.IFS(A616&lt;=25,"Under 25",A616&lt;=35,"26–35",A616&lt;=45,"36–45",A616&gt;45,"46+")</f>
        <v>26–35</v>
      </c>
      <c r="AK616" t="str" cm="1">
        <f t="array" ref="AK616">_xlfn.IFS(S616&lt;=3000,"Low",S616&lt;=7000,"Mid",S616&lt;=12000,"High",S616&gt;12000,"Top")</f>
        <v>Low</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_xlfn.IFS(A617&lt;=25,"Under 25",A617&lt;=35,"26–35",A617&lt;=45,"36–45",A617&gt;45,"46+")</f>
        <v>26–35</v>
      </c>
      <c r="AK617" t="str" cm="1">
        <f t="array" ref="AK617">_xlfn.IFS(S617&lt;=3000,"Low",S617&lt;=7000,"Mid",S617&lt;=12000,"High",S617&gt;12000,"Top")</f>
        <v>Low</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_xlfn.IFS(A618&lt;=25,"Under 25",A618&lt;=35,"26–35",A618&lt;=45,"36–45",A618&gt;45,"46+")</f>
        <v>46+</v>
      </c>
      <c r="AK618" t="str" cm="1">
        <f t="array" ref="AK618">_xlfn.IFS(S618&lt;=3000,"Low",S618&lt;=7000,"Mid",S618&lt;=12000,"High",S618&gt;12000,"Top")</f>
        <v>Top</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_xlfn.IFS(A619&lt;=25,"Under 25",A619&lt;=35,"26–35",A619&lt;=45,"36–45",A619&gt;45,"46+")</f>
        <v>36–45</v>
      </c>
      <c r="AK619" t="str" cm="1">
        <f t="array" ref="AK619">_xlfn.IFS(S619&lt;=3000,"Low",S619&lt;=7000,"Mid",S619&lt;=12000,"High",S619&gt;12000,"Top")</f>
        <v>Mid</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_xlfn.IFS(A620&lt;=25,"Under 25",A620&lt;=35,"26–35",A620&lt;=45,"36–45",A620&gt;45,"46+")</f>
        <v>Under 25</v>
      </c>
      <c r="AK620" t="str" cm="1">
        <f t="array" ref="AK620">_xlfn.IFS(S620&lt;=3000,"Low",S620&lt;=7000,"Mid",S620&lt;=12000,"High",S620&gt;12000,"Top")</f>
        <v>Mid</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_xlfn.IFS(A621&lt;=25,"Under 25",A621&lt;=35,"26–35",A621&lt;=45,"36–45",A621&gt;45,"46+")</f>
        <v>26–35</v>
      </c>
      <c r="AK621" t="str" cm="1">
        <f t="array" ref="AK621">_xlfn.IFS(S621&lt;=3000,"Low",S621&lt;=7000,"Mid",S621&lt;=12000,"High",S621&gt;12000,"Top")</f>
        <v>Mid</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_xlfn.IFS(A622&lt;=25,"Under 25",A622&lt;=35,"26–35",A622&lt;=45,"36–45",A622&gt;45,"46+")</f>
        <v>26–35</v>
      </c>
      <c r="AK622" t="str" cm="1">
        <f t="array" ref="AK622">_xlfn.IFS(S622&lt;=3000,"Low",S622&lt;=7000,"Mid",S622&lt;=12000,"High",S622&gt;12000,"Top")</f>
        <v>Low</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_xlfn.IFS(A623&lt;=25,"Under 25",A623&lt;=35,"26–35",A623&lt;=45,"36–45",A623&gt;45,"46+")</f>
        <v>36–45</v>
      </c>
      <c r="AK623" t="str" cm="1">
        <f t="array" ref="AK623">_xlfn.IFS(S623&lt;=3000,"Low",S623&lt;=7000,"Mid",S623&lt;=12000,"High",S623&gt;12000,"Top")</f>
        <v>Mid</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_xlfn.IFS(A624&lt;=25,"Under 25",A624&lt;=35,"26–35",A624&lt;=45,"36–45",A624&gt;45,"46+")</f>
        <v>26–35</v>
      </c>
      <c r="AK624" t="str" cm="1">
        <f t="array" ref="AK624">_xlfn.IFS(S624&lt;=3000,"Low",S624&lt;=7000,"Mid",S624&lt;=12000,"High",S624&gt;12000,"Top")</f>
        <v>Mid</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_xlfn.IFS(A625&lt;=25,"Under 25",A625&lt;=35,"26–35",A625&lt;=45,"36–45",A625&gt;45,"46+")</f>
        <v>26–35</v>
      </c>
      <c r="AK625" t="str" cm="1">
        <f t="array" ref="AK625">_xlfn.IFS(S625&lt;=3000,"Low",S625&lt;=7000,"Mid",S625&lt;=12000,"High",S625&gt;12000,"Top")</f>
        <v>Mid</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_xlfn.IFS(A626&lt;=25,"Under 25",A626&lt;=35,"26–35",A626&lt;=45,"36–45",A626&gt;45,"46+")</f>
        <v>46+</v>
      </c>
      <c r="AK626" t="str" cm="1">
        <f t="array" ref="AK626">_xlfn.IFS(S626&lt;=3000,"Low",S626&lt;=7000,"Mid",S626&lt;=12000,"High",S626&gt;12000,"Top")</f>
        <v>High</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_xlfn.IFS(A627&lt;=25,"Under 25",A627&lt;=35,"26–35",A627&lt;=45,"36–45",A627&gt;45,"46+")</f>
        <v>36–45</v>
      </c>
      <c r="AK627" t="str" cm="1">
        <f t="array" ref="AK627">_xlfn.IFS(S627&lt;=3000,"Low",S627&lt;=7000,"Mid",S627&lt;=12000,"High",S627&gt;12000,"Top")</f>
        <v>High</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_xlfn.IFS(A628&lt;=25,"Under 25",A628&lt;=35,"26–35",A628&lt;=45,"36–45",A628&gt;45,"46+")</f>
        <v>26–35</v>
      </c>
      <c r="AK628" t="str" cm="1">
        <f t="array" ref="AK628">_xlfn.IFS(S628&lt;=3000,"Low",S628&lt;=7000,"Mid",S628&lt;=12000,"High",S628&gt;12000,"Top")</f>
        <v>Mid</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_xlfn.IFS(A629&lt;=25,"Under 25",A629&lt;=35,"26–35",A629&lt;=45,"36–45",A629&gt;45,"46+")</f>
        <v>46+</v>
      </c>
      <c r="AK629" t="str" cm="1">
        <f t="array" ref="AK629">_xlfn.IFS(S629&lt;=3000,"Low",S629&lt;=7000,"Mid",S629&lt;=12000,"High",S629&gt;12000,"Top")</f>
        <v>Top</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_xlfn.IFS(A630&lt;=25,"Under 25",A630&lt;=35,"26–35",A630&lt;=45,"36–45",A630&gt;45,"46+")</f>
        <v>36–45</v>
      </c>
      <c r="AK630" t="str" cm="1">
        <f t="array" ref="AK630">_xlfn.IFS(S630&lt;=3000,"Low",S630&lt;=7000,"Mid",S630&lt;=12000,"High",S630&gt;12000,"Top")</f>
        <v>Mid</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_xlfn.IFS(A631&lt;=25,"Under 25",A631&lt;=35,"26–35",A631&lt;=45,"36–45",A631&gt;45,"46+")</f>
        <v>26–35</v>
      </c>
      <c r="AK631" t="str" cm="1">
        <f t="array" ref="AK631">_xlfn.IFS(S631&lt;=3000,"Low",S631&lt;=7000,"Mid",S631&lt;=12000,"High",S631&gt;12000,"Top")</f>
        <v>Mid</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_xlfn.IFS(A632&lt;=25,"Under 25",A632&lt;=35,"26–35",A632&lt;=45,"36–45",A632&gt;45,"46+")</f>
        <v>Under 25</v>
      </c>
      <c r="AK632" t="str" cm="1">
        <f t="array" ref="AK632">_xlfn.IFS(S632&lt;=3000,"Low",S632&lt;=7000,"Mid",S632&lt;=12000,"High",S632&gt;12000,"Top")</f>
        <v>Mid</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_xlfn.IFS(A633&lt;=25,"Under 25",A633&lt;=35,"26–35",A633&lt;=45,"36–45",A633&gt;45,"46+")</f>
        <v>36–45</v>
      </c>
      <c r="AK633" t="str" cm="1">
        <f t="array" ref="AK633">_xlfn.IFS(S633&lt;=3000,"Low",S633&lt;=7000,"Mid",S633&lt;=12000,"High",S633&gt;12000,"Top")</f>
        <v>Low</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_xlfn.IFS(A634&lt;=25,"Under 25",A634&lt;=35,"26–35",A634&lt;=45,"36–45",A634&gt;45,"46+")</f>
        <v>36–45</v>
      </c>
      <c r="AK634" t="str" cm="1">
        <f t="array" ref="AK634">_xlfn.IFS(S634&lt;=3000,"Low",S634&lt;=7000,"Mid",S634&lt;=12000,"High",S634&gt;12000,"Top")</f>
        <v>Low</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_xlfn.IFS(A635&lt;=25,"Under 25",A635&lt;=35,"26–35",A635&lt;=45,"36–45",A635&gt;45,"46+")</f>
        <v>36–45</v>
      </c>
      <c r="AK635" t="str" cm="1">
        <f t="array" ref="AK635">_xlfn.IFS(S635&lt;=3000,"Low",S635&lt;=7000,"Mid",S635&lt;=12000,"High",S635&gt;12000,"Top")</f>
        <v>Low</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_xlfn.IFS(A636&lt;=25,"Under 25",A636&lt;=35,"26–35",A636&lt;=45,"36–45",A636&gt;45,"46+")</f>
        <v>Under 25</v>
      </c>
      <c r="AK636" t="str" cm="1">
        <f t="array" ref="AK636">_xlfn.IFS(S636&lt;=3000,"Low",S636&lt;=7000,"Mid",S636&lt;=12000,"High",S636&gt;12000,"Top")</f>
        <v>Mid</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_xlfn.IFS(A637&lt;=25,"Under 25",A637&lt;=35,"26–35",A637&lt;=45,"36–45",A637&gt;45,"46+")</f>
        <v>26–35</v>
      </c>
      <c r="AK637" t="str" cm="1">
        <f t="array" ref="AK637">_xlfn.IFS(S637&lt;=3000,"Low",S637&lt;=7000,"Mid",S637&lt;=12000,"High",S637&gt;12000,"Top")</f>
        <v>High</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_xlfn.IFS(A638&lt;=25,"Under 25",A638&lt;=35,"26–35",A638&lt;=45,"36–45",A638&gt;45,"46+")</f>
        <v>26–35</v>
      </c>
      <c r="AK638" t="str" cm="1">
        <f t="array" ref="AK638">_xlfn.IFS(S638&lt;=3000,"Low",S638&lt;=7000,"Mid",S638&lt;=12000,"High",S638&gt;12000,"Top")</f>
        <v>Low</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_xlfn.IFS(A639&lt;=25,"Under 25",A639&lt;=35,"26–35",A639&lt;=45,"36–45",A639&gt;45,"46+")</f>
        <v>26–35</v>
      </c>
      <c r="AK639" t="str" cm="1">
        <f t="array" ref="AK639">_xlfn.IFS(S639&lt;=3000,"Low",S639&lt;=7000,"Mid",S639&lt;=12000,"High",S639&gt;12000,"Top")</f>
        <v>Low</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_xlfn.IFS(A640&lt;=25,"Under 25",A640&lt;=35,"26–35",A640&lt;=45,"36–45",A640&gt;45,"46+")</f>
        <v>Under 25</v>
      </c>
      <c r="AK640" t="str" cm="1">
        <f t="array" ref="AK640">_xlfn.IFS(S640&lt;=3000,"Low",S640&lt;=7000,"Mid",S640&lt;=12000,"High",S640&gt;12000,"Top")</f>
        <v>Mid</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_xlfn.IFS(A641&lt;=25,"Under 25",A641&lt;=35,"26–35",A641&lt;=45,"36–45",A641&gt;45,"46+")</f>
        <v>46+</v>
      </c>
      <c r="AK641" t="str" cm="1">
        <f t="array" ref="AK641">_xlfn.IFS(S641&lt;=3000,"Low",S641&lt;=7000,"Mid",S641&lt;=12000,"High",S641&gt;12000,"Top")</f>
        <v>Mid</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_xlfn.IFS(A642&lt;=25,"Under 25",A642&lt;=35,"26–35",A642&lt;=45,"36–45",A642&gt;45,"46+")</f>
        <v>Under 25</v>
      </c>
      <c r="AK642" t="str" cm="1">
        <f t="array" ref="AK642">_xlfn.IFS(S642&lt;=3000,"Low",S642&lt;=7000,"Mid",S642&lt;=12000,"High",S642&gt;12000,"Top")</f>
        <v>Mid</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_xlfn.IFS(A643&lt;=25,"Under 25",A643&lt;=35,"26–35",A643&lt;=45,"36–45",A643&gt;45,"46+")</f>
        <v>26–35</v>
      </c>
      <c r="AK643" t="str" cm="1">
        <f t="array" ref="AK643">_xlfn.IFS(S643&lt;=3000,"Low",S643&lt;=7000,"Mid",S643&lt;=12000,"High",S643&gt;12000,"Top")</f>
        <v>Mid</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_xlfn.IFS(A644&lt;=25,"Under 25",A644&lt;=35,"26–35",A644&lt;=45,"36–45",A644&gt;45,"46+")</f>
        <v>36–45</v>
      </c>
      <c r="AK644" t="str" cm="1">
        <f t="array" ref="AK644">_xlfn.IFS(S644&lt;=3000,"Low",S644&lt;=7000,"Mid",S644&lt;=12000,"High",S644&gt;12000,"Top")</f>
        <v>Low</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_xlfn.IFS(A645&lt;=25,"Under 25",A645&lt;=35,"26–35",A645&lt;=45,"36–45",A645&gt;45,"46+")</f>
        <v>36–45</v>
      </c>
      <c r="AK645" t="str" cm="1">
        <f t="array" ref="AK645">_xlfn.IFS(S645&lt;=3000,"Low",S645&lt;=7000,"Mid",S645&lt;=12000,"High",S645&gt;12000,"Top")</f>
        <v>Mid</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_xlfn.IFS(A646&lt;=25,"Under 25",A646&lt;=35,"26–35",A646&lt;=45,"36–45",A646&gt;45,"46+")</f>
        <v>26–35</v>
      </c>
      <c r="AK646" t="str" cm="1">
        <f t="array" ref="AK646">_xlfn.IFS(S646&lt;=3000,"Low",S646&lt;=7000,"Mid",S646&lt;=12000,"High",S646&gt;12000,"Top")</f>
        <v>Low</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_xlfn.IFS(A647&lt;=25,"Under 25",A647&lt;=35,"26–35",A647&lt;=45,"36–45",A647&gt;45,"46+")</f>
        <v>26–35</v>
      </c>
      <c r="AK647" t="str" cm="1">
        <f t="array" ref="AK647">_xlfn.IFS(S647&lt;=3000,"Low",S647&lt;=7000,"Mid",S647&lt;=12000,"High",S647&gt;12000,"Top")</f>
        <v>Low</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_xlfn.IFS(A648&lt;=25,"Under 25",A648&lt;=35,"26–35",A648&lt;=45,"36–45",A648&gt;45,"46+")</f>
        <v>46+</v>
      </c>
      <c r="AK648" t="str" cm="1">
        <f t="array" ref="AK648">_xlfn.IFS(S648&lt;=3000,"Low",S648&lt;=7000,"Mid",S648&lt;=12000,"High",S648&gt;12000,"Top")</f>
        <v>High</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_xlfn.IFS(A649&lt;=25,"Under 25",A649&lt;=35,"26–35",A649&lt;=45,"36–45",A649&gt;45,"46+")</f>
        <v>26–35</v>
      </c>
      <c r="AK649" t="str" cm="1">
        <f t="array" ref="AK649">_xlfn.IFS(S649&lt;=3000,"Low",S649&lt;=7000,"Mid",S649&lt;=12000,"High",S649&gt;12000,"Top")</f>
        <v>High</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_xlfn.IFS(A650&lt;=25,"Under 25",A650&lt;=35,"26–35",A650&lt;=45,"36–45",A650&gt;45,"46+")</f>
        <v>36–45</v>
      </c>
      <c r="AK650" t="str" cm="1">
        <f t="array" ref="AK650">_xlfn.IFS(S650&lt;=3000,"Low",S650&lt;=7000,"Mid",S650&lt;=12000,"High",S650&gt;12000,"Top")</f>
        <v>Low</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_xlfn.IFS(A651&lt;=25,"Under 25",A651&lt;=35,"26–35",A651&lt;=45,"36–45",A651&gt;45,"46+")</f>
        <v>46+</v>
      </c>
      <c r="AK651" t="str" cm="1">
        <f t="array" ref="AK651">_xlfn.IFS(S651&lt;=3000,"Low",S651&lt;=7000,"Mid",S651&lt;=12000,"High",S651&gt;12000,"Top")</f>
        <v>Top</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_xlfn.IFS(A652&lt;=25,"Under 25",A652&lt;=35,"26–35",A652&lt;=45,"36–45",A652&gt;45,"46+")</f>
        <v>36–45</v>
      </c>
      <c r="AK652" t="str" cm="1">
        <f t="array" ref="AK652">_xlfn.IFS(S652&lt;=3000,"Low",S652&lt;=7000,"Mid",S652&lt;=12000,"High",S652&gt;12000,"Top")</f>
        <v>Mid</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_xlfn.IFS(A653&lt;=25,"Under 25",A653&lt;=35,"26–35",A653&lt;=45,"36–45",A653&gt;45,"46+")</f>
        <v>46+</v>
      </c>
      <c r="AK653" t="str" cm="1">
        <f t="array" ref="AK653">_xlfn.IFS(S653&lt;=3000,"Low",S653&lt;=7000,"Mid",S653&lt;=12000,"High",S653&gt;12000,"Top")</f>
        <v>Mid</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_xlfn.IFS(A654&lt;=25,"Under 25",A654&lt;=35,"26–35",A654&lt;=45,"36–45",A654&gt;45,"46+")</f>
        <v>36–45</v>
      </c>
      <c r="AK654" t="str" cm="1">
        <f t="array" ref="AK654">_xlfn.IFS(S654&lt;=3000,"Low",S654&lt;=7000,"Mid",S654&lt;=12000,"High",S654&gt;12000,"Top")</f>
        <v>High</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_xlfn.IFS(A655&lt;=25,"Under 25",A655&lt;=35,"26–35",A655&lt;=45,"36–45",A655&gt;45,"46+")</f>
        <v>46+</v>
      </c>
      <c r="AK655" t="str" cm="1">
        <f t="array" ref="AK655">_xlfn.IFS(S655&lt;=3000,"Low",S655&lt;=7000,"Mid",S655&lt;=12000,"High",S655&gt;12000,"Top")</f>
        <v>Top</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_xlfn.IFS(A656&lt;=25,"Under 25",A656&lt;=35,"26–35",A656&lt;=45,"36–45",A656&gt;45,"46+")</f>
        <v>36–45</v>
      </c>
      <c r="AK656" t="str" cm="1">
        <f t="array" ref="AK656">_xlfn.IFS(S656&lt;=3000,"Low",S656&lt;=7000,"Mid",S656&lt;=12000,"High",S656&gt;12000,"Top")</f>
        <v>Mid</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_xlfn.IFS(A657&lt;=25,"Under 25",A657&lt;=35,"26–35",A657&lt;=45,"36–45",A657&gt;45,"46+")</f>
        <v>26–35</v>
      </c>
      <c r="AK657" t="str" cm="1">
        <f t="array" ref="AK657">_xlfn.IFS(S657&lt;=3000,"Low",S657&lt;=7000,"Mid",S657&lt;=12000,"High",S657&gt;12000,"Top")</f>
        <v>Low</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_xlfn.IFS(A658&lt;=25,"Under 25",A658&lt;=35,"26–35",A658&lt;=45,"36–45",A658&gt;45,"46+")</f>
        <v>26–35</v>
      </c>
      <c r="AK658" t="str" cm="1">
        <f t="array" ref="AK658">_xlfn.IFS(S658&lt;=3000,"Low",S658&lt;=7000,"Mid",S658&lt;=12000,"High",S658&gt;12000,"Top")</f>
        <v>Low</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_xlfn.IFS(A659&lt;=25,"Under 25",A659&lt;=35,"26–35",A659&lt;=45,"36–45",A659&gt;45,"46+")</f>
        <v>26–35</v>
      </c>
      <c r="AK659" t="str" cm="1">
        <f t="array" ref="AK659">_xlfn.IFS(S659&lt;=3000,"Low",S659&lt;=7000,"Mid",S659&lt;=12000,"High",S659&gt;12000,"Top")</f>
        <v>Low</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_xlfn.IFS(A660&lt;=25,"Under 25",A660&lt;=35,"26–35",A660&lt;=45,"36–45",A660&gt;45,"46+")</f>
        <v>36–45</v>
      </c>
      <c r="AK660" t="str" cm="1">
        <f t="array" ref="AK660">_xlfn.IFS(S660&lt;=3000,"Low",S660&lt;=7000,"Mid",S660&lt;=12000,"High",S660&gt;12000,"Top")</f>
        <v>Low</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_xlfn.IFS(A661&lt;=25,"Under 25",A661&lt;=35,"26–35",A661&lt;=45,"36–45",A661&gt;45,"46+")</f>
        <v>26–35</v>
      </c>
      <c r="AK661" t="str" cm="1">
        <f t="array" ref="AK661">_xlfn.IFS(S661&lt;=3000,"Low",S661&lt;=7000,"Mid",S661&lt;=12000,"High",S661&gt;12000,"Top")</f>
        <v>Mid</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_xlfn.IFS(A662&lt;=25,"Under 25",A662&lt;=35,"26–35",A662&lt;=45,"36–45",A662&gt;45,"46+")</f>
        <v>46+</v>
      </c>
      <c r="AK662" t="str" cm="1">
        <f t="array" ref="AK662">_xlfn.IFS(S662&lt;=3000,"Low",S662&lt;=7000,"Mid",S662&lt;=12000,"High",S662&gt;12000,"Top")</f>
        <v>Low</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_xlfn.IFS(A663&lt;=25,"Under 25",A663&lt;=35,"26–35",A663&lt;=45,"36–45",A663&gt;45,"46+")</f>
        <v>36–45</v>
      </c>
      <c r="AK663" t="str" cm="1">
        <f t="array" ref="AK663">_xlfn.IFS(S663&lt;=3000,"Low",S663&lt;=7000,"Mid",S663&lt;=12000,"High",S663&gt;12000,"Top")</f>
        <v>Mid</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_xlfn.IFS(A664&lt;=25,"Under 25",A664&lt;=35,"26–35",A664&lt;=45,"36–45",A664&gt;45,"46+")</f>
        <v>Under 25</v>
      </c>
      <c r="AK664" t="str" cm="1">
        <f t="array" ref="AK664">_xlfn.IFS(S664&lt;=3000,"Low",S664&lt;=7000,"Mid",S664&lt;=12000,"High",S664&gt;12000,"Top")</f>
        <v>Low</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_xlfn.IFS(A665&lt;=25,"Under 25",A665&lt;=35,"26–35",A665&lt;=45,"36–45",A665&gt;45,"46+")</f>
        <v>Under 25</v>
      </c>
      <c r="AK665" t="str" cm="1">
        <f t="array" ref="AK665">_xlfn.IFS(S665&lt;=3000,"Low",S665&lt;=7000,"Mid",S665&lt;=12000,"High",S665&gt;12000,"Top")</f>
        <v>Low</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_xlfn.IFS(A666&lt;=25,"Under 25",A666&lt;=35,"26–35",A666&lt;=45,"36–45",A666&gt;45,"46+")</f>
        <v>36–45</v>
      </c>
      <c r="AK666" t="str" cm="1">
        <f t="array" ref="AK666">_xlfn.IFS(S666&lt;=3000,"Low",S666&lt;=7000,"Mid",S666&lt;=12000,"High",S666&gt;12000,"Top")</f>
        <v>Mid</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_xlfn.IFS(A667&lt;=25,"Under 25",A667&lt;=35,"26–35",A667&lt;=45,"36–45",A667&gt;45,"46+")</f>
        <v>46+</v>
      </c>
      <c r="AK667" t="str" cm="1">
        <f t="array" ref="AK667">_xlfn.IFS(S667&lt;=3000,"Low",S667&lt;=7000,"Mid",S667&lt;=12000,"High",S667&gt;12000,"Top")</f>
        <v>Mid</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_xlfn.IFS(A668&lt;=25,"Under 25",A668&lt;=35,"26–35",A668&lt;=45,"36–45",A668&gt;45,"46+")</f>
        <v>Under 25</v>
      </c>
      <c r="AK668" t="str" cm="1">
        <f t="array" ref="AK668">_xlfn.IFS(S668&lt;=3000,"Low",S668&lt;=7000,"Mid",S668&lt;=12000,"High",S668&gt;12000,"Top")</f>
        <v>Mid</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_xlfn.IFS(A669&lt;=25,"Under 25",A669&lt;=35,"26–35",A669&lt;=45,"36–45",A669&gt;45,"46+")</f>
        <v>36–45</v>
      </c>
      <c r="AK669" t="str" cm="1">
        <f t="array" ref="AK669">_xlfn.IFS(S669&lt;=3000,"Low",S669&lt;=7000,"Mid",S669&lt;=12000,"High",S669&gt;12000,"Top")</f>
        <v>Low</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_xlfn.IFS(A670&lt;=25,"Under 25",A670&lt;=35,"26–35",A670&lt;=45,"36–45",A670&gt;45,"46+")</f>
        <v>26–35</v>
      </c>
      <c r="AK670" t="str" cm="1">
        <f t="array" ref="AK670">_xlfn.IFS(S670&lt;=3000,"Low",S670&lt;=7000,"Mid",S670&lt;=12000,"High",S670&gt;12000,"Top")</f>
        <v>Low</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_xlfn.IFS(A671&lt;=25,"Under 25",A671&lt;=35,"26–35",A671&lt;=45,"36–45",A671&gt;45,"46+")</f>
        <v>36–45</v>
      </c>
      <c r="AK671" t="str" cm="1">
        <f t="array" ref="AK671">_xlfn.IFS(S671&lt;=3000,"Low",S671&lt;=7000,"Mid",S671&lt;=12000,"High",S671&gt;12000,"Top")</f>
        <v>Low</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_xlfn.IFS(A672&lt;=25,"Under 25",A672&lt;=35,"26–35",A672&lt;=45,"36–45",A672&gt;45,"46+")</f>
        <v>26–35</v>
      </c>
      <c r="AK672" t="str" cm="1">
        <f t="array" ref="AK672">_xlfn.IFS(S672&lt;=3000,"Low",S672&lt;=7000,"Mid",S672&lt;=12000,"High",S672&gt;12000,"Top")</f>
        <v>Low</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_xlfn.IFS(A673&lt;=25,"Under 25",A673&lt;=35,"26–35",A673&lt;=45,"36–45",A673&gt;45,"46+")</f>
        <v>26–35</v>
      </c>
      <c r="AK673" t="str" cm="1">
        <f t="array" ref="AK673">_xlfn.IFS(S673&lt;=3000,"Low",S673&lt;=7000,"Mid",S673&lt;=12000,"High",S673&gt;12000,"Top")</f>
        <v>Low</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_xlfn.IFS(A674&lt;=25,"Under 25",A674&lt;=35,"26–35",A674&lt;=45,"36–45",A674&gt;45,"46+")</f>
        <v>36–45</v>
      </c>
      <c r="AK674" t="str" cm="1">
        <f t="array" ref="AK674">_xlfn.IFS(S674&lt;=3000,"Low",S674&lt;=7000,"Mid",S674&lt;=12000,"High",S674&gt;12000,"Top")</f>
        <v>Mid</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_xlfn.IFS(A675&lt;=25,"Under 25",A675&lt;=35,"26–35",A675&lt;=45,"36–45",A675&gt;45,"46+")</f>
        <v>26–35</v>
      </c>
      <c r="AK675" t="str" cm="1">
        <f t="array" ref="AK675">_xlfn.IFS(S675&lt;=3000,"Low",S675&lt;=7000,"Mid",S675&lt;=12000,"High",S675&gt;12000,"Top")</f>
        <v>Low</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_xlfn.IFS(A676&lt;=25,"Under 25",A676&lt;=35,"26–35",A676&lt;=45,"36–45",A676&gt;45,"46+")</f>
        <v>46+</v>
      </c>
      <c r="AK676" t="str" cm="1">
        <f t="array" ref="AK676">_xlfn.IFS(S676&lt;=3000,"Low",S676&lt;=7000,"Mid",S676&lt;=12000,"High",S676&gt;12000,"Top")</f>
        <v>High</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_xlfn.IFS(A677&lt;=25,"Under 25",A677&lt;=35,"26–35",A677&lt;=45,"36–45",A677&gt;45,"46+")</f>
        <v>26–35</v>
      </c>
      <c r="AK677" t="str" cm="1">
        <f t="array" ref="AK677">_xlfn.IFS(S677&lt;=3000,"Low",S677&lt;=7000,"Mid",S677&lt;=12000,"High",S677&gt;12000,"Top")</f>
        <v>Low</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_xlfn.IFS(A678&lt;=25,"Under 25",A678&lt;=35,"26–35",A678&lt;=45,"36–45",A678&gt;45,"46+")</f>
        <v>26–35</v>
      </c>
      <c r="AK678" t="str" cm="1">
        <f t="array" ref="AK678">_xlfn.IFS(S678&lt;=3000,"Low",S678&lt;=7000,"Mid",S678&lt;=12000,"High",S678&gt;12000,"Top")</f>
        <v>Mid</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_xlfn.IFS(A679&lt;=25,"Under 25",A679&lt;=35,"26–35",A679&lt;=45,"36–45",A679&gt;45,"46+")</f>
        <v>46+</v>
      </c>
      <c r="AK679" t="str" cm="1">
        <f t="array" ref="AK679">_xlfn.IFS(S679&lt;=3000,"Low",S679&lt;=7000,"Mid",S679&lt;=12000,"High",S679&gt;12000,"Top")</f>
        <v>High</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_xlfn.IFS(A680&lt;=25,"Under 25",A680&lt;=35,"26–35",A680&lt;=45,"36–45",A680&gt;45,"46+")</f>
        <v>46+</v>
      </c>
      <c r="AK680" t="str" cm="1">
        <f t="array" ref="AK680">_xlfn.IFS(S680&lt;=3000,"Low",S680&lt;=7000,"Mid",S680&lt;=12000,"High",S680&gt;12000,"Top")</f>
        <v>Low</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_xlfn.IFS(A681&lt;=25,"Under 25",A681&lt;=35,"26–35",A681&lt;=45,"36–45",A681&gt;45,"46+")</f>
        <v>26–35</v>
      </c>
      <c r="AK681" t="str" cm="1">
        <f t="array" ref="AK681">_xlfn.IFS(S681&lt;=3000,"Low",S681&lt;=7000,"Mid",S681&lt;=12000,"High",S681&gt;12000,"Top")</f>
        <v>Mid</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_xlfn.IFS(A682&lt;=25,"Under 25",A682&lt;=35,"26–35",A682&lt;=45,"36–45",A682&gt;45,"46+")</f>
        <v>36–45</v>
      </c>
      <c r="AK682" t="str" cm="1">
        <f t="array" ref="AK682">_xlfn.IFS(S682&lt;=3000,"Low",S682&lt;=7000,"Mid",S682&lt;=12000,"High",S682&gt;12000,"Top")</f>
        <v>Mid</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_xlfn.IFS(A683&lt;=25,"Under 25",A683&lt;=35,"26–35",A683&lt;=45,"36–45",A683&gt;45,"46+")</f>
        <v>36–45</v>
      </c>
      <c r="AK683" t="str" cm="1">
        <f t="array" ref="AK683">_xlfn.IFS(S683&lt;=3000,"Low",S683&lt;=7000,"Mid",S683&lt;=12000,"High",S683&gt;12000,"Top")</f>
        <v>Top</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_xlfn.IFS(A684&lt;=25,"Under 25",A684&lt;=35,"26–35",A684&lt;=45,"36–45",A684&gt;45,"46+")</f>
        <v>26–35</v>
      </c>
      <c r="AK684" t="str" cm="1">
        <f t="array" ref="AK684">_xlfn.IFS(S684&lt;=3000,"Low",S684&lt;=7000,"Mid",S684&lt;=12000,"High",S684&gt;12000,"Top")</f>
        <v>Low</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_xlfn.IFS(A685&lt;=25,"Under 25",A685&lt;=35,"26–35",A685&lt;=45,"36–45",A685&gt;45,"46+")</f>
        <v>Under 25</v>
      </c>
      <c r="AK685" t="str" cm="1">
        <f t="array" ref="AK685">_xlfn.IFS(S685&lt;=3000,"Low",S685&lt;=7000,"Mid",S685&lt;=12000,"High",S685&gt;12000,"Top")</f>
        <v>Low</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_xlfn.IFS(A686&lt;=25,"Under 25",A686&lt;=35,"26–35",A686&lt;=45,"36–45",A686&gt;45,"46+")</f>
        <v>36–45</v>
      </c>
      <c r="AK686" t="str" cm="1">
        <f t="array" ref="AK686">_xlfn.IFS(S686&lt;=3000,"Low",S686&lt;=7000,"Mid",S686&lt;=12000,"High",S686&gt;12000,"Top")</f>
        <v>High</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_xlfn.IFS(A687&lt;=25,"Under 25",A687&lt;=35,"26–35",A687&lt;=45,"36–45",A687&gt;45,"46+")</f>
        <v>26–35</v>
      </c>
      <c r="AK687" t="str" cm="1">
        <f t="array" ref="AK687">_xlfn.IFS(S687&lt;=3000,"Low",S687&lt;=7000,"Mid",S687&lt;=12000,"High",S687&gt;12000,"Top")</f>
        <v>Mid</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_xlfn.IFS(A688&lt;=25,"Under 25",A688&lt;=35,"26–35",A688&lt;=45,"36–45",A688&gt;45,"46+")</f>
        <v>36–45</v>
      </c>
      <c r="AK688" t="str" cm="1">
        <f t="array" ref="AK688">_xlfn.IFS(S688&lt;=3000,"Low",S688&lt;=7000,"Mid",S688&lt;=12000,"High",S688&gt;12000,"Top")</f>
        <v>Mid</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_xlfn.IFS(A689&lt;=25,"Under 25",A689&lt;=35,"26–35",A689&lt;=45,"36–45",A689&gt;45,"46+")</f>
        <v>36–45</v>
      </c>
      <c r="AK689" t="str" cm="1">
        <f t="array" ref="AK689">_xlfn.IFS(S689&lt;=3000,"Low",S689&lt;=7000,"Mid",S689&lt;=12000,"High",S689&gt;12000,"Top")</f>
        <v>Low</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_xlfn.IFS(A690&lt;=25,"Under 25",A690&lt;=35,"26–35",A690&lt;=45,"36–45",A690&gt;45,"46+")</f>
        <v>Under 25</v>
      </c>
      <c r="AK690" t="str" cm="1">
        <f t="array" ref="AK690">_xlfn.IFS(S690&lt;=3000,"Low",S690&lt;=7000,"Mid",S690&lt;=12000,"High",S690&gt;12000,"Top")</f>
        <v>Low</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_xlfn.IFS(A691&lt;=25,"Under 25",A691&lt;=35,"26–35",A691&lt;=45,"36–45",A691&gt;45,"46+")</f>
        <v>Under 25</v>
      </c>
      <c r="AK691" t="str" cm="1">
        <f t="array" ref="AK691">_xlfn.IFS(S691&lt;=3000,"Low",S691&lt;=7000,"Mid",S691&lt;=12000,"High",S691&gt;12000,"Top")</f>
        <v>Low</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_xlfn.IFS(A692&lt;=25,"Under 25",A692&lt;=35,"26–35",A692&lt;=45,"36–45",A692&gt;45,"46+")</f>
        <v>26–35</v>
      </c>
      <c r="AK692" t="str" cm="1">
        <f t="array" ref="AK692">_xlfn.IFS(S692&lt;=3000,"Low",S692&lt;=7000,"Mid",S692&lt;=12000,"High",S692&gt;12000,"Top")</f>
        <v>Mid</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_xlfn.IFS(A693&lt;=25,"Under 25",A693&lt;=35,"26–35",A693&lt;=45,"36–45",A693&gt;45,"46+")</f>
        <v>36–45</v>
      </c>
      <c r="AK693" t="str" cm="1">
        <f t="array" ref="AK693">_xlfn.IFS(S693&lt;=3000,"Low",S693&lt;=7000,"Mid",S693&lt;=12000,"High",S693&gt;12000,"Top")</f>
        <v>Mid</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_xlfn.IFS(A694&lt;=25,"Under 25",A694&lt;=35,"26–35",A694&lt;=45,"36–45",A694&gt;45,"46+")</f>
        <v>26–35</v>
      </c>
      <c r="AK694" t="str" cm="1">
        <f t="array" ref="AK694">_xlfn.IFS(S694&lt;=3000,"Low",S694&lt;=7000,"Mid",S694&lt;=12000,"High",S694&gt;12000,"Top")</f>
        <v>Mid</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_xlfn.IFS(A695&lt;=25,"Under 25",A695&lt;=35,"26–35",A695&lt;=45,"36–45",A695&gt;45,"46+")</f>
        <v>36–45</v>
      </c>
      <c r="AK695" t="str" cm="1">
        <f t="array" ref="AK695">_xlfn.IFS(S695&lt;=3000,"Low",S695&lt;=7000,"Mid",S695&lt;=12000,"High",S695&gt;12000,"Top")</f>
        <v>High</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_xlfn.IFS(A696&lt;=25,"Under 25",A696&lt;=35,"26–35",A696&lt;=45,"36–45",A696&gt;45,"46+")</f>
        <v>26–35</v>
      </c>
      <c r="AK696" t="str" cm="1">
        <f t="array" ref="AK696">_xlfn.IFS(S696&lt;=3000,"Low",S696&lt;=7000,"Mid",S696&lt;=12000,"High",S696&gt;12000,"Top")</f>
        <v>Mid</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_xlfn.IFS(A697&lt;=25,"Under 25",A697&lt;=35,"26–35",A697&lt;=45,"36–45",A697&gt;45,"46+")</f>
        <v>36–45</v>
      </c>
      <c r="AK697" t="str" cm="1">
        <f t="array" ref="AK697">_xlfn.IFS(S697&lt;=3000,"Low",S697&lt;=7000,"Mid",S697&lt;=12000,"High",S697&gt;12000,"Top")</f>
        <v>High</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_xlfn.IFS(A698&lt;=25,"Under 25",A698&lt;=35,"26–35",A698&lt;=45,"36–45",A698&gt;45,"46+")</f>
        <v>36–45</v>
      </c>
      <c r="AK698" t="str" cm="1">
        <f t="array" ref="AK698">_xlfn.IFS(S698&lt;=3000,"Low",S698&lt;=7000,"Mid",S698&lt;=12000,"High",S698&gt;12000,"Top")</f>
        <v>Mid</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_xlfn.IFS(A699&lt;=25,"Under 25",A699&lt;=35,"26–35",A699&lt;=45,"36–45",A699&gt;45,"46+")</f>
        <v>26–35</v>
      </c>
      <c r="AK699" t="str" cm="1">
        <f t="array" ref="AK699">_xlfn.IFS(S699&lt;=3000,"Low",S699&lt;=7000,"Mid",S699&lt;=12000,"High",S699&gt;12000,"Top")</f>
        <v>Low</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_xlfn.IFS(A700&lt;=25,"Under 25",A700&lt;=35,"26–35",A700&lt;=45,"36–45",A700&gt;45,"46+")</f>
        <v>26–35</v>
      </c>
      <c r="AK700" t="str" cm="1">
        <f t="array" ref="AK700">_xlfn.IFS(S700&lt;=3000,"Low",S700&lt;=7000,"Mid",S700&lt;=12000,"High",S700&gt;12000,"Top")</f>
        <v>Mid</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_xlfn.IFS(A701&lt;=25,"Under 25",A701&lt;=35,"26–35",A701&lt;=45,"36–45",A701&gt;45,"46+")</f>
        <v>46+</v>
      </c>
      <c r="AK701" t="str" cm="1">
        <f t="array" ref="AK701">_xlfn.IFS(S701&lt;=3000,"Low",S701&lt;=7000,"Mid",S701&lt;=12000,"High",S701&gt;12000,"Top")</f>
        <v>Top</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_xlfn.IFS(A702&lt;=25,"Under 25",A702&lt;=35,"26–35",A702&lt;=45,"36–45",A702&gt;45,"46+")</f>
        <v>46+</v>
      </c>
      <c r="AK702" t="str" cm="1">
        <f t="array" ref="AK702">_xlfn.IFS(S702&lt;=3000,"Low",S702&lt;=7000,"Mid",S702&lt;=12000,"High",S702&gt;12000,"Top")</f>
        <v>Low</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_xlfn.IFS(A703&lt;=25,"Under 25",A703&lt;=35,"26–35",A703&lt;=45,"36–45",A703&gt;45,"46+")</f>
        <v>46+</v>
      </c>
      <c r="AK703" t="str" cm="1">
        <f t="array" ref="AK703">_xlfn.IFS(S703&lt;=3000,"Low",S703&lt;=7000,"Mid",S703&lt;=12000,"High",S703&gt;12000,"Top")</f>
        <v>Top</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_xlfn.IFS(A704&lt;=25,"Under 25",A704&lt;=35,"26–35",A704&lt;=45,"36–45",A704&gt;45,"46+")</f>
        <v>26–35</v>
      </c>
      <c r="AK704" t="str" cm="1">
        <f t="array" ref="AK704">_xlfn.IFS(S704&lt;=3000,"Low",S704&lt;=7000,"Mid",S704&lt;=12000,"High",S704&gt;12000,"Top")</f>
        <v>High</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_xlfn.IFS(A705&lt;=25,"Under 25",A705&lt;=35,"26–35",A705&lt;=45,"36–45",A705&gt;45,"46+")</f>
        <v>36–45</v>
      </c>
      <c r="AK705" t="str" cm="1">
        <f t="array" ref="AK705">_xlfn.IFS(S705&lt;=3000,"Low",S705&lt;=7000,"Mid",S705&lt;=12000,"High",S705&gt;12000,"Top")</f>
        <v>Mid</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_xlfn.IFS(A706&lt;=25,"Under 25",A706&lt;=35,"26–35",A706&lt;=45,"36–45",A706&gt;45,"46+")</f>
        <v>26–35</v>
      </c>
      <c r="AK706" t="str" cm="1">
        <f t="array" ref="AK706">_xlfn.IFS(S706&lt;=3000,"Low",S706&lt;=7000,"Mid",S706&lt;=12000,"High",S706&gt;12000,"Top")</f>
        <v>High</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_xlfn.IFS(A707&lt;=25,"Under 25",A707&lt;=35,"26–35",A707&lt;=45,"36–45",A707&gt;45,"46+")</f>
        <v>36–45</v>
      </c>
      <c r="AK707" t="str" cm="1">
        <f t="array" ref="AK707">_xlfn.IFS(S707&lt;=3000,"Low",S707&lt;=7000,"Mid",S707&lt;=12000,"High",S707&gt;12000,"Top")</f>
        <v>High</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_xlfn.IFS(A708&lt;=25,"Under 25",A708&lt;=35,"26–35",A708&lt;=45,"36–45",A708&gt;45,"46+")</f>
        <v>36–45</v>
      </c>
      <c r="AK708" t="str" cm="1">
        <f t="array" ref="AK708">_xlfn.IFS(S708&lt;=3000,"Low",S708&lt;=7000,"Mid",S708&lt;=12000,"High",S708&gt;12000,"Top")</f>
        <v>Top</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_xlfn.IFS(A709&lt;=25,"Under 25",A709&lt;=35,"26–35",A709&lt;=45,"36–45",A709&gt;45,"46+")</f>
        <v>46+</v>
      </c>
      <c r="AK709" t="str" cm="1">
        <f t="array" ref="AK709">_xlfn.IFS(S709&lt;=3000,"Low",S709&lt;=7000,"Mid",S709&lt;=12000,"High",S709&gt;12000,"Top")</f>
        <v>Mid</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_xlfn.IFS(A710&lt;=25,"Under 25",A710&lt;=35,"26–35",A710&lt;=45,"36–45",A710&gt;45,"46+")</f>
        <v>36–45</v>
      </c>
      <c r="AK710" t="str" cm="1">
        <f t="array" ref="AK710">_xlfn.IFS(S710&lt;=3000,"Low",S710&lt;=7000,"Mid",S710&lt;=12000,"High",S710&gt;12000,"Top")</f>
        <v>Mid</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_xlfn.IFS(A711&lt;=25,"Under 25",A711&lt;=35,"26–35",A711&lt;=45,"36–45",A711&gt;45,"46+")</f>
        <v>26–35</v>
      </c>
      <c r="AK711" t="str" cm="1">
        <f t="array" ref="AK711">_xlfn.IFS(S711&lt;=3000,"Low",S711&lt;=7000,"Mid",S711&lt;=12000,"High",S711&gt;12000,"Top")</f>
        <v>Low</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_xlfn.IFS(A712&lt;=25,"Under 25",A712&lt;=35,"26–35",A712&lt;=45,"36–45",A712&gt;45,"46+")</f>
        <v>26–35</v>
      </c>
      <c r="AK712" t="str" cm="1">
        <f t="array" ref="AK712">_xlfn.IFS(S712&lt;=3000,"Low",S712&lt;=7000,"Mid",S712&lt;=12000,"High",S712&gt;12000,"Top")</f>
        <v>Top</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_xlfn.IFS(A713&lt;=25,"Under 25",A713&lt;=35,"26–35",A713&lt;=45,"36–45",A713&gt;45,"46+")</f>
        <v>26–35</v>
      </c>
      <c r="AK713" t="str" cm="1">
        <f t="array" ref="AK713">_xlfn.IFS(S713&lt;=3000,"Low",S713&lt;=7000,"Mid",S713&lt;=12000,"High",S713&gt;12000,"Top")</f>
        <v>Low</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_xlfn.IFS(A714&lt;=25,"Under 25",A714&lt;=35,"26–35",A714&lt;=45,"36–45",A714&gt;45,"46+")</f>
        <v>26–35</v>
      </c>
      <c r="AK714" t="str" cm="1">
        <f t="array" ref="AK714">_xlfn.IFS(S714&lt;=3000,"Low",S714&lt;=7000,"Mid",S714&lt;=12000,"High",S714&gt;12000,"Top")</f>
        <v>Mid</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_xlfn.IFS(A715&lt;=25,"Under 25",A715&lt;=35,"26–35",A715&lt;=45,"36–45",A715&gt;45,"46+")</f>
        <v>36–45</v>
      </c>
      <c r="AK715" t="str" cm="1">
        <f t="array" ref="AK715">_xlfn.IFS(S715&lt;=3000,"Low",S715&lt;=7000,"Mid",S715&lt;=12000,"High",S715&gt;12000,"Top")</f>
        <v>Low</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_xlfn.IFS(A716&lt;=25,"Under 25",A716&lt;=35,"26–35",A716&lt;=45,"36–45",A716&gt;45,"46+")</f>
        <v>46+</v>
      </c>
      <c r="AK716" t="str" cm="1">
        <f t="array" ref="AK716">_xlfn.IFS(S716&lt;=3000,"Low",S716&lt;=7000,"Mid",S716&lt;=12000,"High",S716&gt;12000,"Top")</f>
        <v>Top</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_xlfn.IFS(A717&lt;=25,"Under 25",A717&lt;=35,"26–35",A717&lt;=45,"36–45",A717&gt;45,"46+")</f>
        <v>26–35</v>
      </c>
      <c r="AK717" t="str" cm="1">
        <f t="array" ref="AK717">_xlfn.IFS(S717&lt;=3000,"Low",S717&lt;=7000,"Mid",S717&lt;=12000,"High",S717&gt;12000,"Top")</f>
        <v>Mid</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_xlfn.IFS(A718&lt;=25,"Under 25",A718&lt;=35,"26–35",A718&lt;=45,"36–45",A718&gt;45,"46+")</f>
        <v>36–45</v>
      </c>
      <c r="AK718" t="str" cm="1">
        <f t="array" ref="AK718">_xlfn.IFS(S718&lt;=3000,"Low",S718&lt;=7000,"Mid",S718&lt;=12000,"High",S718&gt;12000,"Top")</f>
        <v>Top</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_xlfn.IFS(A719&lt;=25,"Under 25",A719&lt;=35,"26–35",A719&lt;=45,"36–45",A719&gt;45,"46+")</f>
        <v>26–35</v>
      </c>
      <c r="AK719" t="str" cm="1">
        <f t="array" ref="AK719">_xlfn.IFS(S719&lt;=3000,"Low",S719&lt;=7000,"Mid",S719&lt;=12000,"High",S719&gt;12000,"Top")</f>
        <v>Low</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_xlfn.IFS(A720&lt;=25,"Under 25",A720&lt;=35,"26–35",A720&lt;=45,"36–45",A720&gt;45,"46+")</f>
        <v>36–45</v>
      </c>
      <c r="AK720" t="str" cm="1">
        <f t="array" ref="AK720">_xlfn.IFS(S720&lt;=3000,"Low",S720&lt;=7000,"Mid",S720&lt;=12000,"High",S720&gt;12000,"Top")</f>
        <v>Mid</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_xlfn.IFS(A721&lt;=25,"Under 25",A721&lt;=35,"26–35",A721&lt;=45,"36–45",A721&gt;45,"46+")</f>
        <v>46+</v>
      </c>
      <c r="AK721" t="str" cm="1">
        <f t="array" ref="AK721">_xlfn.IFS(S721&lt;=3000,"Low",S721&lt;=7000,"Mid",S721&lt;=12000,"High",S721&gt;12000,"Top")</f>
        <v>Mid</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_xlfn.IFS(A722&lt;=25,"Under 25",A722&lt;=35,"26–35",A722&lt;=45,"36–45",A722&gt;45,"46+")</f>
        <v>26–35</v>
      </c>
      <c r="AK722" t="str" cm="1">
        <f t="array" ref="AK722">_xlfn.IFS(S722&lt;=3000,"Low",S722&lt;=7000,"Mid",S722&lt;=12000,"High",S722&gt;12000,"Top")</f>
        <v>Low</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_xlfn.IFS(A723&lt;=25,"Under 25",A723&lt;=35,"26–35",A723&lt;=45,"36–45",A723&gt;45,"46+")</f>
        <v>46+</v>
      </c>
      <c r="AK723" t="str" cm="1">
        <f t="array" ref="AK723">_xlfn.IFS(S723&lt;=3000,"Low",S723&lt;=7000,"Mid",S723&lt;=12000,"High",S723&gt;12000,"Top")</f>
        <v>Top</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_xlfn.IFS(A724&lt;=25,"Under 25",A724&lt;=35,"26–35",A724&lt;=45,"36–45",A724&gt;45,"46+")</f>
        <v>36–45</v>
      </c>
      <c r="AK724" t="str" cm="1">
        <f t="array" ref="AK724">_xlfn.IFS(S724&lt;=3000,"Low",S724&lt;=7000,"Mid",S724&lt;=12000,"High",S724&gt;12000,"Top")</f>
        <v>Low</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_xlfn.IFS(A725&lt;=25,"Under 25",A725&lt;=35,"26–35",A725&lt;=45,"36–45",A725&gt;45,"46+")</f>
        <v>46+</v>
      </c>
      <c r="AK725" t="str" cm="1">
        <f t="array" ref="AK725">_xlfn.IFS(S725&lt;=3000,"Low",S725&lt;=7000,"Mid",S725&lt;=12000,"High",S725&gt;12000,"Top")</f>
        <v>High</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_xlfn.IFS(A726&lt;=25,"Under 25",A726&lt;=35,"26–35",A726&lt;=45,"36–45",A726&gt;45,"46+")</f>
        <v>Under 25</v>
      </c>
      <c r="AK726" t="str" cm="1">
        <f t="array" ref="AK726">_xlfn.IFS(S726&lt;=3000,"Low",S726&lt;=7000,"Mid",S726&lt;=12000,"High",S726&gt;12000,"Top")</f>
        <v>Mid</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_xlfn.IFS(A727&lt;=25,"Under 25",A727&lt;=35,"26–35",A727&lt;=45,"36–45",A727&gt;45,"46+")</f>
        <v>26–35</v>
      </c>
      <c r="AK727" t="str" cm="1">
        <f t="array" ref="AK727">_xlfn.IFS(S727&lt;=3000,"Low",S727&lt;=7000,"Mid",S727&lt;=12000,"High",S727&gt;12000,"Top")</f>
        <v>Mid</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_xlfn.IFS(A728&lt;=25,"Under 25",A728&lt;=35,"26–35",A728&lt;=45,"36–45",A728&gt;45,"46+")</f>
        <v>26–35</v>
      </c>
      <c r="AK728" t="str" cm="1">
        <f t="array" ref="AK728">_xlfn.IFS(S728&lt;=3000,"Low",S728&lt;=7000,"Mid",S728&lt;=12000,"High",S728&gt;12000,"Top")</f>
        <v>Mid</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_xlfn.IFS(A729&lt;=25,"Under 25",A729&lt;=35,"26–35",A729&lt;=45,"36–45",A729&gt;45,"46+")</f>
        <v>Under 25</v>
      </c>
      <c r="AK729" t="str" cm="1">
        <f t="array" ref="AK729">_xlfn.IFS(S729&lt;=3000,"Low",S729&lt;=7000,"Mid",S729&lt;=12000,"High",S729&gt;12000,"Top")</f>
        <v>Low</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_xlfn.IFS(A730&lt;=25,"Under 25",A730&lt;=35,"26–35",A730&lt;=45,"36–45",A730&gt;45,"46+")</f>
        <v>46+</v>
      </c>
      <c r="AK730" t="str" cm="1">
        <f t="array" ref="AK730">_xlfn.IFS(S730&lt;=3000,"Low",S730&lt;=7000,"Mid",S730&lt;=12000,"High",S730&gt;12000,"Top")</f>
        <v>High</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_xlfn.IFS(A731&lt;=25,"Under 25",A731&lt;=35,"26–35",A731&lt;=45,"36–45",A731&gt;45,"46+")</f>
        <v>26–35</v>
      </c>
      <c r="AK731" t="str" cm="1">
        <f t="array" ref="AK731">_xlfn.IFS(S731&lt;=3000,"Low",S731&lt;=7000,"Mid",S731&lt;=12000,"High",S731&gt;12000,"Top")</f>
        <v>High</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_xlfn.IFS(A732&lt;=25,"Under 25",A732&lt;=35,"26–35",A732&lt;=45,"36–45",A732&gt;45,"46+")</f>
        <v>26–35</v>
      </c>
      <c r="AK732" t="str" cm="1">
        <f t="array" ref="AK732">_xlfn.IFS(S732&lt;=3000,"Low",S732&lt;=7000,"Mid",S732&lt;=12000,"High",S732&gt;12000,"Top")</f>
        <v>High</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_xlfn.IFS(A733&lt;=25,"Under 25",A733&lt;=35,"26–35",A733&lt;=45,"36–45",A733&gt;45,"46+")</f>
        <v>Under 25</v>
      </c>
      <c r="AK733" t="str" cm="1">
        <f t="array" ref="AK733">_xlfn.IFS(S733&lt;=3000,"Low",S733&lt;=7000,"Mid",S733&lt;=12000,"High",S733&gt;12000,"Top")</f>
        <v>Low</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_xlfn.IFS(A734&lt;=25,"Under 25",A734&lt;=35,"26–35",A734&lt;=45,"36–45",A734&gt;45,"46+")</f>
        <v>26–35</v>
      </c>
      <c r="AK734" t="str" cm="1">
        <f t="array" ref="AK734">_xlfn.IFS(S734&lt;=3000,"Low",S734&lt;=7000,"Mid",S734&lt;=12000,"High",S734&gt;12000,"Top")</f>
        <v>Low</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_xlfn.IFS(A735&lt;=25,"Under 25",A735&lt;=35,"26–35",A735&lt;=45,"36–45",A735&gt;45,"46+")</f>
        <v>26–35</v>
      </c>
      <c r="AK735" t="str" cm="1">
        <f t="array" ref="AK735">_xlfn.IFS(S735&lt;=3000,"Low",S735&lt;=7000,"Mid",S735&lt;=12000,"High",S735&gt;12000,"Top")</f>
        <v>Mid</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_xlfn.IFS(A736&lt;=25,"Under 25",A736&lt;=35,"26–35",A736&lt;=45,"36–45",A736&gt;45,"46+")</f>
        <v>Under 25</v>
      </c>
      <c r="AK736" t="str" cm="1">
        <f t="array" ref="AK736">_xlfn.IFS(S736&lt;=3000,"Low",S736&lt;=7000,"Mid",S736&lt;=12000,"High",S736&gt;12000,"Top")</f>
        <v>Low</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_xlfn.IFS(A737&lt;=25,"Under 25",A737&lt;=35,"26–35",A737&lt;=45,"36–45",A737&gt;45,"46+")</f>
        <v>46+</v>
      </c>
      <c r="AK737" t="str" cm="1">
        <f t="array" ref="AK737">_xlfn.IFS(S737&lt;=3000,"Low",S737&lt;=7000,"Mid",S737&lt;=12000,"High",S737&gt;12000,"Top")</f>
        <v>Mid</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_xlfn.IFS(A738&lt;=25,"Under 25",A738&lt;=35,"26–35",A738&lt;=45,"36–45",A738&gt;45,"46+")</f>
        <v>46+</v>
      </c>
      <c r="AK738" t="str" cm="1">
        <f t="array" ref="AK738">_xlfn.IFS(S738&lt;=3000,"Low",S738&lt;=7000,"Mid",S738&lt;=12000,"High",S738&gt;12000,"Top")</f>
        <v>High</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_xlfn.IFS(A739&lt;=25,"Under 25",A739&lt;=35,"26–35",A739&lt;=45,"36–45",A739&gt;45,"46+")</f>
        <v>36–45</v>
      </c>
      <c r="AK739" t="str" cm="1">
        <f t="array" ref="AK739">_xlfn.IFS(S739&lt;=3000,"Low",S739&lt;=7000,"Mid",S739&lt;=12000,"High",S739&gt;12000,"Top")</f>
        <v>Mid</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_xlfn.IFS(A740&lt;=25,"Under 25",A740&lt;=35,"26–35",A740&lt;=45,"36–45",A740&gt;45,"46+")</f>
        <v>36–45</v>
      </c>
      <c r="AK740" t="str" cm="1">
        <f t="array" ref="AK740">_xlfn.IFS(S740&lt;=3000,"Low",S740&lt;=7000,"Mid",S740&lt;=12000,"High",S740&gt;12000,"Top")</f>
        <v>Top</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_xlfn.IFS(A741&lt;=25,"Under 25",A741&lt;=35,"26–35",A741&lt;=45,"36–45",A741&gt;45,"46+")</f>
        <v>26–35</v>
      </c>
      <c r="AK741" t="str" cm="1">
        <f t="array" ref="AK741">_xlfn.IFS(S741&lt;=3000,"Low",S741&lt;=7000,"Mid",S741&lt;=12000,"High",S741&gt;12000,"Top")</f>
        <v>Mid</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_xlfn.IFS(A742&lt;=25,"Under 25",A742&lt;=35,"26–35",A742&lt;=45,"36–45",A742&gt;45,"46+")</f>
        <v>26–35</v>
      </c>
      <c r="AK742" t="str" cm="1">
        <f t="array" ref="AK742">_xlfn.IFS(S742&lt;=3000,"Low",S742&lt;=7000,"Mid",S742&lt;=12000,"High",S742&gt;12000,"Top")</f>
        <v>Mid</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_xlfn.IFS(A743&lt;=25,"Under 25",A743&lt;=35,"26–35",A743&lt;=45,"36–45",A743&gt;45,"46+")</f>
        <v>36–45</v>
      </c>
      <c r="AK743" t="str" cm="1">
        <f t="array" ref="AK743">_xlfn.IFS(S743&lt;=3000,"Low",S743&lt;=7000,"Mid",S743&lt;=12000,"High",S743&gt;12000,"Top")</f>
        <v>Top</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_xlfn.IFS(A744&lt;=25,"Under 25",A744&lt;=35,"26–35",A744&lt;=45,"36–45",A744&gt;45,"46+")</f>
        <v>46+</v>
      </c>
      <c r="AK744" t="str" cm="1">
        <f t="array" ref="AK744">_xlfn.IFS(S744&lt;=3000,"Low",S744&lt;=7000,"Mid",S744&lt;=12000,"High",S744&gt;12000,"Top")</f>
        <v>Low</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_xlfn.IFS(A745&lt;=25,"Under 25",A745&lt;=35,"26–35",A745&lt;=45,"36–45",A745&gt;45,"46+")</f>
        <v>46+</v>
      </c>
      <c r="AK745" t="str" cm="1">
        <f t="array" ref="AK745">_xlfn.IFS(S745&lt;=3000,"Low",S745&lt;=7000,"Mid",S745&lt;=12000,"High",S745&gt;12000,"Top")</f>
        <v>Top</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_xlfn.IFS(A746&lt;=25,"Under 25",A746&lt;=35,"26–35",A746&lt;=45,"36–45",A746&gt;45,"46+")</f>
        <v>36–45</v>
      </c>
      <c r="AK746" t="str" cm="1">
        <f t="array" ref="AK746">_xlfn.IFS(S746&lt;=3000,"Low",S746&lt;=7000,"Mid",S746&lt;=12000,"High",S746&gt;12000,"Top")</f>
        <v>Mid</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_xlfn.IFS(A747&lt;=25,"Under 25",A747&lt;=35,"26–35",A747&lt;=45,"36–45",A747&gt;45,"46+")</f>
        <v>46+</v>
      </c>
      <c r="AK747" t="str" cm="1">
        <f t="array" ref="AK747">_xlfn.IFS(S747&lt;=3000,"Low",S747&lt;=7000,"Mid",S747&lt;=12000,"High",S747&gt;12000,"Top")</f>
        <v>Mid</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_xlfn.IFS(A748&lt;=25,"Under 25",A748&lt;=35,"26–35",A748&lt;=45,"36–45",A748&gt;45,"46+")</f>
        <v>36–45</v>
      </c>
      <c r="AK748" t="str" cm="1">
        <f t="array" ref="AK748">_xlfn.IFS(S748&lt;=3000,"Low",S748&lt;=7000,"Mid",S748&lt;=12000,"High",S748&gt;12000,"Top")</f>
        <v>Top</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_xlfn.IFS(A749&lt;=25,"Under 25",A749&lt;=35,"26–35",A749&lt;=45,"36–45",A749&gt;45,"46+")</f>
        <v>36–45</v>
      </c>
      <c r="AK749" t="str" cm="1">
        <f t="array" ref="AK749">_xlfn.IFS(S749&lt;=3000,"Low",S749&lt;=7000,"Mid",S749&lt;=12000,"High",S749&gt;12000,"Top")</f>
        <v>Mid</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_xlfn.IFS(A750&lt;=25,"Under 25",A750&lt;=35,"26–35",A750&lt;=45,"36–45",A750&gt;45,"46+")</f>
        <v>26–35</v>
      </c>
      <c r="AK750" t="str" cm="1">
        <f t="array" ref="AK750">_xlfn.IFS(S750&lt;=3000,"Low",S750&lt;=7000,"Mid",S750&lt;=12000,"High",S750&gt;12000,"Top")</f>
        <v>Mid</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_xlfn.IFS(A751&lt;=25,"Under 25",A751&lt;=35,"26–35",A751&lt;=45,"36–45",A751&gt;45,"46+")</f>
        <v>46+</v>
      </c>
      <c r="AK751" t="str" cm="1">
        <f t="array" ref="AK751">_xlfn.IFS(S751&lt;=3000,"Low",S751&lt;=7000,"Mid",S751&lt;=12000,"High",S751&gt;12000,"Top")</f>
        <v>Top</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_xlfn.IFS(A752&lt;=25,"Under 25",A752&lt;=35,"26–35",A752&lt;=45,"36–45",A752&gt;45,"46+")</f>
        <v>36–45</v>
      </c>
      <c r="AK752" t="str" cm="1">
        <f t="array" ref="AK752">_xlfn.IFS(S752&lt;=3000,"Low",S752&lt;=7000,"Mid",S752&lt;=12000,"High",S752&gt;12000,"Top")</f>
        <v>Top</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_xlfn.IFS(A753&lt;=25,"Under 25",A753&lt;=35,"26–35",A753&lt;=45,"36–45",A753&gt;45,"46+")</f>
        <v>46+</v>
      </c>
      <c r="AK753" t="str" cm="1">
        <f t="array" ref="AK753">_xlfn.IFS(S753&lt;=3000,"Low",S753&lt;=7000,"Mid",S753&lt;=12000,"High",S753&gt;12000,"Top")</f>
        <v>Mid</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_xlfn.IFS(A754&lt;=25,"Under 25",A754&lt;=35,"26–35",A754&lt;=45,"36–45",A754&gt;45,"46+")</f>
        <v>36–45</v>
      </c>
      <c r="AK754" t="str" cm="1">
        <f t="array" ref="AK754">_xlfn.IFS(S754&lt;=3000,"Low",S754&lt;=7000,"Mid",S754&lt;=12000,"High",S754&gt;12000,"Top")</f>
        <v>Low</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_xlfn.IFS(A755&lt;=25,"Under 25",A755&lt;=35,"26–35",A755&lt;=45,"36–45",A755&gt;45,"46+")</f>
        <v>36–45</v>
      </c>
      <c r="AK755" t="str" cm="1">
        <f t="array" ref="AK755">_xlfn.IFS(S755&lt;=3000,"Low",S755&lt;=7000,"Mid",S755&lt;=12000,"High",S755&gt;12000,"Top")</f>
        <v>High</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_xlfn.IFS(A756&lt;=25,"Under 25",A756&lt;=35,"26–35",A756&lt;=45,"36–45",A756&gt;45,"46+")</f>
        <v>26–35</v>
      </c>
      <c r="AK756" t="str" cm="1">
        <f t="array" ref="AK756">_xlfn.IFS(S756&lt;=3000,"Low",S756&lt;=7000,"Mid",S756&lt;=12000,"High",S756&gt;12000,"Top")</f>
        <v>Low</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_xlfn.IFS(A757&lt;=25,"Under 25",A757&lt;=35,"26–35",A757&lt;=45,"36–45",A757&gt;45,"46+")</f>
        <v>36–45</v>
      </c>
      <c r="AK757" t="str" cm="1">
        <f t="array" ref="AK757">_xlfn.IFS(S757&lt;=3000,"Low",S757&lt;=7000,"Mid",S757&lt;=12000,"High",S757&gt;12000,"Top")</f>
        <v>Top</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_xlfn.IFS(A758&lt;=25,"Under 25",A758&lt;=35,"26–35",A758&lt;=45,"36–45",A758&gt;45,"46+")</f>
        <v>26–35</v>
      </c>
      <c r="AK758" t="str" cm="1">
        <f t="array" ref="AK758">_xlfn.IFS(S758&lt;=3000,"Low",S758&lt;=7000,"Mid",S758&lt;=12000,"High",S758&gt;12000,"Top")</f>
        <v>Mid</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_xlfn.IFS(A759&lt;=25,"Under 25",A759&lt;=35,"26–35",A759&lt;=45,"36–45",A759&gt;45,"46+")</f>
        <v>26–35</v>
      </c>
      <c r="AK759" t="str" cm="1">
        <f t="array" ref="AK759">_xlfn.IFS(S759&lt;=3000,"Low",S759&lt;=7000,"Mid",S759&lt;=12000,"High",S759&gt;12000,"Top")</f>
        <v>High</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_xlfn.IFS(A760&lt;=25,"Under 25",A760&lt;=35,"26–35",A760&lt;=45,"36–45",A760&gt;45,"46+")</f>
        <v>46+</v>
      </c>
      <c r="AK760" t="str" cm="1">
        <f t="array" ref="AK760">_xlfn.IFS(S760&lt;=3000,"Low",S760&lt;=7000,"Mid",S760&lt;=12000,"High",S760&gt;12000,"Top")</f>
        <v>High</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_xlfn.IFS(A761&lt;=25,"Under 25",A761&lt;=35,"26–35",A761&lt;=45,"36–45",A761&gt;45,"46+")</f>
        <v>36–45</v>
      </c>
      <c r="AK761" t="str" cm="1">
        <f t="array" ref="AK761">_xlfn.IFS(S761&lt;=3000,"Low",S761&lt;=7000,"Mid",S761&lt;=12000,"High",S761&gt;12000,"Top")</f>
        <v>Low</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_xlfn.IFS(A762&lt;=25,"Under 25",A762&lt;=35,"26–35",A762&lt;=45,"36–45",A762&gt;45,"46+")</f>
        <v>46+</v>
      </c>
      <c r="AK762" t="str" cm="1">
        <f t="array" ref="AK762">_xlfn.IFS(S762&lt;=3000,"Low",S762&lt;=7000,"Mid",S762&lt;=12000,"High",S762&gt;12000,"Top")</f>
        <v>High</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_xlfn.IFS(A763&lt;=25,"Under 25",A763&lt;=35,"26–35",A763&lt;=45,"36–45",A763&gt;45,"46+")</f>
        <v>36–45</v>
      </c>
      <c r="AK763" t="str" cm="1">
        <f t="array" ref="AK763">_xlfn.IFS(S763&lt;=3000,"Low",S763&lt;=7000,"Mid",S763&lt;=12000,"High",S763&gt;12000,"Top")</f>
        <v>Mid</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_xlfn.IFS(A764&lt;=25,"Under 25",A764&lt;=35,"26–35",A764&lt;=45,"36–45",A764&gt;45,"46+")</f>
        <v>26–35</v>
      </c>
      <c r="AK764" t="str" cm="1">
        <f t="array" ref="AK764">_xlfn.IFS(S764&lt;=3000,"Low",S764&lt;=7000,"Mid",S764&lt;=12000,"High",S764&gt;12000,"Top")</f>
        <v>Low</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_xlfn.IFS(A765&lt;=25,"Under 25",A765&lt;=35,"26–35",A765&lt;=45,"36–45",A765&gt;45,"46+")</f>
        <v>26–35</v>
      </c>
      <c r="AK765" t="str" cm="1">
        <f t="array" ref="AK765">_xlfn.IFS(S765&lt;=3000,"Low",S765&lt;=7000,"Mid",S765&lt;=12000,"High",S765&gt;12000,"Top")</f>
        <v>Low</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_xlfn.IFS(A766&lt;=25,"Under 25",A766&lt;=35,"26–35",A766&lt;=45,"36–45",A766&gt;45,"46+")</f>
        <v>26–35</v>
      </c>
      <c r="AK766" t="str" cm="1">
        <f t="array" ref="AK766">_xlfn.IFS(S766&lt;=3000,"Low",S766&lt;=7000,"Mid",S766&lt;=12000,"High",S766&gt;12000,"Top")</f>
        <v>Low</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_xlfn.IFS(A767&lt;=25,"Under 25",A767&lt;=35,"26–35",A767&lt;=45,"36–45",A767&gt;45,"46+")</f>
        <v>36–45</v>
      </c>
      <c r="AK767" t="str" cm="1">
        <f t="array" ref="AK767">_xlfn.IFS(S767&lt;=3000,"Low",S767&lt;=7000,"Mid",S767&lt;=12000,"High",S767&gt;12000,"Top")</f>
        <v>Low</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_xlfn.IFS(A768&lt;=25,"Under 25",A768&lt;=35,"26–35",A768&lt;=45,"36–45",A768&gt;45,"46+")</f>
        <v>46+</v>
      </c>
      <c r="AK768" t="str" cm="1">
        <f t="array" ref="AK768">_xlfn.IFS(S768&lt;=3000,"Low",S768&lt;=7000,"Mid",S768&lt;=12000,"High",S768&gt;12000,"Top")</f>
        <v>Top</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_xlfn.IFS(A769&lt;=25,"Under 25",A769&lt;=35,"26–35",A769&lt;=45,"36–45",A769&gt;45,"46+")</f>
        <v>36–45</v>
      </c>
      <c r="AK769" t="str" cm="1">
        <f t="array" ref="AK769">_xlfn.IFS(S769&lt;=3000,"Low",S769&lt;=7000,"Mid",S769&lt;=12000,"High",S769&gt;12000,"Top")</f>
        <v>Mid</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_xlfn.IFS(A770&lt;=25,"Under 25",A770&lt;=35,"26–35",A770&lt;=45,"36–45",A770&gt;45,"46+")</f>
        <v>36–45</v>
      </c>
      <c r="AK770" t="str" cm="1">
        <f t="array" ref="AK770">_xlfn.IFS(S770&lt;=3000,"Low",S770&lt;=7000,"Mid",S770&lt;=12000,"High",S770&gt;12000,"Top")</f>
        <v>High</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_xlfn.IFS(A771&lt;=25,"Under 25",A771&lt;=35,"26–35",A771&lt;=45,"36–45",A771&gt;45,"46+")</f>
        <v>26–35</v>
      </c>
      <c r="AK771" t="str" cm="1">
        <f t="array" ref="AK771">_xlfn.IFS(S771&lt;=3000,"Low",S771&lt;=7000,"Mid",S771&lt;=12000,"High",S771&gt;12000,"Top")</f>
        <v>Low</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_xlfn.IFS(A772&lt;=25,"Under 25",A772&lt;=35,"26–35",A772&lt;=45,"36–45",A772&gt;45,"46+")</f>
        <v>46+</v>
      </c>
      <c r="AK772" t="str" cm="1">
        <f t="array" ref="AK772">_xlfn.IFS(S772&lt;=3000,"Low",S772&lt;=7000,"Mid",S772&lt;=12000,"High",S772&gt;12000,"Top")</f>
        <v>Top</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_xlfn.IFS(A773&lt;=25,"Under 25",A773&lt;=35,"26–35",A773&lt;=45,"36–45",A773&gt;45,"46+")</f>
        <v>46+</v>
      </c>
      <c r="AK773" t="str" cm="1">
        <f t="array" ref="AK773">_xlfn.IFS(S773&lt;=3000,"Low",S773&lt;=7000,"Mid",S773&lt;=12000,"High",S773&gt;12000,"Top")</f>
        <v>High</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_xlfn.IFS(A774&lt;=25,"Under 25",A774&lt;=35,"26–35",A774&lt;=45,"36–45",A774&gt;45,"46+")</f>
        <v>46+</v>
      </c>
      <c r="AK774" t="str" cm="1">
        <f t="array" ref="AK774">_xlfn.IFS(S774&lt;=3000,"Low",S774&lt;=7000,"Mid",S774&lt;=12000,"High",S774&gt;12000,"Top")</f>
        <v>Low</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_xlfn.IFS(A775&lt;=25,"Under 25",A775&lt;=35,"26–35",A775&lt;=45,"36–45",A775&gt;45,"46+")</f>
        <v>36–45</v>
      </c>
      <c r="AK775" t="str" cm="1">
        <f t="array" ref="AK775">_xlfn.IFS(S775&lt;=3000,"Low",S775&lt;=7000,"Mid",S775&lt;=12000,"High",S775&gt;12000,"Top")</f>
        <v>High</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_xlfn.IFS(A776&lt;=25,"Under 25",A776&lt;=35,"26–35",A776&lt;=45,"36–45",A776&gt;45,"46+")</f>
        <v>46+</v>
      </c>
      <c r="AK776" t="str" cm="1">
        <f t="array" ref="AK776">_xlfn.IFS(S776&lt;=3000,"Low",S776&lt;=7000,"Mid",S776&lt;=12000,"High",S776&gt;12000,"Top")</f>
        <v>Top</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_xlfn.IFS(A777&lt;=25,"Under 25",A777&lt;=35,"26–35",A777&lt;=45,"36–45",A777&gt;45,"46+")</f>
        <v>36–45</v>
      </c>
      <c r="AK777" t="str" cm="1">
        <f t="array" ref="AK777">_xlfn.IFS(S777&lt;=3000,"Low",S777&lt;=7000,"Mid",S777&lt;=12000,"High",S777&gt;12000,"Top")</f>
        <v>High</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_xlfn.IFS(A778&lt;=25,"Under 25",A778&lt;=35,"26–35",A778&lt;=45,"36–45",A778&gt;45,"46+")</f>
        <v>Under 25</v>
      </c>
      <c r="AK778" t="str" cm="1">
        <f t="array" ref="AK778">_xlfn.IFS(S778&lt;=3000,"Low",S778&lt;=7000,"Mid",S778&lt;=12000,"High",S778&gt;12000,"Top")</f>
        <v>Low</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_xlfn.IFS(A779&lt;=25,"Under 25",A779&lt;=35,"26–35",A779&lt;=45,"36–45",A779&gt;45,"46+")</f>
        <v>Under 25</v>
      </c>
      <c r="AK779" t="str" cm="1">
        <f t="array" ref="AK779">_xlfn.IFS(S779&lt;=3000,"Low",S779&lt;=7000,"Mid",S779&lt;=12000,"High",S779&gt;12000,"Top")</f>
        <v>Low</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_xlfn.IFS(A780&lt;=25,"Under 25",A780&lt;=35,"26–35",A780&lt;=45,"36–45",A780&gt;45,"46+")</f>
        <v>46+</v>
      </c>
      <c r="AK780" t="str" cm="1">
        <f t="array" ref="AK780">_xlfn.IFS(S780&lt;=3000,"Low",S780&lt;=7000,"Mid",S780&lt;=12000,"High",S780&gt;12000,"Top")</f>
        <v>Mid</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_xlfn.IFS(A781&lt;=25,"Under 25",A781&lt;=35,"26–35",A781&lt;=45,"36–45",A781&gt;45,"46+")</f>
        <v>46+</v>
      </c>
      <c r="AK781" t="str" cm="1">
        <f t="array" ref="AK781">_xlfn.IFS(S781&lt;=3000,"Low",S781&lt;=7000,"Mid",S781&lt;=12000,"High",S781&gt;12000,"Top")</f>
        <v>Low</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_xlfn.IFS(A782&lt;=25,"Under 25",A782&lt;=35,"26–35",A782&lt;=45,"36–45",A782&gt;45,"46+")</f>
        <v>26–35</v>
      </c>
      <c r="AK782" t="str" cm="1">
        <f t="array" ref="AK782">_xlfn.IFS(S782&lt;=3000,"Low",S782&lt;=7000,"Mid",S782&lt;=12000,"High",S782&gt;12000,"Top")</f>
        <v>High</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_xlfn.IFS(A783&lt;=25,"Under 25",A783&lt;=35,"26–35",A783&lt;=45,"36–45",A783&gt;45,"46+")</f>
        <v>26–35</v>
      </c>
      <c r="AK783" t="str" cm="1">
        <f t="array" ref="AK783">_xlfn.IFS(S783&lt;=3000,"Low",S783&lt;=7000,"Mid",S783&lt;=12000,"High",S783&gt;12000,"Top")</f>
        <v>Mid</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_xlfn.IFS(A784&lt;=25,"Under 25",A784&lt;=35,"26–35",A784&lt;=45,"36–45",A784&gt;45,"46+")</f>
        <v>26–35</v>
      </c>
      <c r="AK784" t="str" cm="1">
        <f t="array" ref="AK784">_xlfn.IFS(S784&lt;=3000,"Low",S784&lt;=7000,"Mid",S784&lt;=12000,"High",S784&gt;12000,"Top")</f>
        <v>High</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_xlfn.IFS(A785&lt;=25,"Under 25",A785&lt;=35,"26–35",A785&lt;=45,"36–45",A785&gt;45,"46+")</f>
        <v>36–45</v>
      </c>
      <c r="AK785" t="str" cm="1">
        <f t="array" ref="AK785">_xlfn.IFS(S785&lt;=3000,"Low",S785&lt;=7000,"Mid",S785&lt;=12000,"High",S785&gt;12000,"Top")</f>
        <v>Mid</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_xlfn.IFS(A786&lt;=25,"Under 25",A786&lt;=35,"26–35",A786&lt;=45,"36–45",A786&gt;45,"46+")</f>
        <v>36–45</v>
      </c>
      <c r="AK786" t="str" cm="1">
        <f t="array" ref="AK786">_xlfn.IFS(S786&lt;=3000,"Low",S786&lt;=7000,"Mid",S786&lt;=12000,"High",S786&gt;12000,"Top")</f>
        <v>High</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_xlfn.IFS(A787&lt;=25,"Under 25",A787&lt;=35,"26–35",A787&lt;=45,"36–45",A787&gt;45,"46+")</f>
        <v>36–45</v>
      </c>
      <c r="AK787" t="str" cm="1">
        <f t="array" ref="AK787">_xlfn.IFS(S787&lt;=3000,"Low",S787&lt;=7000,"Mid",S787&lt;=12000,"High",S787&gt;12000,"Top")</f>
        <v>High</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_xlfn.IFS(A788&lt;=25,"Under 25",A788&lt;=35,"26–35",A788&lt;=45,"36–45",A788&gt;45,"46+")</f>
        <v>26–35</v>
      </c>
      <c r="AK788" t="str" cm="1">
        <f t="array" ref="AK788">_xlfn.IFS(S788&lt;=3000,"Low",S788&lt;=7000,"Mid",S788&lt;=12000,"High",S788&gt;12000,"Top")</f>
        <v>Mid</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_xlfn.IFS(A789&lt;=25,"Under 25",A789&lt;=35,"26–35",A789&lt;=45,"36–45",A789&gt;45,"46+")</f>
        <v>46+</v>
      </c>
      <c r="AK789" t="str" cm="1">
        <f t="array" ref="AK789">_xlfn.IFS(S789&lt;=3000,"Low",S789&lt;=7000,"Mid",S789&lt;=12000,"High",S789&gt;12000,"Top")</f>
        <v>High</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_xlfn.IFS(A790&lt;=25,"Under 25",A790&lt;=35,"26–35",A790&lt;=45,"36–45",A790&gt;45,"46+")</f>
        <v>26–35</v>
      </c>
      <c r="AK790" t="str" cm="1">
        <f t="array" ref="AK790">_xlfn.IFS(S790&lt;=3000,"Low",S790&lt;=7000,"Mid",S790&lt;=12000,"High",S790&gt;12000,"Top")</f>
        <v>Mid</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_xlfn.IFS(A791&lt;=25,"Under 25",A791&lt;=35,"26–35",A791&lt;=45,"36–45",A791&gt;45,"46+")</f>
        <v>36–45</v>
      </c>
      <c r="AK791" t="str" cm="1">
        <f t="array" ref="AK791">_xlfn.IFS(S791&lt;=3000,"Low",S791&lt;=7000,"Mid",S791&lt;=12000,"High",S791&gt;12000,"Top")</f>
        <v>High</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_xlfn.IFS(A792&lt;=25,"Under 25",A792&lt;=35,"26–35",A792&lt;=45,"36–45",A792&gt;45,"46+")</f>
        <v>26–35</v>
      </c>
      <c r="AK792" t="str" cm="1">
        <f t="array" ref="AK792">_xlfn.IFS(S792&lt;=3000,"Low",S792&lt;=7000,"Mid",S792&lt;=12000,"High",S792&gt;12000,"Top")</f>
        <v>High</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_xlfn.IFS(A793&lt;=25,"Under 25",A793&lt;=35,"26–35",A793&lt;=45,"36–45",A793&gt;45,"46+")</f>
        <v>26–35</v>
      </c>
      <c r="AK793" t="str" cm="1">
        <f t="array" ref="AK793">_xlfn.IFS(S793&lt;=3000,"Low",S793&lt;=7000,"Mid",S793&lt;=12000,"High",S793&gt;12000,"Top")</f>
        <v>High</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_xlfn.IFS(A794&lt;=25,"Under 25",A794&lt;=35,"26–35",A794&lt;=45,"36–45",A794&gt;45,"46+")</f>
        <v>26–35</v>
      </c>
      <c r="AK794" t="str" cm="1">
        <f t="array" ref="AK794">_xlfn.IFS(S794&lt;=3000,"Low",S794&lt;=7000,"Mid",S794&lt;=12000,"High",S794&gt;12000,"Top")</f>
        <v>Mid</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_xlfn.IFS(A795&lt;=25,"Under 25",A795&lt;=35,"26–35",A795&lt;=45,"36–45",A795&gt;45,"46+")</f>
        <v>26–35</v>
      </c>
      <c r="AK795" t="str" cm="1">
        <f t="array" ref="AK795">_xlfn.IFS(S795&lt;=3000,"Low",S795&lt;=7000,"Mid",S795&lt;=12000,"High",S795&gt;12000,"Top")</f>
        <v>Low</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_xlfn.IFS(A796&lt;=25,"Under 25",A796&lt;=35,"26–35",A796&lt;=45,"36–45",A796&gt;45,"46+")</f>
        <v>26–35</v>
      </c>
      <c r="AK796" t="str" cm="1">
        <f t="array" ref="AK796">_xlfn.IFS(S796&lt;=3000,"Low",S796&lt;=7000,"Mid",S796&lt;=12000,"High",S796&gt;12000,"Top")</f>
        <v>High</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_xlfn.IFS(A797&lt;=25,"Under 25",A797&lt;=35,"26–35",A797&lt;=45,"36–45",A797&gt;45,"46+")</f>
        <v>36–45</v>
      </c>
      <c r="AK797" t="str" cm="1">
        <f t="array" ref="AK797">_xlfn.IFS(S797&lt;=3000,"Low",S797&lt;=7000,"Mid",S797&lt;=12000,"High",S797&gt;12000,"Top")</f>
        <v>Mid</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_xlfn.IFS(A798&lt;=25,"Under 25",A798&lt;=35,"26–35",A798&lt;=45,"36–45",A798&gt;45,"46+")</f>
        <v>Under 25</v>
      </c>
      <c r="AK798" t="str" cm="1">
        <f t="array" ref="AK798">_xlfn.IFS(S798&lt;=3000,"Low",S798&lt;=7000,"Mid",S798&lt;=12000,"High",S798&gt;12000,"Top")</f>
        <v>Mid</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_xlfn.IFS(A799&lt;=25,"Under 25",A799&lt;=35,"26–35",A799&lt;=45,"36–45",A799&gt;45,"46+")</f>
        <v>26–35</v>
      </c>
      <c r="AK799" t="str" cm="1">
        <f t="array" ref="AK799">_xlfn.IFS(S799&lt;=3000,"Low",S799&lt;=7000,"Mid",S799&lt;=12000,"High",S799&gt;12000,"Top")</f>
        <v>Low</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_xlfn.IFS(A800&lt;=25,"Under 25",A800&lt;=35,"26–35",A800&lt;=45,"36–45",A800&gt;45,"46+")</f>
        <v>26–35</v>
      </c>
      <c r="AK800" t="str" cm="1">
        <f t="array" ref="AK800">_xlfn.IFS(S800&lt;=3000,"Low",S800&lt;=7000,"Mid",S800&lt;=12000,"High",S800&gt;12000,"Top")</f>
        <v>Low</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_xlfn.IFS(A801&lt;=25,"Under 25",A801&lt;=35,"26–35",A801&lt;=45,"36–45",A801&gt;45,"46+")</f>
        <v>36–45</v>
      </c>
      <c r="AK801" t="str" cm="1">
        <f t="array" ref="AK801">_xlfn.IFS(S801&lt;=3000,"Low",S801&lt;=7000,"Mid",S801&lt;=12000,"High",S801&gt;12000,"Top")</f>
        <v>Top</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_xlfn.IFS(A802&lt;=25,"Under 25",A802&lt;=35,"26–35",A802&lt;=45,"36–45",A802&gt;45,"46+")</f>
        <v>26–35</v>
      </c>
      <c r="AK802" t="str" cm="1">
        <f t="array" ref="AK802">_xlfn.IFS(S802&lt;=3000,"Low",S802&lt;=7000,"Mid",S802&lt;=12000,"High",S802&gt;12000,"Top")</f>
        <v>Low</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_xlfn.IFS(A803&lt;=25,"Under 25",A803&lt;=35,"26–35",A803&lt;=45,"36–45",A803&gt;45,"46+")</f>
        <v>46+</v>
      </c>
      <c r="AK803" t="str" cm="1">
        <f t="array" ref="AK803">_xlfn.IFS(S803&lt;=3000,"Low",S803&lt;=7000,"Mid",S803&lt;=12000,"High",S803&gt;12000,"Top")</f>
        <v>Mid</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_xlfn.IFS(A804&lt;=25,"Under 25",A804&lt;=35,"26–35",A804&lt;=45,"36–45",A804&gt;45,"46+")</f>
        <v>26–35</v>
      </c>
      <c r="AK804" t="str" cm="1">
        <f t="array" ref="AK804">_xlfn.IFS(S804&lt;=3000,"Low",S804&lt;=7000,"Mid",S804&lt;=12000,"High",S804&gt;12000,"Top")</f>
        <v>Mid</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_xlfn.IFS(A805&lt;=25,"Under 25",A805&lt;=35,"26–35",A805&lt;=45,"36–45",A805&gt;45,"46+")</f>
        <v>26–35</v>
      </c>
      <c r="AK805" t="str" cm="1">
        <f t="array" ref="AK805">_xlfn.IFS(S805&lt;=3000,"Low",S805&lt;=7000,"Mid",S805&lt;=12000,"High",S805&gt;12000,"Top")</f>
        <v>Low</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_xlfn.IFS(A806&lt;=25,"Under 25",A806&lt;=35,"26–35",A806&lt;=45,"36–45",A806&gt;45,"46+")</f>
        <v>46+</v>
      </c>
      <c r="AK806" t="str" cm="1">
        <f t="array" ref="AK806">_xlfn.IFS(S806&lt;=3000,"Low",S806&lt;=7000,"Mid",S806&lt;=12000,"High",S806&gt;12000,"Top")</f>
        <v>Top</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_xlfn.IFS(A807&lt;=25,"Under 25",A807&lt;=35,"26–35",A807&lt;=45,"36–45",A807&gt;45,"46+")</f>
        <v>36–45</v>
      </c>
      <c r="AK807" t="str" cm="1">
        <f t="array" ref="AK807">_xlfn.IFS(S807&lt;=3000,"Low",S807&lt;=7000,"Mid",S807&lt;=12000,"High",S807&gt;12000,"Top")</f>
        <v>Mid</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_xlfn.IFS(A808&lt;=25,"Under 25",A808&lt;=35,"26–35",A808&lt;=45,"36–45",A808&gt;45,"46+")</f>
        <v>46+</v>
      </c>
      <c r="AK808" t="str" cm="1">
        <f t="array" ref="AK808">_xlfn.IFS(S808&lt;=3000,"Low",S808&lt;=7000,"Mid",S808&lt;=12000,"High",S808&gt;12000,"Top")</f>
        <v>High</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_xlfn.IFS(A809&lt;=25,"Under 25",A809&lt;=35,"26–35",A809&lt;=45,"36–45",A809&gt;45,"46+")</f>
        <v>36–45</v>
      </c>
      <c r="AK809" t="str" cm="1">
        <f t="array" ref="AK809">_xlfn.IFS(S809&lt;=3000,"Low",S809&lt;=7000,"Mid",S809&lt;=12000,"High",S809&gt;12000,"Top")</f>
        <v>High</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_xlfn.IFS(A810&lt;=25,"Under 25",A810&lt;=35,"26–35",A810&lt;=45,"36–45",A810&gt;45,"46+")</f>
        <v>26–35</v>
      </c>
      <c r="AK810" t="str" cm="1">
        <f t="array" ref="AK810">_xlfn.IFS(S810&lt;=3000,"Low",S810&lt;=7000,"Mid",S810&lt;=12000,"High",S810&gt;12000,"Top")</f>
        <v>Low</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_xlfn.IFS(A811&lt;=25,"Under 25",A811&lt;=35,"26–35",A811&lt;=45,"36–45",A811&gt;45,"46+")</f>
        <v>26–35</v>
      </c>
      <c r="AK811" t="str" cm="1">
        <f t="array" ref="AK811">_xlfn.IFS(S811&lt;=3000,"Low",S811&lt;=7000,"Mid",S811&lt;=12000,"High",S811&gt;12000,"Top")</f>
        <v>High</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_xlfn.IFS(A812&lt;=25,"Under 25",A812&lt;=35,"26–35",A812&lt;=45,"36–45",A812&gt;45,"46+")</f>
        <v>46+</v>
      </c>
      <c r="AK812" t="str" cm="1">
        <f t="array" ref="AK812">_xlfn.IFS(S812&lt;=3000,"Low",S812&lt;=7000,"Mid",S812&lt;=12000,"High",S812&gt;12000,"Top")</f>
        <v>Top</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_xlfn.IFS(A813&lt;=25,"Under 25",A813&lt;=35,"26–35",A813&lt;=45,"36–45",A813&gt;45,"46+")</f>
        <v>36–45</v>
      </c>
      <c r="AK813" t="str" cm="1">
        <f t="array" ref="AK813">_xlfn.IFS(S813&lt;=3000,"Low",S813&lt;=7000,"Mid",S813&lt;=12000,"High",S813&gt;12000,"Top")</f>
        <v>High</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_xlfn.IFS(A814&lt;=25,"Under 25",A814&lt;=35,"26–35",A814&lt;=45,"36–45",A814&gt;45,"46+")</f>
        <v>36–45</v>
      </c>
      <c r="AK814" t="str" cm="1">
        <f t="array" ref="AK814">_xlfn.IFS(S814&lt;=3000,"Low",S814&lt;=7000,"Mid",S814&lt;=12000,"High",S814&gt;12000,"Top")</f>
        <v>High</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_xlfn.IFS(A815&lt;=25,"Under 25",A815&lt;=35,"26–35",A815&lt;=45,"36–45",A815&gt;45,"46+")</f>
        <v>36–45</v>
      </c>
      <c r="AK815" t="str" cm="1">
        <f t="array" ref="AK815">_xlfn.IFS(S815&lt;=3000,"Low",S815&lt;=7000,"Mid",S815&lt;=12000,"High",S815&gt;12000,"Top")</f>
        <v>Top</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_xlfn.IFS(A816&lt;=25,"Under 25",A816&lt;=35,"26–35",A816&lt;=45,"36–45",A816&gt;45,"46+")</f>
        <v>36–45</v>
      </c>
      <c r="AK816" t="str" cm="1">
        <f t="array" ref="AK816">_xlfn.IFS(S816&lt;=3000,"Low",S816&lt;=7000,"Mid",S816&lt;=12000,"High",S816&gt;12000,"Top")</f>
        <v>Top</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_xlfn.IFS(A817&lt;=25,"Under 25",A817&lt;=35,"26–35",A817&lt;=45,"36–45",A817&gt;45,"46+")</f>
        <v>Under 25</v>
      </c>
      <c r="AK817" t="str" cm="1">
        <f t="array" ref="AK817">_xlfn.IFS(S817&lt;=3000,"Low",S817&lt;=7000,"Mid",S817&lt;=12000,"High",S817&gt;12000,"Top")</f>
        <v>Low</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_xlfn.IFS(A818&lt;=25,"Under 25",A818&lt;=35,"26–35",A818&lt;=45,"36–45",A818&gt;45,"46+")</f>
        <v>36–45</v>
      </c>
      <c r="AK818" t="str" cm="1">
        <f t="array" ref="AK818">_xlfn.IFS(S818&lt;=3000,"Low",S818&lt;=7000,"Mid",S818&lt;=12000,"High",S818&gt;12000,"Top")</f>
        <v>Mid</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_xlfn.IFS(A819&lt;=25,"Under 25",A819&lt;=35,"26–35",A819&lt;=45,"36–45",A819&gt;45,"46+")</f>
        <v>36–45</v>
      </c>
      <c r="AK819" t="str" cm="1">
        <f t="array" ref="AK819">_xlfn.IFS(S819&lt;=3000,"Low",S819&lt;=7000,"Mid",S819&lt;=12000,"High",S819&gt;12000,"Top")</f>
        <v>High</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_xlfn.IFS(A820&lt;=25,"Under 25",A820&lt;=35,"26–35",A820&lt;=45,"36–45",A820&gt;45,"46+")</f>
        <v>26–35</v>
      </c>
      <c r="AK820" t="str" cm="1">
        <f t="array" ref="AK820">_xlfn.IFS(S820&lt;=3000,"Low",S820&lt;=7000,"Mid",S820&lt;=12000,"High",S820&gt;12000,"Top")</f>
        <v>Low</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_xlfn.IFS(A821&lt;=25,"Under 25",A821&lt;=35,"26–35",A821&lt;=45,"36–45",A821&gt;45,"46+")</f>
        <v>26–35</v>
      </c>
      <c r="AK821" t="str" cm="1">
        <f t="array" ref="AK821">_xlfn.IFS(S821&lt;=3000,"Low",S821&lt;=7000,"Mid",S821&lt;=12000,"High",S821&gt;12000,"Top")</f>
        <v>Mid</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_xlfn.IFS(A822&lt;=25,"Under 25",A822&lt;=35,"26–35",A822&lt;=45,"36–45",A822&gt;45,"46+")</f>
        <v>26–35</v>
      </c>
      <c r="AK822" t="str" cm="1">
        <f t="array" ref="AK822">_xlfn.IFS(S822&lt;=3000,"Low",S822&lt;=7000,"Mid",S822&lt;=12000,"High",S822&gt;12000,"Top")</f>
        <v>Mid</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_xlfn.IFS(A823&lt;=25,"Under 25",A823&lt;=35,"26–35",A823&lt;=45,"36–45",A823&gt;45,"46+")</f>
        <v>46+</v>
      </c>
      <c r="AK823" t="str" cm="1">
        <f t="array" ref="AK823">_xlfn.IFS(S823&lt;=3000,"Low",S823&lt;=7000,"Mid",S823&lt;=12000,"High",S823&gt;12000,"Top")</f>
        <v>Top</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_xlfn.IFS(A824&lt;=25,"Under 25",A824&lt;=35,"26–35",A824&lt;=45,"36–45",A824&gt;45,"46+")</f>
        <v>26–35</v>
      </c>
      <c r="AK824" t="str" cm="1">
        <f t="array" ref="AK824">_xlfn.IFS(S824&lt;=3000,"Low",S824&lt;=7000,"Mid",S824&lt;=12000,"High",S824&gt;12000,"Top")</f>
        <v>Mid</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_xlfn.IFS(A825&lt;=25,"Under 25",A825&lt;=35,"26–35",A825&lt;=45,"36–45",A825&gt;45,"46+")</f>
        <v>26–35</v>
      </c>
      <c r="AK825" t="str" cm="1">
        <f t="array" ref="AK825">_xlfn.IFS(S825&lt;=3000,"Low",S825&lt;=7000,"Mid",S825&lt;=12000,"High",S825&gt;12000,"Top")</f>
        <v>Mid</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_xlfn.IFS(A826&lt;=25,"Under 25",A826&lt;=35,"26–35",A826&lt;=45,"36–45",A826&gt;45,"46+")</f>
        <v>36–45</v>
      </c>
      <c r="AK826" t="str" cm="1">
        <f t="array" ref="AK826">_xlfn.IFS(S826&lt;=3000,"Low",S826&lt;=7000,"Mid",S826&lt;=12000,"High",S826&gt;12000,"Top")</f>
        <v>Mid</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_xlfn.IFS(A827&lt;=25,"Under 25",A827&lt;=35,"26–35",A827&lt;=45,"36–45",A827&gt;45,"46+")</f>
        <v>26–35</v>
      </c>
      <c r="AK827" t="str" cm="1">
        <f t="array" ref="AK827">_xlfn.IFS(S827&lt;=3000,"Low",S827&lt;=7000,"Mid",S827&lt;=12000,"High",S827&gt;12000,"Top")</f>
        <v>Mid</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_xlfn.IFS(A828&lt;=25,"Under 25",A828&lt;=35,"26–35",A828&lt;=45,"36–45",A828&gt;45,"46+")</f>
        <v>36–45</v>
      </c>
      <c r="AK828" t="str" cm="1">
        <f t="array" ref="AK828">_xlfn.IFS(S828&lt;=3000,"Low",S828&lt;=7000,"Mid",S828&lt;=12000,"High",S828&gt;12000,"Top")</f>
        <v>Low</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_xlfn.IFS(A829&lt;=25,"Under 25",A829&lt;=35,"26–35",A829&lt;=45,"36–45",A829&gt;45,"46+")</f>
        <v>26–35</v>
      </c>
      <c r="AK829" t="str" cm="1">
        <f t="array" ref="AK829">_xlfn.IFS(S829&lt;=3000,"Low",S829&lt;=7000,"Mid",S829&lt;=12000,"High",S829&gt;12000,"Top")</f>
        <v>Low</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_xlfn.IFS(A830&lt;=25,"Under 25",A830&lt;=35,"26–35",A830&lt;=45,"36–45",A830&gt;45,"46+")</f>
        <v>Under 25</v>
      </c>
      <c r="AK830" t="str" cm="1">
        <f t="array" ref="AK830">_xlfn.IFS(S830&lt;=3000,"Low",S830&lt;=7000,"Mid",S830&lt;=12000,"High",S830&gt;12000,"Top")</f>
        <v>Low</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_xlfn.IFS(A831&lt;=25,"Under 25",A831&lt;=35,"26–35",A831&lt;=45,"36–45",A831&gt;45,"46+")</f>
        <v>26–35</v>
      </c>
      <c r="AK831" t="str" cm="1">
        <f t="array" ref="AK831">_xlfn.IFS(S831&lt;=3000,"Low",S831&lt;=7000,"Mid",S831&lt;=12000,"High",S831&gt;12000,"Top")</f>
        <v>High</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_xlfn.IFS(A832&lt;=25,"Under 25",A832&lt;=35,"26–35",A832&lt;=45,"36–45",A832&gt;45,"46+")</f>
        <v>36–45</v>
      </c>
      <c r="AK832" t="str" cm="1">
        <f t="array" ref="AK832">_xlfn.IFS(S832&lt;=3000,"Low",S832&lt;=7000,"Mid",S832&lt;=12000,"High",S832&gt;12000,"Top")</f>
        <v>Mid</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_xlfn.IFS(A833&lt;=25,"Under 25",A833&lt;=35,"26–35",A833&lt;=45,"36–45",A833&gt;45,"46+")</f>
        <v>26–35</v>
      </c>
      <c r="AK833" t="str" cm="1">
        <f t="array" ref="AK833">_xlfn.IFS(S833&lt;=3000,"Low",S833&lt;=7000,"Mid",S833&lt;=12000,"High",S833&gt;12000,"Top")</f>
        <v>Low</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_xlfn.IFS(A834&lt;=25,"Under 25",A834&lt;=35,"26–35",A834&lt;=45,"36–45",A834&gt;45,"46+")</f>
        <v>36–45</v>
      </c>
      <c r="AK834" t="str" cm="1">
        <f t="array" ref="AK834">_xlfn.IFS(S834&lt;=3000,"Low",S834&lt;=7000,"Mid",S834&lt;=12000,"High",S834&gt;12000,"Top")</f>
        <v>Mid</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_xlfn.IFS(A835&lt;=25,"Under 25",A835&lt;=35,"26–35",A835&lt;=45,"36–45",A835&gt;45,"46+")</f>
        <v>26–35</v>
      </c>
      <c r="AK835" t="str" cm="1">
        <f t="array" ref="AK835">_xlfn.IFS(S835&lt;=3000,"Low",S835&lt;=7000,"Mid",S835&lt;=12000,"High",S835&gt;12000,"Top")</f>
        <v>Low</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_xlfn.IFS(A836&lt;=25,"Under 25",A836&lt;=35,"26–35",A836&lt;=45,"36–45",A836&gt;45,"46+")</f>
        <v>26–35</v>
      </c>
      <c r="AK836" t="str" cm="1">
        <f t="array" ref="AK836">_xlfn.IFS(S836&lt;=3000,"Low",S836&lt;=7000,"Mid",S836&lt;=12000,"High",S836&gt;12000,"Top")</f>
        <v>Mid</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_xlfn.IFS(A837&lt;=25,"Under 25",A837&lt;=35,"26–35",A837&lt;=45,"36–45",A837&gt;45,"46+")</f>
        <v>26–35</v>
      </c>
      <c r="AK837" t="str" cm="1">
        <f t="array" ref="AK837">_xlfn.IFS(S837&lt;=3000,"Low",S837&lt;=7000,"Mid",S837&lt;=12000,"High",S837&gt;12000,"Top")</f>
        <v>Mid</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_xlfn.IFS(A838&lt;=25,"Under 25",A838&lt;=35,"26–35",A838&lt;=45,"36–45",A838&gt;45,"46+")</f>
        <v>26–35</v>
      </c>
      <c r="AK838" t="str" cm="1">
        <f t="array" ref="AK838">_xlfn.IFS(S838&lt;=3000,"Low",S838&lt;=7000,"Mid",S838&lt;=12000,"High",S838&gt;12000,"Top")</f>
        <v>High</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_xlfn.IFS(A839&lt;=25,"Under 25",A839&lt;=35,"26–35",A839&lt;=45,"36–45",A839&gt;45,"46+")</f>
        <v>36–45</v>
      </c>
      <c r="AK839" t="str" cm="1">
        <f t="array" ref="AK839">_xlfn.IFS(S839&lt;=3000,"Low",S839&lt;=7000,"Mid",S839&lt;=12000,"High",S839&gt;12000,"Top")</f>
        <v>Top</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_xlfn.IFS(A840&lt;=25,"Under 25",A840&lt;=35,"26–35",A840&lt;=45,"36–45",A840&gt;45,"46+")</f>
        <v>36–45</v>
      </c>
      <c r="AK840" t="str" cm="1">
        <f t="array" ref="AK840">_xlfn.IFS(S840&lt;=3000,"Low",S840&lt;=7000,"Mid",S840&lt;=12000,"High",S840&gt;12000,"Top")</f>
        <v>Top</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_xlfn.IFS(A841&lt;=25,"Under 25",A841&lt;=35,"26–35",A841&lt;=45,"36–45",A841&gt;45,"46+")</f>
        <v>36–45</v>
      </c>
      <c r="AK841" t="str" cm="1">
        <f t="array" ref="AK841">_xlfn.IFS(S841&lt;=3000,"Low",S841&lt;=7000,"Mid",S841&lt;=12000,"High",S841&gt;12000,"Top")</f>
        <v>Mid</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_xlfn.IFS(A842&lt;=25,"Under 25",A842&lt;=35,"26–35",A842&lt;=45,"36–45",A842&gt;45,"46+")</f>
        <v>26–35</v>
      </c>
      <c r="AK842" t="str" cm="1">
        <f t="array" ref="AK842">_xlfn.IFS(S842&lt;=3000,"Low",S842&lt;=7000,"Mid",S842&lt;=12000,"High",S842&gt;12000,"Top")</f>
        <v>Low</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_xlfn.IFS(A843&lt;=25,"Under 25",A843&lt;=35,"26–35",A843&lt;=45,"36–45",A843&gt;45,"46+")</f>
        <v>Under 25</v>
      </c>
      <c r="AK843" t="str" cm="1">
        <f t="array" ref="AK843">_xlfn.IFS(S843&lt;=3000,"Low",S843&lt;=7000,"Mid",S843&lt;=12000,"High",S843&gt;12000,"Top")</f>
        <v>Mid</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_xlfn.IFS(A844&lt;=25,"Under 25",A844&lt;=35,"26–35",A844&lt;=45,"36–45",A844&gt;45,"46+")</f>
        <v>26–35</v>
      </c>
      <c r="AK844" t="str" cm="1">
        <f t="array" ref="AK844">_xlfn.IFS(S844&lt;=3000,"Low",S844&lt;=7000,"Mid",S844&lt;=12000,"High",S844&gt;12000,"Top")</f>
        <v>Low</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_xlfn.IFS(A845&lt;=25,"Under 25",A845&lt;=35,"26–35",A845&lt;=45,"36–45",A845&gt;45,"46+")</f>
        <v>26–35</v>
      </c>
      <c r="AK845" t="str" cm="1">
        <f t="array" ref="AK845">_xlfn.IFS(S845&lt;=3000,"Low",S845&lt;=7000,"Mid",S845&lt;=12000,"High",S845&gt;12000,"Top")</f>
        <v>Mid</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_xlfn.IFS(A846&lt;=25,"Under 25",A846&lt;=35,"26–35",A846&lt;=45,"36–45",A846&gt;45,"46+")</f>
        <v>26–35</v>
      </c>
      <c r="AK846" t="str" cm="1">
        <f t="array" ref="AK846">_xlfn.IFS(S846&lt;=3000,"Low",S846&lt;=7000,"Mid",S846&lt;=12000,"High",S846&gt;12000,"Top")</f>
        <v>Mid</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_xlfn.IFS(A847&lt;=25,"Under 25",A847&lt;=35,"26–35",A847&lt;=45,"36–45",A847&gt;45,"46+")</f>
        <v>36–45</v>
      </c>
      <c r="AK847" t="str" cm="1">
        <f t="array" ref="AK847">_xlfn.IFS(S847&lt;=3000,"Low",S847&lt;=7000,"Mid",S847&lt;=12000,"High",S847&gt;12000,"Top")</f>
        <v>Mid</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_xlfn.IFS(A848&lt;=25,"Under 25",A848&lt;=35,"26–35",A848&lt;=45,"36–45",A848&gt;45,"46+")</f>
        <v>26–35</v>
      </c>
      <c r="AK848" t="str" cm="1">
        <f t="array" ref="AK848">_xlfn.IFS(S848&lt;=3000,"Low",S848&lt;=7000,"Mid",S848&lt;=12000,"High",S848&gt;12000,"Top")</f>
        <v>High</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_xlfn.IFS(A849&lt;=25,"Under 25",A849&lt;=35,"26–35",A849&lt;=45,"36–45",A849&gt;45,"46+")</f>
        <v>26–35</v>
      </c>
      <c r="AK849" t="str" cm="1">
        <f t="array" ref="AK849">_xlfn.IFS(S849&lt;=3000,"Low",S849&lt;=7000,"Mid",S849&lt;=12000,"High",S849&gt;12000,"Top")</f>
        <v>Mid</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_xlfn.IFS(A850&lt;=25,"Under 25",A850&lt;=35,"26–35",A850&lt;=45,"36–45",A850&gt;45,"46+")</f>
        <v>26–35</v>
      </c>
      <c r="AK850" t="str" cm="1">
        <f t="array" ref="AK850">_xlfn.IFS(S850&lt;=3000,"Low",S850&lt;=7000,"Mid",S850&lt;=12000,"High",S850&gt;12000,"Top")</f>
        <v>Low</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_xlfn.IFS(A851&lt;=25,"Under 25",A851&lt;=35,"26–35",A851&lt;=45,"36–45",A851&gt;45,"46+")</f>
        <v>36–45</v>
      </c>
      <c r="AK851" t="str" cm="1">
        <f t="array" ref="AK851">_xlfn.IFS(S851&lt;=3000,"Low",S851&lt;=7000,"Mid",S851&lt;=12000,"High",S851&gt;12000,"Top")</f>
        <v>Mid</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_xlfn.IFS(A852&lt;=25,"Under 25",A852&lt;=35,"26–35",A852&lt;=45,"36–45",A852&gt;45,"46+")</f>
        <v>26–35</v>
      </c>
      <c r="AK852" t="str" cm="1">
        <f t="array" ref="AK852">_xlfn.IFS(S852&lt;=3000,"Low",S852&lt;=7000,"Mid",S852&lt;=12000,"High",S852&gt;12000,"Top")</f>
        <v>Low</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_xlfn.IFS(A853&lt;=25,"Under 25",A853&lt;=35,"26–35",A853&lt;=45,"36–45",A853&gt;45,"46+")</f>
        <v>46+</v>
      </c>
      <c r="AK853" t="str" cm="1">
        <f t="array" ref="AK853">_xlfn.IFS(S853&lt;=3000,"Low",S853&lt;=7000,"Mid",S853&lt;=12000,"High",S853&gt;12000,"Top")</f>
        <v>Top</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_xlfn.IFS(A854&lt;=25,"Under 25",A854&lt;=35,"26–35",A854&lt;=45,"36–45",A854&gt;45,"46+")</f>
        <v>26–35</v>
      </c>
      <c r="AK854" t="str" cm="1">
        <f t="array" ref="AK854">_xlfn.IFS(S854&lt;=3000,"Low",S854&lt;=7000,"Mid",S854&lt;=12000,"High",S854&gt;12000,"Top")</f>
        <v>Mid</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_xlfn.IFS(A855&lt;=25,"Under 25",A855&lt;=35,"26–35",A855&lt;=45,"36–45",A855&gt;45,"46+")</f>
        <v>Under 25</v>
      </c>
      <c r="AK855" t="str" cm="1">
        <f t="array" ref="AK855">_xlfn.IFS(S855&lt;=3000,"Low",S855&lt;=7000,"Mid",S855&lt;=12000,"High",S855&gt;12000,"Top")</f>
        <v>Low</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_xlfn.IFS(A856&lt;=25,"Under 25",A856&lt;=35,"26–35",A856&lt;=45,"36–45",A856&gt;45,"46+")</f>
        <v>36–45</v>
      </c>
      <c r="AK856" t="str" cm="1">
        <f t="array" ref="AK856">_xlfn.IFS(S856&lt;=3000,"Low",S856&lt;=7000,"Mid",S856&lt;=12000,"High",S856&gt;12000,"Top")</f>
        <v>Mid</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_xlfn.IFS(A857&lt;=25,"Under 25",A857&lt;=35,"26–35",A857&lt;=45,"36–45",A857&gt;45,"46+")</f>
        <v>36–45</v>
      </c>
      <c r="AK857" t="str" cm="1">
        <f t="array" ref="AK857">_xlfn.IFS(S857&lt;=3000,"Low",S857&lt;=7000,"Mid",S857&lt;=12000,"High",S857&gt;12000,"Top")</f>
        <v>Mid</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_xlfn.IFS(A858&lt;=25,"Under 25",A858&lt;=35,"26–35",A858&lt;=45,"36–45",A858&gt;45,"46+")</f>
        <v>Under 25</v>
      </c>
      <c r="AK858" t="str" cm="1">
        <f t="array" ref="AK858">_xlfn.IFS(S858&lt;=3000,"Low",S858&lt;=7000,"Mid",S858&lt;=12000,"High",S858&gt;12000,"Top")</f>
        <v>Mid</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_xlfn.IFS(A859&lt;=25,"Under 25",A859&lt;=35,"26–35",A859&lt;=45,"36–45",A859&gt;45,"46+")</f>
        <v>36–45</v>
      </c>
      <c r="AK859" t="str" cm="1">
        <f t="array" ref="AK859">_xlfn.IFS(S859&lt;=3000,"Low",S859&lt;=7000,"Mid",S859&lt;=12000,"High",S859&gt;12000,"Top")</f>
        <v>Low</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_xlfn.IFS(A860&lt;=25,"Under 25",A860&lt;=35,"26–35",A860&lt;=45,"36–45",A860&gt;45,"46+")</f>
        <v>46+</v>
      </c>
      <c r="AK860" t="str" cm="1">
        <f t="array" ref="AK860">_xlfn.IFS(S860&lt;=3000,"Low",S860&lt;=7000,"Mid",S860&lt;=12000,"High",S860&gt;12000,"Top")</f>
        <v>Top</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_xlfn.IFS(A861&lt;=25,"Under 25",A861&lt;=35,"26–35",A861&lt;=45,"36–45",A861&gt;45,"46+")</f>
        <v>26–35</v>
      </c>
      <c r="AK861" t="str" cm="1">
        <f t="array" ref="AK861">_xlfn.IFS(S861&lt;=3000,"Low",S861&lt;=7000,"Mid",S861&lt;=12000,"High",S861&gt;12000,"Top")</f>
        <v>Low</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_xlfn.IFS(A862&lt;=25,"Under 25",A862&lt;=35,"26–35",A862&lt;=45,"36–45",A862&gt;45,"46+")</f>
        <v>Under 25</v>
      </c>
      <c r="AK862" t="str" cm="1">
        <f t="array" ref="AK862">_xlfn.IFS(S862&lt;=3000,"Low",S862&lt;=7000,"Mid",S862&lt;=12000,"High",S862&gt;12000,"Top")</f>
        <v>Low</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_xlfn.IFS(A863&lt;=25,"Under 25",A863&lt;=35,"26–35",A863&lt;=45,"36–45",A863&gt;45,"46+")</f>
        <v>46+</v>
      </c>
      <c r="AK863" t="str" cm="1">
        <f t="array" ref="AK863">_xlfn.IFS(S863&lt;=3000,"Low",S863&lt;=7000,"Mid",S863&lt;=12000,"High",S863&gt;12000,"Top")</f>
        <v>Top</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_xlfn.IFS(A864&lt;=25,"Under 25",A864&lt;=35,"26–35",A864&lt;=45,"36–45",A864&gt;45,"46+")</f>
        <v>36–45</v>
      </c>
      <c r="AK864" t="str" cm="1">
        <f t="array" ref="AK864">_xlfn.IFS(S864&lt;=3000,"Low",S864&lt;=7000,"Mid",S864&lt;=12000,"High",S864&gt;12000,"Top")</f>
        <v>Low</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_xlfn.IFS(A865&lt;=25,"Under 25",A865&lt;=35,"26–35",A865&lt;=45,"36–45",A865&gt;45,"46+")</f>
        <v>26–35</v>
      </c>
      <c r="AK865" t="str" cm="1">
        <f t="array" ref="AK865">_xlfn.IFS(S865&lt;=3000,"Low",S865&lt;=7000,"Mid",S865&lt;=12000,"High",S865&gt;12000,"Top")</f>
        <v>Mid</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_xlfn.IFS(A866&lt;=25,"Under 25",A866&lt;=35,"26–35",A866&lt;=45,"36–45",A866&gt;45,"46+")</f>
        <v>36–45</v>
      </c>
      <c r="AK866" t="str" cm="1">
        <f t="array" ref="AK866">_xlfn.IFS(S866&lt;=3000,"Low",S866&lt;=7000,"Mid",S866&lt;=12000,"High",S866&gt;12000,"Top")</f>
        <v>Low</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_xlfn.IFS(A867&lt;=25,"Under 25",A867&lt;=35,"26–35",A867&lt;=45,"36–45",A867&gt;45,"46+")</f>
        <v>26–35</v>
      </c>
      <c r="AK867" t="str" cm="1">
        <f t="array" ref="AK867">_xlfn.IFS(S867&lt;=3000,"Low",S867&lt;=7000,"Mid",S867&lt;=12000,"High",S867&gt;12000,"Top")</f>
        <v>Mid</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_xlfn.IFS(A868&lt;=25,"Under 25",A868&lt;=35,"26–35",A868&lt;=45,"36–45",A868&gt;45,"46+")</f>
        <v>36–45</v>
      </c>
      <c r="AK868" t="str" cm="1">
        <f t="array" ref="AK868">_xlfn.IFS(S868&lt;=3000,"Low",S868&lt;=7000,"Mid",S868&lt;=12000,"High",S868&gt;12000,"Top")</f>
        <v>Mid</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_xlfn.IFS(A869&lt;=25,"Under 25",A869&lt;=35,"26–35",A869&lt;=45,"36–45",A869&gt;45,"46+")</f>
        <v>46+</v>
      </c>
      <c r="AK869" t="str" cm="1">
        <f t="array" ref="AK869">_xlfn.IFS(S869&lt;=3000,"Low",S869&lt;=7000,"Mid",S869&lt;=12000,"High",S869&gt;12000,"Top")</f>
        <v>Top</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_xlfn.IFS(A870&lt;=25,"Under 25",A870&lt;=35,"26–35",A870&lt;=45,"36–45",A870&gt;45,"46+")</f>
        <v>26–35</v>
      </c>
      <c r="AK870" t="str" cm="1">
        <f t="array" ref="AK870">_xlfn.IFS(S870&lt;=3000,"Low",S870&lt;=7000,"Mid",S870&lt;=12000,"High",S870&gt;12000,"Top")</f>
        <v>Mid</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_xlfn.IFS(A871&lt;=25,"Under 25",A871&lt;=35,"26–35",A871&lt;=45,"36–45",A871&gt;45,"46+")</f>
        <v>46+</v>
      </c>
      <c r="AK871" t="str" cm="1">
        <f t="array" ref="AK871">_xlfn.IFS(S871&lt;=3000,"Low",S871&lt;=7000,"Mid",S871&lt;=12000,"High",S871&gt;12000,"Top")</f>
        <v>Top</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_xlfn.IFS(A872&lt;=25,"Under 25",A872&lt;=35,"26–35",A872&lt;=45,"36–45",A872&gt;45,"46+")</f>
        <v>26–35</v>
      </c>
      <c r="AK872" t="str" cm="1">
        <f t="array" ref="AK872">_xlfn.IFS(S872&lt;=3000,"Low",S872&lt;=7000,"Mid",S872&lt;=12000,"High",S872&gt;12000,"Top")</f>
        <v>High</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_xlfn.IFS(A873&lt;=25,"Under 25",A873&lt;=35,"26–35",A873&lt;=45,"36–45",A873&gt;45,"46+")</f>
        <v>Under 25</v>
      </c>
      <c r="AK873" t="str" cm="1">
        <f t="array" ref="AK873">_xlfn.IFS(S873&lt;=3000,"Low",S873&lt;=7000,"Mid",S873&lt;=12000,"High",S873&gt;12000,"Top")</f>
        <v>Low</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_xlfn.IFS(A874&lt;=25,"Under 25",A874&lt;=35,"26–35",A874&lt;=45,"36–45",A874&gt;45,"46+")</f>
        <v>26–35</v>
      </c>
      <c r="AK874" t="str" cm="1">
        <f t="array" ref="AK874">_xlfn.IFS(S874&lt;=3000,"Low",S874&lt;=7000,"Mid",S874&lt;=12000,"High",S874&gt;12000,"Top")</f>
        <v>Mid</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_xlfn.IFS(A875&lt;=25,"Under 25",A875&lt;=35,"26–35",A875&lt;=45,"36–45",A875&gt;45,"46+")</f>
        <v>36–45</v>
      </c>
      <c r="AK875" t="str" cm="1">
        <f t="array" ref="AK875">_xlfn.IFS(S875&lt;=3000,"Low",S875&lt;=7000,"Mid",S875&lt;=12000,"High",S875&gt;12000,"Top")</f>
        <v>Low</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_xlfn.IFS(A876&lt;=25,"Under 25",A876&lt;=35,"26–35",A876&lt;=45,"36–45",A876&gt;45,"46+")</f>
        <v>26–35</v>
      </c>
      <c r="AK876" t="str" cm="1">
        <f t="array" ref="AK876">_xlfn.IFS(S876&lt;=3000,"Low",S876&lt;=7000,"Mid",S876&lt;=12000,"High",S876&gt;12000,"Top")</f>
        <v>Mid</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_xlfn.IFS(A877&lt;=25,"Under 25",A877&lt;=35,"26–35",A877&lt;=45,"36–45",A877&gt;45,"46+")</f>
        <v>36–45</v>
      </c>
      <c r="AK877" t="str" cm="1">
        <f t="array" ref="AK877">_xlfn.IFS(S877&lt;=3000,"Low",S877&lt;=7000,"Mid",S877&lt;=12000,"High",S877&gt;12000,"Top")</f>
        <v>Mid</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_xlfn.IFS(A878&lt;=25,"Under 25",A878&lt;=35,"26–35",A878&lt;=45,"36–45",A878&gt;45,"46+")</f>
        <v>Under 25</v>
      </c>
      <c r="AK878" t="str" cm="1">
        <f t="array" ref="AK878">_xlfn.IFS(S878&lt;=3000,"Low",S878&lt;=7000,"Mid",S878&lt;=12000,"High",S878&gt;12000,"Top")</f>
        <v>Low</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_xlfn.IFS(A879&lt;=25,"Under 25",A879&lt;=35,"26–35",A879&lt;=45,"36–45",A879&gt;45,"46+")</f>
        <v>46+</v>
      </c>
      <c r="AK879" t="str" cm="1">
        <f t="array" ref="AK879">_xlfn.IFS(S879&lt;=3000,"Low",S879&lt;=7000,"Mid",S879&lt;=12000,"High",S879&gt;12000,"Top")</f>
        <v>High</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_xlfn.IFS(A880&lt;=25,"Under 25",A880&lt;=35,"26–35",A880&lt;=45,"36–45",A880&gt;45,"46+")</f>
        <v>36–45</v>
      </c>
      <c r="AK880" t="str" cm="1">
        <f t="array" ref="AK880">_xlfn.IFS(S880&lt;=3000,"Low",S880&lt;=7000,"Mid",S880&lt;=12000,"High",S880&gt;12000,"Top")</f>
        <v>Mid</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_xlfn.IFS(A881&lt;=25,"Under 25",A881&lt;=35,"26–35",A881&lt;=45,"36–45",A881&gt;45,"46+")</f>
        <v>46+</v>
      </c>
      <c r="AK881" t="str" cm="1">
        <f t="array" ref="AK881">_xlfn.IFS(S881&lt;=3000,"Low",S881&lt;=7000,"Mid",S881&lt;=12000,"High",S881&gt;12000,"Top")</f>
        <v>Mid</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_xlfn.IFS(A882&lt;=25,"Under 25",A882&lt;=35,"26–35",A882&lt;=45,"36–45",A882&gt;45,"46+")</f>
        <v>26–35</v>
      </c>
      <c r="AK882" t="str" cm="1">
        <f t="array" ref="AK882">_xlfn.IFS(S882&lt;=3000,"Low",S882&lt;=7000,"Mid",S882&lt;=12000,"High",S882&gt;12000,"Top")</f>
        <v>Low</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_xlfn.IFS(A883&lt;=25,"Under 25",A883&lt;=35,"26–35",A883&lt;=45,"36–45",A883&gt;45,"46+")</f>
        <v>26–35</v>
      </c>
      <c r="AK883" t="str" cm="1">
        <f t="array" ref="AK883">_xlfn.IFS(S883&lt;=3000,"Low",S883&lt;=7000,"Mid",S883&lt;=12000,"High",S883&gt;12000,"Top")</f>
        <v>Mid</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_xlfn.IFS(A884&lt;=25,"Under 25",A884&lt;=35,"26–35",A884&lt;=45,"36–45",A884&gt;45,"46+")</f>
        <v>36–45</v>
      </c>
      <c r="AK884" t="str" cm="1">
        <f t="array" ref="AK884">_xlfn.IFS(S884&lt;=3000,"Low",S884&lt;=7000,"Mid",S884&lt;=12000,"High",S884&gt;12000,"Top")</f>
        <v>High</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_xlfn.IFS(A885&lt;=25,"Under 25",A885&lt;=35,"26–35",A885&lt;=45,"36–45",A885&gt;45,"46+")</f>
        <v>26–35</v>
      </c>
      <c r="AK885" t="str" cm="1">
        <f t="array" ref="AK885">_xlfn.IFS(S885&lt;=3000,"Low",S885&lt;=7000,"Mid",S885&lt;=12000,"High",S885&gt;12000,"Top")</f>
        <v>Low</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_xlfn.IFS(A886&lt;=25,"Under 25",A886&lt;=35,"26–35",A886&lt;=45,"36–45",A886&gt;45,"46+")</f>
        <v>36–45</v>
      </c>
      <c r="AK886" t="str" cm="1">
        <f t="array" ref="AK886">_xlfn.IFS(S886&lt;=3000,"Low",S886&lt;=7000,"Mid",S886&lt;=12000,"High",S886&gt;12000,"Top")</f>
        <v>Mid</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_xlfn.IFS(A887&lt;=25,"Under 25",A887&lt;=35,"26–35",A887&lt;=45,"36–45",A887&gt;45,"46+")</f>
        <v>Under 25</v>
      </c>
      <c r="AK887" t="str" cm="1">
        <f t="array" ref="AK887">_xlfn.IFS(S887&lt;=3000,"Low",S887&lt;=7000,"Mid",S887&lt;=12000,"High",S887&gt;12000,"Top")</f>
        <v>Mid</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_xlfn.IFS(A888&lt;=25,"Under 25",A888&lt;=35,"26–35",A888&lt;=45,"36–45",A888&gt;45,"46+")</f>
        <v>26–35</v>
      </c>
      <c r="AK888" t="str" cm="1">
        <f t="array" ref="AK888">_xlfn.IFS(S888&lt;=3000,"Low",S888&lt;=7000,"Mid",S888&lt;=12000,"High",S888&gt;12000,"Top")</f>
        <v>Mid</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_xlfn.IFS(A889&lt;=25,"Under 25",A889&lt;=35,"26–35",A889&lt;=45,"36–45",A889&gt;45,"46+")</f>
        <v>36–45</v>
      </c>
      <c r="AK889" t="str" cm="1">
        <f t="array" ref="AK889">_xlfn.IFS(S889&lt;=3000,"Low",S889&lt;=7000,"Mid",S889&lt;=12000,"High",S889&gt;12000,"Top")</f>
        <v>Top</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_xlfn.IFS(A890&lt;=25,"Under 25",A890&lt;=35,"26–35",A890&lt;=45,"36–45",A890&gt;45,"46+")</f>
        <v>26–35</v>
      </c>
      <c r="AK890" t="str" cm="1">
        <f t="array" ref="AK890">_xlfn.IFS(S890&lt;=3000,"Low",S890&lt;=7000,"Mid",S890&lt;=12000,"High",S890&gt;12000,"Top")</f>
        <v>High</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_xlfn.IFS(A891&lt;=25,"Under 25",A891&lt;=35,"26–35",A891&lt;=45,"36–45",A891&gt;45,"46+")</f>
        <v>26–35</v>
      </c>
      <c r="AK891" t="str" cm="1">
        <f t="array" ref="AK891">_xlfn.IFS(S891&lt;=3000,"Low",S891&lt;=7000,"Mid",S891&lt;=12000,"High",S891&gt;12000,"Top")</f>
        <v>Low</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_xlfn.IFS(A892&lt;=25,"Under 25",A892&lt;=35,"26–35",A892&lt;=45,"36–45",A892&gt;45,"46+")</f>
        <v>46+</v>
      </c>
      <c r="AK892" t="str" cm="1">
        <f t="array" ref="AK892">_xlfn.IFS(S892&lt;=3000,"Low",S892&lt;=7000,"Mid",S892&lt;=12000,"High",S892&gt;12000,"Top")</f>
        <v>High</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_xlfn.IFS(A893&lt;=25,"Under 25",A893&lt;=35,"26–35",A893&lt;=45,"36–45",A893&gt;45,"46+")</f>
        <v>36–45</v>
      </c>
      <c r="AK893" t="str" cm="1">
        <f t="array" ref="AK893">_xlfn.IFS(S893&lt;=3000,"Low",S893&lt;=7000,"Mid",S893&lt;=12000,"High",S893&gt;12000,"Top")</f>
        <v>Low</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_xlfn.IFS(A894&lt;=25,"Under 25",A894&lt;=35,"26–35",A894&lt;=45,"36–45",A894&gt;45,"46+")</f>
        <v>Under 25</v>
      </c>
      <c r="AK894" t="str" cm="1">
        <f t="array" ref="AK894">_xlfn.IFS(S894&lt;=3000,"Low",S894&lt;=7000,"Mid",S894&lt;=12000,"High",S894&gt;12000,"Top")</f>
        <v>Low</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_xlfn.IFS(A895&lt;=25,"Under 25",A895&lt;=35,"26–35",A895&lt;=45,"36–45",A895&gt;45,"46+")</f>
        <v>26–35</v>
      </c>
      <c r="AK895" t="str" cm="1">
        <f t="array" ref="AK895">_xlfn.IFS(S895&lt;=3000,"Low",S895&lt;=7000,"Mid",S895&lt;=12000,"High",S895&gt;12000,"Top")</f>
        <v>Mid</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_xlfn.IFS(A896&lt;=25,"Under 25",A896&lt;=35,"26–35",A896&lt;=45,"36–45",A896&gt;45,"46+")</f>
        <v>46+</v>
      </c>
      <c r="AK896" t="str" cm="1">
        <f t="array" ref="AK896">_xlfn.IFS(S896&lt;=3000,"Low",S896&lt;=7000,"Mid",S896&lt;=12000,"High",S896&gt;12000,"Top")</f>
        <v>Top</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_xlfn.IFS(A897&lt;=25,"Under 25",A897&lt;=35,"26–35",A897&lt;=45,"36–45",A897&gt;45,"46+")</f>
        <v>26–35</v>
      </c>
      <c r="AK897" t="str" cm="1">
        <f t="array" ref="AK897">_xlfn.IFS(S897&lt;=3000,"Low",S897&lt;=7000,"Mid",S897&lt;=12000,"High",S897&gt;12000,"Top")</f>
        <v>Mid</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_xlfn.IFS(A898&lt;=25,"Under 25",A898&lt;=35,"26–35",A898&lt;=45,"36–45",A898&gt;45,"46+")</f>
        <v>26–35</v>
      </c>
      <c r="AK898" t="str" cm="1">
        <f t="array" ref="AK898">_xlfn.IFS(S898&lt;=3000,"Low",S898&lt;=7000,"Mid",S898&lt;=12000,"High",S898&gt;12000,"Top")</f>
        <v>Mid</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_xlfn.IFS(A899&lt;=25,"Under 25",A899&lt;=35,"26–35",A899&lt;=45,"36–45",A899&gt;45,"46+")</f>
        <v>46+</v>
      </c>
      <c r="AK899" t="str" cm="1">
        <f t="array" ref="AK899">_xlfn.IFS(S899&lt;=3000,"Low",S899&lt;=7000,"Mid",S899&lt;=12000,"High",S899&gt;12000,"Top")</f>
        <v>Mid</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_xlfn.IFS(A900&lt;=25,"Under 25",A900&lt;=35,"26–35",A900&lt;=45,"36–45",A900&gt;45,"46+")</f>
        <v>36–45</v>
      </c>
      <c r="AK900" t="str" cm="1">
        <f t="array" ref="AK900">_xlfn.IFS(S900&lt;=3000,"Low",S900&lt;=7000,"Mid",S900&lt;=12000,"High",S900&gt;12000,"Top")</f>
        <v>Top</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_xlfn.IFS(A901&lt;=25,"Under 25",A901&lt;=35,"26–35",A901&lt;=45,"36–45",A901&gt;45,"46+")</f>
        <v>46+</v>
      </c>
      <c r="AK901" t="str" cm="1">
        <f t="array" ref="AK901">_xlfn.IFS(S901&lt;=3000,"Low",S901&lt;=7000,"Mid",S901&lt;=12000,"High",S901&gt;12000,"Top")</f>
        <v>Top</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_xlfn.IFS(A902&lt;=25,"Under 25",A902&lt;=35,"26–35",A902&lt;=45,"36–45",A902&gt;45,"46+")</f>
        <v>36–45</v>
      </c>
      <c r="AK902" t="str" cm="1">
        <f t="array" ref="AK902">_xlfn.IFS(S902&lt;=3000,"Low",S902&lt;=7000,"Mid",S902&lt;=12000,"High",S902&gt;12000,"Top")</f>
        <v>Mid</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_xlfn.IFS(A903&lt;=25,"Under 25",A903&lt;=35,"26–35",A903&lt;=45,"36–45",A903&gt;45,"46+")</f>
        <v>46+</v>
      </c>
      <c r="AK903" t="str" cm="1">
        <f t="array" ref="AK903">_xlfn.IFS(S903&lt;=3000,"Low",S903&lt;=7000,"Mid",S903&lt;=12000,"High",S903&gt;12000,"Top")</f>
        <v>Low</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_xlfn.IFS(A904&lt;=25,"Under 25",A904&lt;=35,"26–35",A904&lt;=45,"36–45",A904&gt;45,"46+")</f>
        <v>26–35</v>
      </c>
      <c r="AK904" t="str" cm="1">
        <f t="array" ref="AK904">_xlfn.IFS(S904&lt;=3000,"Low",S904&lt;=7000,"Mid",S904&lt;=12000,"High",S904&gt;12000,"Top")</f>
        <v>Low</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_xlfn.IFS(A905&lt;=25,"Under 25",A905&lt;=35,"26–35",A905&lt;=45,"36–45",A905&gt;45,"46+")</f>
        <v>26–35</v>
      </c>
      <c r="AK905" t="str" cm="1">
        <f t="array" ref="AK905">_xlfn.IFS(S905&lt;=3000,"Low",S905&lt;=7000,"Mid",S905&lt;=12000,"High",S905&gt;12000,"Top")</f>
        <v>Mid</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_xlfn.IFS(A906&lt;=25,"Under 25",A906&lt;=35,"26–35",A906&lt;=45,"36–45",A906&gt;45,"46+")</f>
        <v>46+</v>
      </c>
      <c r="AK906" t="str" cm="1">
        <f t="array" ref="AK906">_xlfn.IFS(S906&lt;=3000,"Low",S906&lt;=7000,"Mid",S906&lt;=12000,"High",S906&gt;12000,"Top")</f>
        <v>Top</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_xlfn.IFS(A907&lt;=25,"Under 25",A907&lt;=35,"26–35",A907&lt;=45,"36–45",A907&gt;45,"46+")</f>
        <v>26–35</v>
      </c>
      <c r="AK907" t="str" cm="1">
        <f t="array" ref="AK907">_xlfn.IFS(S907&lt;=3000,"Low",S907&lt;=7000,"Mid",S907&lt;=12000,"High",S907&gt;12000,"Top")</f>
        <v>Top</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_xlfn.IFS(A908&lt;=25,"Under 25",A908&lt;=35,"26–35",A908&lt;=45,"36–45",A908&gt;45,"46+")</f>
        <v>26–35</v>
      </c>
      <c r="AK908" t="str" cm="1">
        <f t="array" ref="AK908">_xlfn.IFS(S908&lt;=3000,"Low",S908&lt;=7000,"Mid",S908&lt;=12000,"High",S908&gt;12000,"Top")</f>
        <v>Low</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_xlfn.IFS(A909&lt;=25,"Under 25",A909&lt;=35,"26–35",A909&lt;=45,"36–45",A909&gt;45,"46+")</f>
        <v>36–45</v>
      </c>
      <c r="AK909" t="str" cm="1">
        <f t="array" ref="AK909">_xlfn.IFS(S909&lt;=3000,"Low",S909&lt;=7000,"Mid",S909&lt;=12000,"High",S909&gt;12000,"Top")</f>
        <v>Top</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_xlfn.IFS(A910&lt;=25,"Under 25",A910&lt;=35,"26–35",A910&lt;=45,"36–45",A910&gt;45,"46+")</f>
        <v>26–35</v>
      </c>
      <c r="AK910" t="str" cm="1">
        <f t="array" ref="AK910">_xlfn.IFS(S910&lt;=3000,"Low",S910&lt;=7000,"Mid",S910&lt;=12000,"High",S910&gt;12000,"Top")</f>
        <v>High</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_xlfn.IFS(A911&lt;=25,"Under 25",A911&lt;=35,"26–35",A911&lt;=45,"36–45",A911&gt;45,"46+")</f>
        <v>Under 25</v>
      </c>
      <c r="AK911" t="str" cm="1">
        <f t="array" ref="AK911">_xlfn.IFS(S911&lt;=3000,"Low",S911&lt;=7000,"Mid",S911&lt;=12000,"High",S911&gt;12000,"Top")</f>
        <v>Low</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_xlfn.IFS(A912&lt;=25,"Under 25",A912&lt;=35,"26–35",A912&lt;=45,"36–45",A912&gt;45,"46+")</f>
        <v>Under 25</v>
      </c>
      <c r="AK912" t="str" cm="1">
        <f t="array" ref="AK912">_xlfn.IFS(S912&lt;=3000,"Low",S912&lt;=7000,"Mid",S912&lt;=12000,"High",S912&gt;12000,"Top")</f>
        <v>Low</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_xlfn.IFS(A913&lt;=25,"Under 25",A913&lt;=35,"26–35",A913&lt;=45,"36–45",A913&gt;45,"46+")</f>
        <v>Under 25</v>
      </c>
      <c r="AK913" t="str" cm="1">
        <f t="array" ref="AK913">_xlfn.IFS(S913&lt;=3000,"Low",S913&lt;=7000,"Mid",S913&lt;=12000,"High",S913&gt;12000,"Top")</f>
        <v>Low</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_xlfn.IFS(A914&lt;=25,"Under 25",A914&lt;=35,"26–35",A914&lt;=45,"36–45",A914&gt;45,"46+")</f>
        <v>26–35</v>
      </c>
      <c r="AK914" t="str" cm="1">
        <f t="array" ref="AK914">_xlfn.IFS(S914&lt;=3000,"Low",S914&lt;=7000,"Mid",S914&lt;=12000,"High",S914&gt;12000,"Top")</f>
        <v>Low</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_xlfn.IFS(A915&lt;=25,"Under 25",A915&lt;=35,"26–35",A915&lt;=45,"36–45",A915&gt;45,"46+")</f>
        <v>36–45</v>
      </c>
      <c r="AK915" t="str" cm="1">
        <f t="array" ref="AK915">_xlfn.IFS(S915&lt;=3000,"Low",S915&lt;=7000,"Mid",S915&lt;=12000,"High",S915&gt;12000,"Top")</f>
        <v>Top</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_xlfn.IFS(A916&lt;=25,"Under 25",A916&lt;=35,"26–35",A916&lt;=45,"36–45",A916&gt;45,"46+")</f>
        <v>46+</v>
      </c>
      <c r="AK916" t="str" cm="1">
        <f t="array" ref="AK916">_xlfn.IFS(S916&lt;=3000,"Low",S916&lt;=7000,"Mid",S916&lt;=12000,"High",S916&gt;12000,"Top")</f>
        <v>Top</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_xlfn.IFS(A917&lt;=25,"Under 25",A917&lt;=35,"26–35",A917&lt;=45,"36–45",A917&gt;45,"46+")</f>
        <v>Under 25</v>
      </c>
      <c r="AK917" t="str" cm="1">
        <f t="array" ref="AK917">_xlfn.IFS(S917&lt;=3000,"Low",S917&lt;=7000,"Mid",S917&lt;=12000,"High",S917&gt;12000,"Top")</f>
        <v>Low</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_xlfn.IFS(A918&lt;=25,"Under 25",A918&lt;=35,"26–35",A918&lt;=45,"36–45",A918&gt;45,"46+")</f>
        <v>46+</v>
      </c>
      <c r="AK918" t="str" cm="1">
        <f t="array" ref="AK918">_xlfn.IFS(S918&lt;=3000,"Low",S918&lt;=7000,"Mid",S918&lt;=12000,"High",S918&gt;12000,"Top")</f>
        <v>Top</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_xlfn.IFS(A919&lt;=25,"Under 25",A919&lt;=35,"26–35",A919&lt;=45,"36–45",A919&gt;45,"46+")</f>
        <v>26–35</v>
      </c>
      <c r="AK919" t="str" cm="1">
        <f t="array" ref="AK919">_xlfn.IFS(S919&lt;=3000,"Low",S919&lt;=7000,"Mid",S919&lt;=12000,"High",S919&gt;12000,"Top")</f>
        <v>Mid</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_xlfn.IFS(A920&lt;=25,"Under 25",A920&lt;=35,"26–35",A920&lt;=45,"36–45",A920&gt;45,"46+")</f>
        <v>46+</v>
      </c>
      <c r="AK920" t="str" cm="1">
        <f t="array" ref="AK920">_xlfn.IFS(S920&lt;=3000,"Low",S920&lt;=7000,"Mid",S920&lt;=12000,"High",S920&gt;12000,"Top")</f>
        <v>Top</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_xlfn.IFS(A921&lt;=25,"Under 25",A921&lt;=35,"26–35",A921&lt;=45,"36–45",A921&gt;45,"46+")</f>
        <v>46+</v>
      </c>
      <c r="AK921" t="str" cm="1">
        <f t="array" ref="AK921">_xlfn.IFS(S921&lt;=3000,"Low",S921&lt;=7000,"Mid",S921&lt;=12000,"High",S921&gt;12000,"Top")</f>
        <v>High</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_xlfn.IFS(A922&lt;=25,"Under 25",A922&lt;=35,"26–35",A922&lt;=45,"36–45",A922&gt;45,"46+")</f>
        <v>26–35</v>
      </c>
      <c r="AK922" t="str" cm="1">
        <f t="array" ref="AK922">_xlfn.IFS(S922&lt;=3000,"Low",S922&lt;=7000,"Mid",S922&lt;=12000,"High",S922&gt;12000,"Top")</f>
        <v>Mid</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_xlfn.IFS(A923&lt;=25,"Under 25",A923&lt;=35,"26–35",A923&lt;=45,"36–45",A923&gt;45,"46+")</f>
        <v>26–35</v>
      </c>
      <c r="AK923" t="str" cm="1">
        <f t="array" ref="AK923">_xlfn.IFS(S923&lt;=3000,"Low",S923&lt;=7000,"Mid",S923&lt;=12000,"High",S923&gt;12000,"Top")</f>
        <v>Low</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_xlfn.IFS(A924&lt;=25,"Under 25",A924&lt;=35,"26–35",A924&lt;=45,"36–45",A924&gt;45,"46+")</f>
        <v>36–45</v>
      </c>
      <c r="AK924" t="str" cm="1">
        <f t="array" ref="AK924">_xlfn.IFS(S924&lt;=3000,"Low",S924&lt;=7000,"Mid",S924&lt;=12000,"High",S924&gt;12000,"Top")</f>
        <v>Top</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_xlfn.IFS(A925&lt;=25,"Under 25",A925&lt;=35,"26–35",A925&lt;=45,"36–45",A925&gt;45,"46+")</f>
        <v>26–35</v>
      </c>
      <c r="AK925" t="str" cm="1">
        <f t="array" ref="AK925">_xlfn.IFS(S925&lt;=3000,"Low",S925&lt;=7000,"Mid",S925&lt;=12000,"High",S925&gt;12000,"Top")</f>
        <v>Mid</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_xlfn.IFS(A926&lt;=25,"Under 25",A926&lt;=35,"26–35",A926&lt;=45,"36–45",A926&gt;45,"46+")</f>
        <v>26–35</v>
      </c>
      <c r="AK926" t="str" cm="1">
        <f t="array" ref="AK926">_xlfn.IFS(S926&lt;=3000,"Low",S926&lt;=7000,"Mid",S926&lt;=12000,"High",S926&gt;12000,"Top")</f>
        <v>Mid</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_xlfn.IFS(A927&lt;=25,"Under 25",A927&lt;=35,"26–35",A927&lt;=45,"36–45",A927&gt;45,"46+")</f>
        <v>36–45</v>
      </c>
      <c r="AK927" t="str" cm="1">
        <f t="array" ref="AK927">_xlfn.IFS(S927&lt;=3000,"Low",S927&lt;=7000,"Mid",S927&lt;=12000,"High",S927&gt;12000,"Top")</f>
        <v>Low</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_xlfn.IFS(A928&lt;=25,"Under 25",A928&lt;=35,"26–35",A928&lt;=45,"36–45",A928&gt;45,"46+")</f>
        <v>36–45</v>
      </c>
      <c r="AK928" t="str" cm="1">
        <f t="array" ref="AK928">_xlfn.IFS(S928&lt;=3000,"Low",S928&lt;=7000,"Mid",S928&lt;=12000,"High",S928&gt;12000,"Top")</f>
        <v>High</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_xlfn.IFS(A929&lt;=25,"Under 25",A929&lt;=35,"26–35",A929&lt;=45,"36–45",A929&gt;45,"46+")</f>
        <v>36–45</v>
      </c>
      <c r="AK929" t="str" cm="1">
        <f t="array" ref="AK929">_xlfn.IFS(S929&lt;=3000,"Low",S929&lt;=7000,"Mid",S929&lt;=12000,"High",S929&gt;12000,"Top")</f>
        <v>Mid</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_xlfn.IFS(A930&lt;=25,"Under 25",A930&lt;=35,"26–35",A930&lt;=45,"36–45",A930&gt;45,"46+")</f>
        <v>36–45</v>
      </c>
      <c r="AK930" t="str" cm="1">
        <f t="array" ref="AK930">_xlfn.IFS(S930&lt;=3000,"Low",S930&lt;=7000,"Mid",S930&lt;=12000,"High",S930&gt;12000,"Top")</f>
        <v>High</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_xlfn.IFS(A931&lt;=25,"Under 25",A931&lt;=35,"26–35",A931&lt;=45,"36–45",A931&gt;45,"46+")</f>
        <v>26–35</v>
      </c>
      <c r="AK931" t="str" cm="1">
        <f t="array" ref="AK931">_xlfn.IFS(S931&lt;=3000,"Low",S931&lt;=7000,"Mid",S931&lt;=12000,"High",S931&gt;12000,"Top")</f>
        <v>Mid</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_xlfn.IFS(A932&lt;=25,"Under 25",A932&lt;=35,"26–35",A932&lt;=45,"36–45",A932&gt;45,"46+")</f>
        <v>46+</v>
      </c>
      <c r="AK932" t="str" cm="1">
        <f t="array" ref="AK932">_xlfn.IFS(S932&lt;=3000,"Low",S932&lt;=7000,"Mid",S932&lt;=12000,"High",S932&gt;12000,"Top")</f>
        <v>Low</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_xlfn.IFS(A933&lt;=25,"Under 25",A933&lt;=35,"26–35",A933&lt;=45,"36–45",A933&gt;45,"46+")</f>
        <v>26–35</v>
      </c>
      <c r="AK933" t="str" cm="1">
        <f t="array" ref="AK933">_xlfn.IFS(S933&lt;=3000,"Low",S933&lt;=7000,"Mid",S933&lt;=12000,"High",S933&gt;12000,"Top")</f>
        <v>Mid</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_xlfn.IFS(A934&lt;=25,"Under 25",A934&lt;=35,"26–35",A934&lt;=45,"36–45",A934&gt;45,"46+")</f>
        <v>26–35</v>
      </c>
      <c r="AK934" t="str" cm="1">
        <f t="array" ref="AK934">_xlfn.IFS(S934&lt;=3000,"Low",S934&lt;=7000,"Mid",S934&lt;=12000,"High",S934&gt;12000,"Top")</f>
        <v>Mid</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_xlfn.IFS(A935&lt;=25,"Under 25",A935&lt;=35,"26–35",A935&lt;=45,"36–45",A935&gt;45,"46+")</f>
        <v>26–35</v>
      </c>
      <c r="AK935" t="str" cm="1">
        <f t="array" ref="AK935">_xlfn.IFS(S935&lt;=3000,"Low",S935&lt;=7000,"Mid",S935&lt;=12000,"High",S935&gt;12000,"Top")</f>
        <v>Low</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_xlfn.IFS(A936&lt;=25,"Under 25",A936&lt;=35,"26–35",A936&lt;=45,"36–45",A936&gt;45,"46+")</f>
        <v>Under 25</v>
      </c>
      <c r="AK936" t="str" cm="1">
        <f t="array" ref="AK936">_xlfn.IFS(S936&lt;=3000,"Low",S936&lt;=7000,"Mid",S936&lt;=12000,"High",S936&gt;12000,"Top")</f>
        <v>Low</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_xlfn.IFS(A937&lt;=25,"Under 25",A937&lt;=35,"26–35",A937&lt;=45,"36–45",A937&gt;45,"46+")</f>
        <v>26–35</v>
      </c>
      <c r="AK937" t="str" cm="1">
        <f t="array" ref="AK937">_xlfn.IFS(S937&lt;=3000,"Low",S937&lt;=7000,"Mid",S937&lt;=12000,"High",S937&gt;12000,"Top")</f>
        <v>Mid</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_xlfn.IFS(A938&lt;=25,"Under 25",A938&lt;=35,"26–35",A938&lt;=45,"36–45",A938&gt;45,"46+")</f>
        <v>36–45</v>
      </c>
      <c r="AK938" t="str" cm="1">
        <f t="array" ref="AK938">_xlfn.IFS(S938&lt;=3000,"Low",S938&lt;=7000,"Mid",S938&lt;=12000,"High",S938&gt;12000,"Top")</f>
        <v>Top</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_xlfn.IFS(A939&lt;=25,"Under 25",A939&lt;=35,"26–35",A939&lt;=45,"36–45",A939&gt;45,"46+")</f>
        <v>36–45</v>
      </c>
      <c r="AK939" t="str" cm="1">
        <f t="array" ref="AK939">_xlfn.IFS(S939&lt;=3000,"Low",S939&lt;=7000,"Mid",S939&lt;=12000,"High",S939&gt;12000,"Top")</f>
        <v>Top</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_xlfn.IFS(A940&lt;=25,"Under 25",A940&lt;=35,"26–35",A940&lt;=45,"36–45",A940&gt;45,"46+")</f>
        <v>46+</v>
      </c>
      <c r="AK940" t="str" cm="1">
        <f t="array" ref="AK940">_xlfn.IFS(S940&lt;=3000,"Low",S940&lt;=7000,"Mid",S940&lt;=12000,"High",S940&gt;12000,"Top")</f>
        <v>Low</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_xlfn.IFS(A941&lt;=25,"Under 25",A941&lt;=35,"26–35",A941&lt;=45,"36–45",A941&gt;45,"46+")</f>
        <v>26–35</v>
      </c>
      <c r="AK941" t="str" cm="1">
        <f t="array" ref="AK941">_xlfn.IFS(S941&lt;=3000,"Low",S941&lt;=7000,"Mid",S941&lt;=12000,"High",S941&gt;12000,"Top")</f>
        <v>Mid</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_xlfn.IFS(A942&lt;=25,"Under 25",A942&lt;=35,"26–35",A942&lt;=45,"36–45",A942&gt;45,"46+")</f>
        <v>36–45</v>
      </c>
      <c r="AK942" t="str" cm="1">
        <f t="array" ref="AK942">_xlfn.IFS(S942&lt;=3000,"Low",S942&lt;=7000,"Mid",S942&lt;=12000,"High",S942&gt;12000,"Top")</f>
        <v>Mid</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_xlfn.IFS(A943&lt;=25,"Under 25",A943&lt;=35,"26–35",A943&lt;=45,"36–45",A943&gt;45,"46+")</f>
        <v>26–35</v>
      </c>
      <c r="AK943" t="str" cm="1">
        <f t="array" ref="AK943">_xlfn.IFS(S943&lt;=3000,"Low",S943&lt;=7000,"Mid",S943&lt;=12000,"High",S943&gt;12000,"Top")</f>
        <v>Mid</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_xlfn.IFS(A944&lt;=25,"Under 25",A944&lt;=35,"26–35",A944&lt;=45,"36–45",A944&gt;45,"46+")</f>
        <v>36–45</v>
      </c>
      <c r="AK944" t="str" cm="1">
        <f t="array" ref="AK944">_xlfn.IFS(S944&lt;=3000,"Low",S944&lt;=7000,"Mid",S944&lt;=12000,"High",S944&gt;12000,"Top")</f>
        <v>High</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_xlfn.IFS(A945&lt;=25,"Under 25",A945&lt;=35,"26–35",A945&lt;=45,"36–45",A945&gt;45,"46+")</f>
        <v>46+</v>
      </c>
      <c r="AK945" t="str" cm="1">
        <f t="array" ref="AK945">_xlfn.IFS(S945&lt;=3000,"Low",S945&lt;=7000,"Mid",S945&lt;=12000,"High",S945&gt;12000,"Top")</f>
        <v>Mid</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_xlfn.IFS(A946&lt;=25,"Under 25",A946&lt;=35,"26–35",A946&lt;=45,"36–45",A946&gt;45,"46+")</f>
        <v>26–35</v>
      </c>
      <c r="AK946" t="str" cm="1">
        <f t="array" ref="AK946">_xlfn.IFS(S946&lt;=3000,"Low",S946&lt;=7000,"Mid",S946&lt;=12000,"High",S946&gt;12000,"Top")</f>
        <v>Mid</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_xlfn.IFS(A947&lt;=25,"Under 25",A947&lt;=35,"26–35",A947&lt;=45,"36–45",A947&gt;45,"46+")</f>
        <v>46+</v>
      </c>
      <c r="AK947" t="str" cm="1">
        <f t="array" ref="AK947">_xlfn.IFS(S947&lt;=3000,"Low",S947&lt;=7000,"Mid",S947&lt;=12000,"High",S947&gt;12000,"Top")</f>
        <v>Top</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_xlfn.IFS(A948&lt;=25,"Under 25",A948&lt;=35,"26–35",A948&lt;=45,"36–45",A948&gt;45,"46+")</f>
        <v>36–45</v>
      </c>
      <c r="AK948" t="str" cm="1">
        <f t="array" ref="AK948">_xlfn.IFS(S948&lt;=3000,"Low",S948&lt;=7000,"Mid",S948&lt;=12000,"High",S948&gt;12000,"Top")</f>
        <v>High</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_xlfn.IFS(A949&lt;=25,"Under 25",A949&lt;=35,"26–35",A949&lt;=45,"36–45",A949&gt;45,"46+")</f>
        <v>46+</v>
      </c>
      <c r="AK949" t="str" cm="1">
        <f t="array" ref="AK949">_xlfn.IFS(S949&lt;=3000,"Low",S949&lt;=7000,"Mid",S949&lt;=12000,"High",S949&gt;12000,"Top")</f>
        <v>High</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_xlfn.IFS(A950&lt;=25,"Under 25",A950&lt;=35,"26–35",A950&lt;=45,"36–45",A950&gt;45,"46+")</f>
        <v>26–35</v>
      </c>
      <c r="AK950" t="str" cm="1">
        <f t="array" ref="AK950">_xlfn.IFS(S950&lt;=3000,"Low",S950&lt;=7000,"Mid",S950&lt;=12000,"High",S950&gt;12000,"Top")</f>
        <v>High</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_xlfn.IFS(A951&lt;=25,"Under 25",A951&lt;=35,"26–35",A951&lt;=45,"36–45",A951&gt;45,"46+")</f>
        <v>36–45</v>
      </c>
      <c r="AK951" t="str" cm="1">
        <f t="array" ref="AK951">_xlfn.IFS(S951&lt;=3000,"Low",S951&lt;=7000,"Mid",S951&lt;=12000,"High",S951&gt;12000,"Top")</f>
        <v>Mid</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_xlfn.IFS(A952&lt;=25,"Under 25",A952&lt;=35,"26–35",A952&lt;=45,"36–45",A952&gt;45,"46+")</f>
        <v>26–35</v>
      </c>
      <c r="AK952" t="str" cm="1">
        <f t="array" ref="AK952">_xlfn.IFS(S952&lt;=3000,"Low",S952&lt;=7000,"Mid",S952&lt;=12000,"High",S952&gt;12000,"Top")</f>
        <v>High</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_xlfn.IFS(A953&lt;=25,"Under 25",A953&lt;=35,"26–35",A953&lt;=45,"36–45",A953&gt;45,"46+")</f>
        <v>36–45</v>
      </c>
      <c r="AK953" t="str" cm="1">
        <f t="array" ref="AK953">_xlfn.IFS(S953&lt;=3000,"Low",S953&lt;=7000,"Mid",S953&lt;=12000,"High",S953&gt;12000,"Top")</f>
        <v>Mid</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_xlfn.IFS(A954&lt;=25,"Under 25",A954&lt;=35,"26–35",A954&lt;=45,"36–45",A954&gt;45,"46+")</f>
        <v>26–35</v>
      </c>
      <c r="AK954" t="str" cm="1">
        <f t="array" ref="AK954">_xlfn.IFS(S954&lt;=3000,"Low",S954&lt;=7000,"Mid",S954&lt;=12000,"High",S954&gt;12000,"Top")</f>
        <v>Low</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_xlfn.IFS(A955&lt;=25,"Under 25",A955&lt;=35,"26–35",A955&lt;=45,"36–45",A955&gt;45,"46+")</f>
        <v>36–45</v>
      </c>
      <c r="AK955" t="str" cm="1">
        <f t="array" ref="AK955">_xlfn.IFS(S955&lt;=3000,"Low",S955&lt;=7000,"Mid",S955&lt;=12000,"High",S955&gt;12000,"Top")</f>
        <v>Low</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_xlfn.IFS(A956&lt;=25,"Under 25",A956&lt;=35,"26–35",A956&lt;=45,"36–45",A956&gt;45,"46+")</f>
        <v>36–45</v>
      </c>
      <c r="AK956" t="str" cm="1">
        <f t="array" ref="AK956">_xlfn.IFS(S956&lt;=3000,"Low",S956&lt;=7000,"Mid",S956&lt;=12000,"High",S956&gt;12000,"Top")</f>
        <v>Top</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_xlfn.IFS(A957&lt;=25,"Under 25",A957&lt;=35,"26–35",A957&lt;=45,"36–45",A957&gt;45,"46+")</f>
        <v>46+</v>
      </c>
      <c r="AK957" t="str" cm="1">
        <f t="array" ref="AK957">_xlfn.IFS(S957&lt;=3000,"Low",S957&lt;=7000,"Mid",S957&lt;=12000,"High",S957&gt;12000,"Top")</f>
        <v>Top</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_xlfn.IFS(A958&lt;=25,"Under 25",A958&lt;=35,"26–35",A958&lt;=45,"36–45",A958&gt;45,"46+")</f>
        <v>46+</v>
      </c>
      <c r="AK958" t="str" cm="1">
        <f t="array" ref="AK958">_xlfn.IFS(S958&lt;=3000,"Low",S958&lt;=7000,"Mid",S958&lt;=12000,"High",S958&gt;12000,"Top")</f>
        <v>Top</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_xlfn.IFS(A959&lt;=25,"Under 25",A959&lt;=35,"26–35",A959&lt;=45,"36–45",A959&gt;45,"46+")</f>
        <v>36–45</v>
      </c>
      <c r="AK959" t="str" cm="1">
        <f t="array" ref="AK959">_xlfn.IFS(S959&lt;=3000,"Low",S959&lt;=7000,"Mid",S959&lt;=12000,"High",S959&gt;12000,"Top")</f>
        <v>Mid</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_xlfn.IFS(A960&lt;=25,"Under 25",A960&lt;=35,"26–35",A960&lt;=45,"36–45",A960&gt;45,"46+")</f>
        <v>26–35</v>
      </c>
      <c r="AK960" t="str" cm="1">
        <f t="array" ref="AK960">_xlfn.IFS(S960&lt;=3000,"Low",S960&lt;=7000,"Mid",S960&lt;=12000,"High",S960&gt;12000,"Top")</f>
        <v>High</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_xlfn.IFS(A961&lt;=25,"Under 25",A961&lt;=35,"26–35",A961&lt;=45,"36–45",A961&gt;45,"46+")</f>
        <v>36–45</v>
      </c>
      <c r="AK961" t="str" cm="1">
        <f t="array" ref="AK961">_xlfn.IFS(S961&lt;=3000,"Low",S961&lt;=7000,"Mid",S961&lt;=12000,"High",S961&gt;12000,"Top")</f>
        <v>Mid</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_xlfn.IFS(A962&lt;=25,"Under 25",A962&lt;=35,"26–35",A962&lt;=45,"36–45",A962&gt;45,"46+")</f>
        <v>36–45</v>
      </c>
      <c r="AK962" t="str" cm="1">
        <f t="array" ref="AK962">_xlfn.IFS(S962&lt;=3000,"Low",S962&lt;=7000,"Mid",S962&lt;=12000,"High",S962&gt;12000,"Top")</f>
        <v>Mid</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_xlfn.IFS(A963&lt;=25,"Under 25",A963&lt;=35,"26–35",A963&lt;=45,"36–45",A963&gt;45,"46+")</f>
        <v>26–35</v>
      </c>
      <c r="AK963" t="str" cm="1">
        <f t="array" ref="AK963">_xlfn.IFS(S963&lt;=3000,"Low",S963&lt;=7000,"Mid",S963&lt;=12000,"High",S963&gt;12000,"Top")</f>
        <v>Mid</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_xlfn.IFS(A964&lt;=25,"Under 25",A964&lt;=35,"26–35",A964&lt;=45,"36–45",A964&gt;45,"46+")</f>
        <v>46+</v>
      </c>
      <c r="AK964" t="str" cm="1">
        <f t="array" ref="AK964">_xlfn.IFS(S964&lt;=3000,"Low",S964&lt;=7000,"Mid",S964&lt;=12000,"High",S964&gt;12000,"Top")</f>
        <v>Top</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_xlfn.IFS(A965&lt;=25,"Under 25",A965&lt;=35,"26–35",A965&lt;=45,"36–45",A965&gt;45,"46+")</f>
        <v>36–45</v>
      </c>
      <c r="AK965" t="str" cm="1">
        <f t="array" ref="AK965">_xlfn.IFS(S965&lt;=3000,"Low",S965&lt;=7000,"Mid",S965&lt;=12000,"High",S965&gt;12000,"Top")</f>
        <v>Mid</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_xlfn.IFS(A966&lt;=25,"Under 25",A966&lt;=35,"26–35",A966&lt;=45,"36–45",A966&gt;45,"46+")</f>
        <v>26–35</v>
      </c>
      <c r="AK966" t="str" cm="1">
        <f t="array" ref="AK966">_xlfn.IFS(S966&lt;=3000,"Low",S966&lt;=7000,"Mid",S966&lt;=12000,"High",S966&gt;12000,"Top")</f>
        <v>Mid</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_xlfn.IFS(A967&lt;=25,"Under 25",A967&lt;=35,"26–35",A967&lt;=45,"36–45",A967&gt;45,"46+")</f>
        <v>Under 25</v>
      </c>
      <c r="AK967" t="str" cm="1">
        <f t="array" ref="AK967">_xlfn.IFS(S967&lt;=3000,"Low",S967&lt;=7000,"Mid",S967&lt;=12000,"High",S967&gt;12000,"Top")</f>
        <v>Mid</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_xlfn.IFS(A968&lt;=25,"Under 25",A968&lt;=35,"26–35",A968&lt;=45,"36–45",A968&gt;45,"46+")</f>
        <v>46+</v>
      </c>
      <c r="AK968" t="str" cm="1">
        <f t="array" ref="AK968">_xlfn.IFS(S968&lt;=3000,"Low",S968&lt;=7000,"Mid",S968&lt;=12000,"High",S968&gt;12000,"Top")</f>
        <v>High</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_xlfn.IFS(A969&lt;=25,"Under 25",A969&lt;=35,"26–35",A969&lt;=45,"36–45",A969&gt;45,"46+")</f>
        <v>36–45</v>
      </c>
      <c r="AK969" t="str" cm="1">
        <f t="array" ref="AK969">_xlfn.IFS(S969&lt;=3000,"Low",S969&lt;=7000,"Mid",S969&lt;=12000,"High",S969&gt;12000,"Top")</f>
        <v>Low</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_xlfn.IFS(A970&lt;=25,"Under 25",A970&lt;=35,"26–35",A970&lt;=45,"36–45",A970&gt;45,"46+")</f>
        <v>36–45</v>
      </c>
      <c r="AK970" t="str" cm="1">
        <f t="array" ref="AK970">_xlfn.IFS(S970&lt;=3000,"Low",S970&lt;=7000,"Mid",S970&lt;=12000,"High",S970&gt;12000,"Top")</f>
        <v>Mid</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_xlfn.IFS(A971&lt;=25,"Under 25",A971&lt;=35,"26–35",A971&lt;=45,"36–45",A971&gt;45,"46+")</f>
        <v>46+</v>
      </c>
      <c r="AK971" t="str" cm="1">
        <f t="array" ref="AK971">_xlfn.IFS(S971&lt;=3000,"Low",S971&lt;=7000,"Mid",S971&lt;=12000,"High",S971&gt;12000,"Top")</f>
        <v>High</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_xlfn.IFS(A972&lt;=25,"Under 25",A972&lt;=35,"26–35",A972&lt;=45,"36–45",A972&gt;45,"46+")</f>
        <v>26–35</v>
      </c>
      <c r="AK972" t="str" cm="1">
        <f t="array" ref="AK972">_xlfn.IFS(S972&lt;=3000,"Low",S972&lt;=7000,"Mid",S972&lt;=12000,"High",S972&gt;12000,"Top")</f>
        <v>Low</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_xlfn.IFS(A973&lt;=25,"Under 25",A973&lt;=35,"26–35",A973&lt;=45,"36–45",A973&gt;45,"46+")</f>
        <v>46+</v>
      </c>
      <c r="AK973" t="str" cm="1">
        <f t="array" ref="AK973">_xlfn.IFS(S973&lt;=3000,"Low",S973&lt;=7000,"Mid",S973&lt;=12000,"High",S973&gt;12000,"Top")</f>
        <v>Top</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_xlfn.IFS(A974&lt;=25,"Under 25",A974&lt;=35,"26–35",A974&lt;=45,"36–45",A974&gt;45,"46+")</f>
        <v>Under 25</v>
      </c>
      <c r="AK974" t="str" cm="1">
        <f t="array" ref="AK974">_xlfn.IFS(S974&lt;=3000,"Low",S974&lt;=7000,"Mid",S974&lt;=12000,"High",S974&gt;12000,"Top")</f>
        <v>Low</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_xlfn.IFS(A975&lt;=25,"Under 25",A975&lt;=35,"26–35",A975&lt;=45,"36–45",A975&gt;45,"46+")</f>
        <v>26–35</v>
      </c>
      <c r="AK975" t="str" cm="1">
        <f t="array" ref="AK975">_xlfn.IFS(S975&lt;=3000,"Low",S975&lt;=7000,"Mid",S975&lt;=12000,"High",S975&gt;12000,"Top")</f>
        <v>Mid</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_xlfn.IFS(A976&lt;=25,"Under 25",A976&lt;=35,"26–35",A976&lt;=45,"36–45",A976&gt;45,"46+")</f>
        <v>26–35</v>
      </c>
      <c r="AK976" t="str" cm="1">
        <f t="array" ref="AK976">_xlfn.IFS(S976&lt;=3000,"Low",S976&lt;=7000,"Mid",S976&lt;=12000,"High",S976&gt;12000,"Top")</f>
        <v>Mid</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_xlfn.IFS(A977&lt;=25,"Under 25",A977&lt;=35,"26–35",A977&lt;=45,"36–45",A977&gt;45,"46+")</f>
        <v>46+</v>
      </c>
      <c r="AK977" t="str" cm="1">
        <f t="array" ref="AK977">_xlfn.IFS(S977&lt;=3000,"Low",S977&lt;=7000,"Mid",S977&lt;=12000,"High",S977&gt;12000,"Top")</f>
        <v>Top</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_xlfn.IFS(A978&lt;=25,"Under 25",A978&lt;=35,"26–35",A978&lt;=45,"36–45",A978&gt;45,"46+")</f>
        <v>46+</v>
      </c>
      <c r="AK978" t="str" cm="1">
        <f t="array" ref="AK978">_xlfn.IFS(S978&lt;=3000,"Low",S978&lt;=7000,"Mid",S978&lt;=12000,"High",S978&gt;12000,"Top")</f>
        <v>Top</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_xlfn.IFS(A979&lt;=25,"Under 25",A979&lt;=35,"26–35",A979&lt;=45,"36–45",A979&gt;45,"46+")</f>
        <v>26–35</v>
      </c>
      <c r="AK979" t="str" cm="1">
        <f t="array" ref="AK979">_xlfn.IFS(S979&lt;=3000,"Low",S979&lt;=7000,"Mid",S979&lt;=12000,"High",S979&gt;12000,"Top")</f>
        <v>Low</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_xlfn.IFS(A980&lt;=25,"Under 25",A980&lt;=35,"26–35",A980&lt;=45,"36–45",A980&gt;45,"46+")</f>
        <v>36–45</v>
      </c>
      <c r="AK980" t="str" cm="1">
        <f t="array" ref="AK980">_xlfn.IFS(S980&lt;=3000,"Low",S980&lt;=7000,"Mid",S980&lt;=12000,"High",S980&gt;12000,"Top")</f>
        <v>Mid</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_xlfn.IFS(A981&lt;=25,"Under 25",A981&lt;=35,"26–35",A981&lt;=45,"36–45",A981&gt;45,"46+")</f>
        <v>26–35</v>
      </c>
      <c r="AK981" t="str" cm="1">
        <f t="array" ref="AK981">_xlfn.IFS(S981&lt;=3000,"Low",S981&lt;=7000,"Mid",S981&lt;=12000,"High",S981&gt;12000,"Top")</f>
        <v>Mid</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_xlfn.IFS(A982&lt;=25,"Under 25",A982&lt;=35,"26–35",A982&lt;=45,"36–45",A982&gt;45,"46+")</f>
        <v>26–35</v>
      </c>
      <c r="AK982" t="str" cm="1">
        <f t="array" ref="AK982">_xlfn.IFS(S982&lt;=3000,"Low",S982&lt;=7000,"Mid",S982&lt;=12000,"High",S982&gt;12000,"Top")</f>
        <v>Low</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_xlfn.IFS(A983&lt;=25,"Under 25",A983&lt;=35,"26–35",A983&lt;=45,"36–45",A983&gt;45,"46+")</f>
        <v>26–35</v>
      </c>
      <c r="AK983" t="str" cm="1">
        <f t="array" ref="AK983">_xlfn.IFS(S983&lt;=3000,"Low",S983&lt;=7000,"Mid",S983&lt;=12000,"High",S983&gt;12000,"Top")</f>
        <v>Mid</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_xlfn.IFS(A984&lt;=25,"Under 25",A984&lt;=35,"26–35",A984&lt;=45,"36–45",A984&gt;45,"46+")</f>
        <v>36–45</v>
      </c>
      <c r="AK984" t="str" cm="1">
        <f t="array" ref="AK984">_xlfn.IFS(S984&lt;=3000,"Low",S984&lt;=7000,"Mid",S984&lt;=12000,"High",S984&gt;12000,"Top")</f>
        <v>Low</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_xlfn.IFS(A985&lt;=25,"Under 25",A985&lt;=35,"26–35",A985&lt;=45,"36–45",A985&gt;45,"46+")</f>
        <v>26–35</v>
      </c>
      <c r="AK985" t="str" cm="1">
        <f t="array" ref="AK985">_xlfn.IFS(S985&lt;=3000,"Low",S985&lt;=7000,"Mid",S985&lt;=12000,"High",S985&gt;12000,"Top")</f>
        <v>Mid</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_xlfn.IFS(A986&lt;=25,"Under 25",A986&lt;=35,"26–35",A986&lt;=45,"36–45",A986&gt;45,"46+")</f>
        <v>26–35</v>
      </c>
      <c r="AK986" t="str" cm="1">
        <f t="array" ref="AK986">_xlfn.IFS(S986&lt;=3000,"Low",S986&lt;=7000,"Mid",S986&lt;=12000,"High",S986&gt;12000,"Top")</f>
        <v>Mid</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_xlfn.IFS(A987&lt;=25,"Under 25",A987&lt;=35,"26–35",A987&lt;=45,"36–45",A987&gt;45,"46+")</f>
        <v>26–35</v>
      </c>
      <c r="AK987" t="str" cm="1">
        <f t="array" ref="AK987">_xlfn.IFS(S987&lt;=3000,"Low",S987&lt;=7000,"Mid",S987&lt;=12000,"High",S987&gt;12000,"Top")</f>
        <v>Mid</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_xlfn.IFS(A988&lt;=25,"Under 25",A988&lt;=35,"26–35",A988&lt;=45,"36–45",A988&gt;45,"46+")</f>
        <v>36–45</v>
      </c>
      <c r="AK988" t="str" cm="1">
        <f t="array" ref="AK988">_xlfn.IFS(S988&lt;=3000,"Low",S988&lt;=7000,"Mid",S988&lt;=12000,"High",S988&gt;12000,"Top")</f>
        <v>Mid</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_xlfn.IFS(A989&lt;=25,"Under 25",A989&lt;=35,"26–35",A989&lt;=45,"36–45",A989&gt;45,"46+")</f>
        <v>46+</v>
      </c>
      <c r="AK989" t="str" cm="1">
        <f t="array" ref="AK989">_xlfn.IFS(S989&lt;=3000,"Low",S989&lt;=7000,"Mid",S989&lt;=12000,"High",S989&gt;12000,"Top")</f>
        <v>High</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_xlfn.IFS(A990&lt;=25,"Under 25",A990&lt;=35,"26–35",A990&lt;=45,"36–45",A990&gt;45,"46+")</f>
        <v>36–45</v>
      </c>
      <c r="AK990" t="str" cm="1">
        <f t="array" ref="AK990">_xlfn.IFS(S990&lt;=3000,"Low",S990&lt;=7000,"Mid",S990&lt;=12000,"High",S990&gt;12000,"Top")</f>
        <v>Mid</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_xlfn.IFS(A991&lt;=25,"Under 25",A991&lt;=35,"26–35",A991&lt;=45,"36–45",A991&gt;45,"46+")</f>
        <v>36–45</v>
      </c>
      <c r="AK991" t="str" cm="1">
        <f t="array" ref="AK991">_xlfn.IFS(S991&lt;=3000,"Low",S991&lt;=7000,"Mid",S991&lt;=12000,"High",S991&gt;12000,"Top")</f>
        <v>Low</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_xlfn.IFS(A992&lt;=25,"Under 25",A992&lt;=35,"26–35",A992&lt;=45,"36–45",A992&gt;45,"46+")</f>
        <v>26–35</v>
      </c>
      <c r="AK992" t="str" cm="1">
        <f t="array" ref="AK992">_xlfn.IFS(S992&lt;=3000,"Low",S992&lt;=7000,"Mid",S992&lt;=12000,"High",S992&gt;12000,"Top")</f>
        <v>High</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_xlfn.IFS(A993&lt;=25,"Under 25",A993&lt;=35,"26–35",A993&lt;=45,"36–45",A993&gt;45,"46+")</f>
        <v>26–35</v>
      </c>
      <c r="AK993" t="str" cm="1">
        <f t="array" ref="AK993">_xlfn.IFS(S993&lt;=3000,"Low",S993&lt;=7000,"Mid",S993&lt;=12000,"High",S993&gt;12000,"Top")</f>
        <v>Mid</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_xlfn.IFS(A994&lt;=25,"Under 25",A994&lt;=35,"26–35",A994&lt;=45,"36–45",A994&gt;45,"46+")</f>
        <v>36–45</v>
      </c>
      <c r="AK994" t="str" cm="1">
        <f t="array" ref="AK994">_xlfn.IFS(S994&lt;=3000,"Low",S994&lt;=7000,"Mid",S994&lt;=12000,"High",S994&gt;12000,"Top")</f>
        <v>High</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_xlfn.IFS(A995&lt;=25,"Under 25",A995&lt;=35,"26–35",A995&lt;=45,"36–45",A995&gt;45,"46+")</f>
        <v>Under 25</v>
      </c>
      <c r="AK995" t="str" cm="1">
        <f t="array" ref="AK995">_xlfn.IFS(S995&lt;=3000,"Low",S995&lt;=7000,"Mid",S995&lt;=12000,"High",S995&gt;12000,"Top")</f>
        <v>Mid</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_xlfn.IFS(A996&lt;=25,"Under 25",A996&lt;=35,"26–35",A996&lt;=45,"36–45",A996&gt;45,"46+")</f>
        <v>46+</v>
      </c>
      <c r="AK996" t="str" cm="1">
        <f t="array" ref="AK996">_xlfn.IFS(S996&lt;=3000,"Low",S996&lt;=7000,"Mid",S996&lt;=12000,"High",S996&gt;12000,"Top")</f>
        <v>Top</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_xlfn.IFS(A997&lt;=25,"Under 25",A997&lt;=35,"26–35",A997&lt;=45,"36–45",A997&gt;45,"46+")</f>
        <v>36–45</v>
      </c>
      <c r="AK997" t="str" cm="1">
        <f t="array" ref="AK997">_xlfn.IFS(S997&lt;=3000,"Low",S997&lt;=7000,"Mid",S997&lt;=12000,"High",S997&gt;12000,"Top")</f>
        <v>Mid</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_xlfn.IFS(A998&lt;=25,"Under 25",A998&lt;=35,"26–35",A998&lt;=45,"36–45",A998&gt;45,"46+")</f>
        <v>26–35</v>
      </c>
      <c r="AK998" t="str" cm="1">
        <f t="array" ref="AK998">_xlfn.IFS(S998&lt;=3000,"Low",S998&lt;=7000,"Mid",S998&lt;=12000,"High",S998&gt;12000,"Top")</f>
        <v>Mid</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_xlfn.IFS(A999&lt;=25,"Under 25",A999&lt;=35,"26–35",A999&lt;=45,"36–45",A999&gt;45,"46+")</f>
        <v>26–35</v>
      </c>
      <c r="AK999" t="str" cm="1">
        <f t="array" ref="AK999">_xlfn.IFS(S999&lt;=3000,"Low",S999&lt;=7000,"Mid",S999&lt;=12000,"High",S999&gt;12000,"Top")</f>
        <v>Low</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_xlfn.IFS(A1000&lt;=25,"Under 25",A1000&lt;=35,"26–35",A1000&lt;=45,"36–45",A1000&gt;45,"46+")</f>
        <v>26–35</v>
      </c>
      <c r="AK1000" t="str" cm="1">
        <f t="array" ref="AK1000">_xlfn.IFS(S1000&lt;=3000,"Low",S1000&lt;=7000,"Mid",S1000&lt;=12000,"High",S1000&gt;12000,"Top")</f>
        <v>Mid</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_xlfn.IFS(A1001&lt;=25,"Under 25",A1001&lt;=35,"26–35",A1001&lt;=45,"36–45",A1001&gt;45,"46+")</f>
        <v>36–45</v>
      </c>
      <c r="AK1001" t="str" cm="1">
        <f t="array" ref="AK1001">_xlfn.IFS(S1001&lt;=3000,"Low",S1001&lt;=7000,"Mid",S1001&lt;=12000,"High",S1001&gt;12000,"Top")</f>
        <v>Top</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_xlfn.IFS(A1002&lt;=25,"Under 25",A1002&lt;=35,"26–35",A1002&lt;=45,"36–45",A1002&gt;45,"46+")</f>
        <v>46+</v>
      </c>
      <c r="AK1002" t="str" cm="1">
        <f t="array" ref="AK1002">_xlfn.IFS(S1002&lt;=3000,"Low",S1002&lt;=7000,"Mid",S1002&lt;=12000,"High",S1002&gt;12000,"Top")</f>
        <v>Low</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_xlfn.IFS(A1003&lt;=25,"Under 25",A1003&lt;=35,"26–35",A1003&lt;=45,"36–45",A1003&gt;45,"46+")</f>
        <v>36–45</v>
      </c>
      <c r="AK1003" t="str" cm="1">
        <f t="array" ref="AK1003">_xlfn.IFS(S1003&lt;=3000,"Low",S1003&lt;=7000,"Mid",S1003&lt;=12000,"High",S1003&gt;12000,"Top")</f>
        <v>Mid</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_xlfn.IFS(A1004&lt;=25,"Under 25",A1004&lt;=35,"26–35",A1004&lt;=45,"36–45",A1004&gt;45,"46+")</f>
        <v>26–35</v>
      </c>
      <c r="AK1004" t="str" cm="1">
        <f t="array" ref="AK1004">_xlfn.IFS(S1004&lt;=3000,"Low",S1004&lt;=7000,"Mid",S1004&lt;=12000,"High",S1004&gt;12000,"Top")</f>
        <v>High</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_xlfn.IFS(A1005&lt;=25,"Under 25",A1005&lt;=35,"26–35",A1005&lt;=45,"36–45",A1005&gt;45,"46+")</f>
        <v>Under 25</v>
      </c>
      <c r="AK1005" t="str" cm="1">
        <f t="array" ref="AK1005">_xlfn.IFS(S1005&lt;=3000,"Low",S1005&lt;=7000,"Mid",S1005&lt;=12000,"High",S1005&gt;12000,"Top")</f>
        <v>Mid</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_xlfn.IFS(A1006&lt;=25,"Under 25",A1006&lt;=35,"26–35",A1006&lt;=45,"36–45",A1006&gt;45,"46+")</f>
        <v>26–35</v>
      </c>
      <c r="AK1006" t="str" cm="1">
        <f t="array" ref="AK1006">_xlfn.IFS(S1006&lt;=3000,"Low",S1006&lt;=7000,"Mid",S1006&lt;=12000,"High",S1006&gt;12000,"Top")</f>
        <v>Mid</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_xlfn.IFS(A1007&lt;=25,"Under 25",A1007&lt;=35,"26–35",A1007&lt;=45,"36–45",A1007&gt;45,"46+")</f>
        <v>26–35</v>
      </c>
      <c r="AK1007" t="str" cm="1">
        <f t="array" ref="AK1007">_xlfn.IFS(S1007&lt;=3000,"Low",S1007&lt;=7000,"Mid",S1007&lt;=12000,"High",S1007&gt;12000,"Top")</f>
        <v>High</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_xlfn.IFS(A1008&lt;=25,"Under 25",A1008&lt;=35,"26–35",A1008&lt;=45,"36–45",A1008&gt;45,"46+")</f>
        <v>46+</v>
      </c>
      <c r="AK1008" t="str" cm="1">
        <f t="array" ref="AK1008">_xlfn.IFS(S1008&lt;=3000,"Low",S1008&lt;=7000,"Mid",S1008&lt;=12000,"High",S1008&gt;12000,"Top")</f>
        <v>Mid</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_xlfn.IFS(A1009&lt;=25,"Under 25",A1009&lt;=35,"26–35",A1009&lt;=45,"36–45",A1009&gt;45,"46+")</f>
        <v>26–35</v>
      </c>
      <c r="AK1009" t="str" cm="1">
        <f t="array" ref="AK1009">_xlfn.IFS(S1009&lt;=3000,"Low",S1009&lt;=7000,"Mid",S1009&lt;=12000,"High",S1009&gt;12000,"Top")</f>
        <v>High</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_xlfn.IFS(A1010&lt;=25,"Under 25",A1010&lt;=35,"26–35",A1010&lt;=45,"36–45",A1010&gt;45,"46+")</f>
        <v>46+</v>
      </c>
      <c r="AK1010" t="str" cm="1">
        <f t="array" ref="AK1010">_xlfn.IFS(S1010&lt;=3000,"Low",S1010&lt;=7000,"Mid",S1010&lt;=12000,"High",S1010&gt;12000,"Top")</f>
        <v>Top</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_xlfn.IFS(A1011&lt;=25,"Under 25",A1011&lt;=35,"26–35",A1011&lt;=45,"36–45",A1011&gt;45,"46+")</f>
        <v>46+</v>
      </c>
      <c r="AK1011" t="str" cm="1">
        <f t="array" ref="AK1011">_xlfn.IFS(S1011&lt;=3000,"Low",S1011&lt;=7000,"Mid",S1011&lt;=12000,"High",S1011&gt;12000,"Top")</f>
        <v>Top</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_xlfn.IFS(A1012&lt;=25,"Under 25",A1012&lt;=35,"26–35",A1012&lt;=45,"36–45",A1012&gt;45,"46+")</f>
        <v>46+</v>
      </c>
      <c r="AK1012" t="str" cm="1">
        <f t="array" ref="AK1012">_xlfn.IFS(S1012&lt;=3000,"Low",S1012&lt;=7000,"Mid",S1012&lt;=12000,"High",S1012&gt;12000,"Top")</f>
        <v>Top</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_xlfn.IFS(A1013&lt;=25,"Under 25",A1013&lt;=35,"26–35",A1013&lt;=45,"36–45",A1013&gt;45,"46+")</f>
        <v>36–45</v>
      </c>
      <c r="AK1013" t="str" cm="1">
        <f t="array" ref="AK1013">_xlfn.IFS(S1013&lt;=3000,"Low",S1013&lt;=7000,"Mid",S1013&lt;=12000,"High",S1013&gt;12000,"Top")</f>
        <v>High</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_xlfn.IFS(A1014&lt;=25,"Under 25",A1014&lt;=35,"26–35",A1014&lt;=45,"36–45",A1014&gt;45,"46+")</f>
        <v>26–35</v>
      </c>
      <c r="AK1014" t="str" cm="1">
        <f t="array" ref="AK1014">_xlfn.IFS(S1014&lt;=3000,"Low",S1014&lt;=7000,"Mid",S1014&lt;=12000,"High",S1014&gt;12000,"Top")</f>
        <v>Low</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_xlfn.IFS(A1015&lt;=25,"Under 25",A1015&lt;=35,"26–35",A1015&lt;=45,"36–45",A1015&gt;45,"46+")</f>
        <v>26–35</v>
      </c>
      <c r="AK1015" t="str" cm="1">
        <f t="array" ref="AK1015">_xlfn.IFS(S1015&lt;=3000,"Low",S1015&lt;=7000,"Mid",S1015&lt;=12000,"High",S1015&gt;12000,"Top")</f>
        <v>Mid</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_xlfn.IFS(A1016&lt;=25,"Under 25",A1016&lt;=35,"26–35",A1016&lt;=45,"36–45",A1016&gt;45,"46+")</f>
        <v>26–35</v>
      </c>
      <c r="AK1016" t="str" cm="1">
        <f t="array" ref="AK1016">_xlfn.IFS(S1016&lt;=3000,"Low",S1016&lt;=7000,"Mid",S1016&lt;=12000,"High",S1016&gt;12000,"Top")</f>
        <v>Top</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_xlfn.IFS(A1017&lt;=25,"Under 25",A1017&lt;=35,"26–35",A1017&lt;=45,"36–45",A1017&gt;45,"46+")</f>
        <v>26–35</v>
      </c>
      <c r="AK1017" t="str" cm="1">
        <f t="array" ref="AK1017">_xlfn.IFS(S1017&lt;=3000,"Low",S1017&lt;=7000,"Mid",S1017&lt;=12000,"High",S1017&gt;12000,"Top")</f>
        <v>Low</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_xlfn.IFS(A1018&lt;=25,"Under 25",A1018&lt;=35,"26–35",A1018&lt;=45,"36–45",A1018&gt;45,"46+")</f>
        <v>26–35</v>
      </c>
      <c r="AK1018" t="str" cm="1">
        <f t="array" ref="AK1018">_xlfn.IFS(S1018&lt;=3000,"Low",S1018&lt;=7000,"Mid",S1018&lt;=12000,"High",S1018&gt;12000,"Top")</f>
        <v>Low</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_xlfn.IFS(A1019&lt;=25,"Under 25",A1019&lt;=35,"26–35",A1019&lt;=45,"36–45",A1019&gt;45,"46+")</f>
        <v>26–35</v>
      </c>
      <c r="AK1019" t="str" cm="1">
        <f t="array" ref="AK1019">_xlfn.IFS(S1019&lt;=3000,"Low",S1019&lt;=7000,"Mid",S1019&lt;=12000,"High",S1019&gt;12000,"Top")</f>
        <v>Low</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_xlfn.IFS(A1020&lt;=25,"Under 25",A1020&lt;=35,"26–35",A1020&lt;=45,"36–45",A1020&gt;45,"46+")</f>
        <v>36–45</v>
      </c>
      <c r="AK1020" t="str" cm="1">
        <f t="array" ref="AK1020">_xlfn.IFS(S1020&lt;=3000,"Low",S1020&lt;=7000,"Mid",S1020&lt;=12000,"High",S1020&gt;12000,"Top")</f>
        <v>Mid</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_xlfn.IFS(A1021&lt;=25,"Under 25",A1021&lt;=35,"26–35",A1021&lt;=45,"36–45",A1021&gt;45,"46+")</f>
        <v>36–45</v>
      </c>
      <c r="AK1021" t="str" cm="1">
        <f t="array" ref="AK1021">_xlfn.IFS(S1021&lt;=3000,"Low",S1021&lt;=7000,"Mid",S1021&lt;=12000,"High",S1021&gt;12000,"Top")</f>
        <v>Mid</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_xlfn.IFS(A1022&lt;=25,"Under 25",A1022&lt;=35,"26–35",A1022&lt;=45,"36–45",A1022&gt;45,"46+")</f>
        <v>46+</v>
      </c>
      <c r="AK1022" t="str" cm="1">
        <f t="array" ref="AK1022">_xlfn.IFS(S1022&lt;=3000,"Low",S1022&lt;=7000,"Mid",S1022&lt;=12000,"High",S1022&gt;12000,"Top")</f>
        <v>Mid</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_xlfn.IFS(A1023&lt;=25,"Under 25",A1023&lt;=35,"26–35",A1023&lt;=45,"36–45",A1023&gt;45,"46+")</f>
        <v>Under 25</v>
      </c>
      <c r="AK1023" t="str" cm="1">
        <f t="array" ref="AK1023">_xlfn.IFS(S1023&lt;=3000,"Low",S1023&lt;=7000,"Mid",S1023&lt;=12000,"High",S1023&gt;12000,"Top")</f>
        <v>Mid</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_xlfn.IFS(A1024&lt;=25,"Under 25",A1024&lt;=35,"26–35",A1024&lt;=45,"36–45",A1024&gt;45,"46+")</f>
        <v>36–45</v>
      </c>
      <c r="AK1024" t="str" cm="1">
        <f t="array" ref="AK1024">_xlfn.IFS(S1024&lt;=3000,"Low",S1024&lt;=7000,"Mid",S1024&lt;=12000,"High",S1024&gt;12000,"Top")</f>
        <v>Mid</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_xlfn.IFS(A1025&lt;=25,"Under 25",A1025&lt;=35,"26–35",A1025&lt;=45,"36–45",A1025&gt;45,"46+")</f>
        <v>46+</v>
      </c>
      <c r="AK1025" t="str" cm="1">
        <f t="array" ref="AK1025">_xlfn.IFS(S1025&lt;=3000,"Low",S1025&lt;=7000,"Mid",S1025&lt;=12000,"High",S1025&gt;12000,"Top")</f>
        <v>Low</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_xlfn.IFS(A1026&lt;=25,"Under 25",A1026&lt;=35,"26–35",A1026&lt;=45,"36–45",A1026&gt;45,"46+")</f>
        <v>46+</v>
      </c>
      <c r="AK1026" t="str" cm="1">
        <f t="array" ref="AK1026">_xlfn.IFS(S1026&lt;=3000,"Low",S1026&lt;=7000,"Mid",S1026&lt;=12000,"High",S1026&gt;12000,"Top")</f>
        <v>Top</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_xlfn.IFS(A1027&lt;=25,"Under 25",A1027&lt;=35,"26–35",A1027&lt;=45,"36–45",A1027&gt;45,"46+")</f>
        <v>Under 25</v>
      </c>
      <c r="AK1027" t="str" cm="1">
        <f t="array" ref="AK1027">_xlfn.IFS(S1027&lt;=3000,"Low",S1027&lt;=7000,"Mid",S1027&lt;=12000,"High",S1027&gt;12000,"Top")</f>
        <v>Mid</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_xlfn.IFS(A1028&lt;=25,"Under 25",A1028&lt;=35,"26–35",A1028&lt;=45,"36–45",A1028&gt;45,"46+")</f>
        <v>26–35</v>
      </c>
      <c r="AK1028" t="str" cm="1">
        <f t="array" ref="AK1028">_xlfn.IFS(S1028&lt;=3000,"Low",S1028&lt;=7000,"Mid",S1028&lt;=12000,"High",S1028&gt;12000,"Top")</f>
        <v>High</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_xlfn.IFS(A1029&lt;=25,"Under 25",A1029&lt;=35,"26–35",A1029&lt;=45,"36–45",A1029&gt;45,"46+")</f>
        <v>26–35</v>
      </c>
      <c r="AK1029" t="str" cm="1">
        <f t="array" ref="AK1029">_xlfn.IFS(S1029&lt;=3000,"Low",S1029&lt;=7000,"Mid",S1029&lt;=12000,"High",S1029&gt;12000,"Top")</f>
        <v>Mid</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_xlfn.IFS(A1030&lt;=25,"Under 25",A1030&lt;=35,"26–35",A1030&lt;=45,"36–45",A1030&gt;45,"46+")</f>
        <v>36–45</v>
      </c>
      <c r="AK1030" t="str" cm="1">
        <f t="array" ref="AK1030">_xlfn.IFS(S1030&lt;=3000,"Low",S1030&lt;=7000,"Mid",S1030&lt;=12000,"High",S1030&gt;12000,"Top")</f>
        <v>Low</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_xlfn.IFS(A1031&lt;=25,"Under 25",A1031&lt;=35,"26–35",A1031&lt;=45,"36–45",A1031&gt;45,"46+")</f>
        <v>36–45</v>
      </c>
      <c r="AK1031" t="str" cm="1">
        <f t="array" ref="AK1031">_xlfn.IFS(S1031&lt;=3000,"Low",S1031&lt;=7000,"Mid",S1031&lt;=12000,"High",S1031&gt;12000,"Top")</f>
        <v>Mid</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_xlfn.IFS(A1032&lt;=25,"Under 25",A1032&lt;=35,"26–35",A1032&lt;=45,"36–45",A1032&gt;45,"46+")</f>
        <v>26–35</v>
      </c>
      <c r="AK1032" t="str" cm="1">
        <f t="array" ref="AK1032">_xlfn.IFS(S1032&lt;=3000,"Low",S1032&lt;=7000,"Mid",S1032&lt;=12000,"High",S1032&gt;12000,"Top")</f>
        <v>High</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_xlfn.IFS(A1033&lt;=25,"Under 25",A1033&lt;=35,"26–35",A1033&lt;=45,"36–45",A1033&gt;45,"46+")</f>
        <v>46+</v>
      </c>
      <c r="AK1033" t="str" cm="1">
        <f t="array" ref="AK1033">_xlfn.IFS(S1033&lt;=3000,"Low",S1033&lt;=7000,"Mid",S1033&lt;=12000,"High",S1033&gt;12000,"Top")</f>
        <v>High</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_xlfn.IFS(A1034&lt;=25,"Under 25",A1034&lt;=35,"26–35",A1034&lt;=45,"36–45",A1034&gt;45,"46+")</f>
        <v>36–45</v>
      </c>
      <c r="AK1034" t="str" cm="1">
        <f t="array" ref="AK1034">_xlfn.IFS(S1034&lt;=3000,"Low",S1034&lt;=7000,"Mid",S1034&lt;=12000,"High",S1034&gt;12000,"Top")</f>
        <v>Mid</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_xlfn.IFS(A1035&lt;=25,"Under 25",A1035&lt;=35,"26–35",A1035&lt;=45,"36–45",A1035&gt;45,"46+")</f>
        <v>26–35</v>
      </c>
      <c r="AK1035" t="str" cm="1">
        <f t="array" ref="AK1035">_xlfn.IFS(S1035&lt;=3000,"Low",S1035&lt;=7000,"Mid",S1035&lt;=12000,"High",S1035&gt;12000,"Top")</f>
        <v>High</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_xlfn.IFS(A1036&lt;=25,"Under 25",A1036&lt;=35,"26–35",A1036&lt;=45,"36–45",A1036&gt;45,"46+")</f>
        <v>36–45</v>
      </c>
      <c r="AK1036" t="str" cm="1">
        <f t="array" ref="AK1036">_xlfn.IFS(S1036&lt;=3000,"Low",S1036&lt;=7000,"Mid",S1036&lt;=12000,"High",S1036&gt;12000,"Top")</f>
        <v>High</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_xlfn.IFS(A1037&lt;=25,"Under 25",A1037&lt;=35,"26–35",A1037&lt;=45,"36–45",A1037&gt;45,"46+")</f>
        <v>26–35</v>
      </c>
      <c r="AK1037" t="str" cm="1">
        <f t="array" ref="AK1037">_xlfn.IFS(S1037&lt;=3000,"Low",S1037&lt;=7000,"Mid",S1037&lt;=12000,"High",S1037&gt;12000,"Top")</f>
        <v>Low</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_xlfn.IFS(A1038&lt;=25,"Under 25",A1038&lt;=35,"26–35",A1038&lt;=45,"36–45",A1038&gt;45,"46+")</f>
        <v>26–35</v>
      </c>
      <c r="AK1038" t="str" cm="1">
        <f t="array" ref="AK1038">_xlfn.IFS(S1038&lt;=3000,"Low",S1038&lt;=7000,"Mid",S1038&lt;=12000,"High",S1038&gt;12000,"Top")</f>
        <v>Mid</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_xlfn.IFS(A1039&lt;=25,"Under 25",A1039&lt;=35,"26–35",A1039&lt;=45,"36–45",A1039&gt;45,"46+")</f>
        <v>36–45</v>
      </c>
      <c r="AK1039" t="str" cm="1">
        <f t="array" ref="AK1039">_xlfn.IFS(S1039&lt;=3000,"Low",S1039&lt;=7000,"Mid",S1039&lt;=12000,"High",S1039&gt;12000,"Top")</f>
        <v>High</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_xlfn.IFS(A1040&lt;=25,"Under 25",A1040&lt;=35,"26–35",A1040&lt;=45,"36–45",A1040&gt;45,"46+")</f>
        <v>46+</v>
      </c>
      <c r="AK1040" t="str" cm="1">
        <f t="array" ref="AK1040">_xlfn.IFS(S1040&lt;=3000,"Low",S1040&lt;=7000,"Mid",S1040&lt;=12000,"High",S1040&gt;12000,"Top")</f>
        <v>Mid</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_xlfn.IFS(A1041&lt;=25,"Under 25",A1041&lt;=35,"26–35",A1041&lt;=45,"36–45",A1041&gt;45,"46+")</f>
        <v>26–35</v>
      </c>
      <c r="AK1041" t="str" cm="1">
        <f t="array" ref="AK1041">_xlfn.IFS(S1041&lt;=3000,"Low",S1041&lt;=7000,"Mid",S1041&lt;=12000,"High",S1041&gt;12000,"Top")</f>
        <v>Low</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_xlfn.IFS(A1042&lt;=25,"Under 25",A1042&lt;=35,"26–35",A1042&lt;=45,"36–45",A1042&gt;45,"46+")</f>
        <v>36–45</v>
      </c>
      <c r="AK1042" t="str" cm="1">
        <f t="array" ref="AK1042">_xlfn.IFS(S1042&lt;=3000,"Low",S1042&lt;=7000,"Mid",S1042&lt;=12000,"High",S1042&gt;12000,"Top")</f>
        <v>Top</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_xlfn.IFS(A1043&lt;=25,"Under 25",A1043&lt;=35,"26–35",A1043&lt;=45,"36–45",A1043&gt;45,"46+")</f>
        <v>26–35</v>
      </c>
      <c r="AK1043" t="str" cm="1">
        <f t="array" ref="AK1043">_xlfn.IFS(S1043&lt;=3000,"Low",S1043&lt;=7000,"Mid",S1043&lt;=12000,"High",S1043&gt;12000,"Top")</f>
        <v>High</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_xlfn.IFS(A1044&lt;=25,"Under 25",A1044&lt;=35,"26–35",A1044&lt;=45,"36–45",A1044&gt;45,"46+")</f>
        <v>36–45</v>
      </c>
      <c r="AK1044" t="str" cm="1">
        <f t="array" ref="AK1044">_xlfn.IFS(S1044&lt;=3000,"Low",S1044&lt;=7000,"Mid",S1044&lt;=12000,"High",S1044&gt;12000,"Top")</f>
        <v>Mid</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_xlfn.IFS(A1045&lt;=25,"Under 25",A1045&lt;=35,"26–35",A1045&lt;=45,"36–45",A1045&gt;45,"46+")</f>
        <v>46+</v>
      </c>
      <c r="AK1045" t="str" cm="1">
        <f t="array" ref="AK1045">_xlfn.IFS(S1045&lt;=3000,"Low",S1045&lt;=7000,"Mid",S1045&lt;=12000,"High",S1045&gt;12000,"Top")</f>
        <v>Top</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_xlfn.IFS(A1046&lt;=25,"Under 25",A1046&lt;=35,"26–35",A1046&lt;=45,"36–45",A1046&gt;45,"46+")</f>
        <v>46+</v>
      </c>
      <c r="AK1046" t="str" cm="1">
        <f t="array" ref="AK1046">_xlfn.IFS(S1046&lt;=3000,"Low",S1046&lt;=7000,"Mid",S1046&lt;=12000,"High",S1046&gt;12000,"Top")</f>
        <v>Mid</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_xlfn.IFS(A1047&lt;=25,"Under 25",A1047&lt;=35,"26–35",A1047&lt;=45,"36–45",A1047&gt;45,"46+")</f>
        <v>36–45</v>
      </c>
      <c r="AK1047" t="str" cm="1">
        <f t="array" ref="AK1047">_xlfn.IFS(S1047&lt;=3000,"Low",S1047&lt;=7000,"Mid",S1047&lt;=12000,"High",S1047&gt;12000,"Top")</f>
        <v>Low</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_xlfn.IFS(A1048&lt;=25,"Under 25",A1048&lt;=35,"26–35",A1048&lt;=45,"36–45",A1048&gt;45,"46+")</f>
        <v>36–45</v>
      </c>
      <c r="AK1048" t="str" cm="1">
        <f t="array" ref="AK1048">_xlfn.IFS(S1048&lt;=3000,"Low",S1048&lt;=7000,"Mid",S1048&lt;=12000,"High",S1048&gt;12000,"Top")</f>
        <v>Mid</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_xlfn.IFS(A1049&lt;=25,"Under 25",A1049&lt;=35,"26–35",A1049&lt;=45,"36–45",A1049&gt;45,"46+")</f>
        <v>26–35</v>
      </c>
      <c r="AK1049" t="str" cm="1">
        <f t="array" ref="AK1049">_xlfn.IFS(S1049&lt;=3000,"Low",S1049&lt;=7000,"Mid",S1049&lt;=12000,"High",S1049&gt;12000,"Top")</f>
        <v>Mid</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_xlfn.IFS(A1050&lt;=25,"Under 25",A1050&lt;=35,"26–35",A1050&lt;=45,"36–45",A1050&gt;45,"46+")</f>
        <v>26–35</v>
      </c>
      <c r="AK1050" t="str" cm="1">
        <f t="array" ref="AK1050">_xlfn.IFS(S1050&lt;=3000,"Low",S1050&lt;=7000,"Mid",S1050&lt;=12000,"High",S1050&gt;12000,"Top")</f>
        <v>Mid</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_xlfn.IFS(A1051&lt;=25,"Under 25",A1051&lt;=35,"26–35",A1051&lt;=45,"36–45",A1051&gt;45,"46+")</f>
        <v>26–35</v>
      </c>
      <c r="AK1051" t="str" cm="1">
        <f t="array" ref="AK1051">_xlfn.IFS(S1051&lt;=3000,"Low",S1051&lt;=7000,"Mid",S1051&lt;=12000,"High",S1051&gt;12000,"Top")</f>
        <v>Mid</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_xlfn.IFS(A1052&lt;=25,"Under 25",A1052&lt;=35,"26–35",A1052&lt;=45,"36–45",A1052&gt;45,"46+")</f>
        <v>36–45</v>
      </c>
      <c r="AK1052" t="str" cm="1">
        <f t="array" ref="AK1052">_xlfn.IFS(S1052&lt;=3000,"Low",S1052&lt;=7000,"Mid",S1052&lt;=12000,"High",S1052&gt;12000,"Top")</f>
        <v>Mid</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_xlfn.IFS(A1053&lt;=25,"Under 25",A1053&lt;=35,"26–35",A1053&lt;=45,"36–45",A1053&gt;45,"46+")</f>
        <v>36–45</v>
      </c>
      <c r="AK1053" t="str" cm="1">
        <f t="array" ref="AK1053">_xlfn.IFS(S1053&lt;=3000,"Low",S1053&lt;=7000,"Mid",S1053&lt;=12000,"High",S1053&gt;12000,"Top")</f>
        <v>Mid</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_xlfn.IFS(A1054&lt;=25,"Under 25",A1054&lt;=35,"26–35",A1054&lt;=45,"36–45",A1054&gt;45,"46+")</f>
        <v>26–35</v>
      </c>
      <c r="AK1054" t="str" cm="1">
        <f t="array" ref="AK1054">_xlfn.IFS(S1054&lt;=3000,"Low",S1054&lt;=7000,"Mid",S1054&lt;=12000,"High",S1054&gt;12000,"Top")</f>
        <v>Low</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_xlfn.IFS(A1055&lt;=25,"Under 25",A1055&lt;=35,"26–35",A1055&lt;=45,"36–45",A1055&gt;45,"46+")</f>
        <v>46+</v>
      </c>
      <c r="AK1055" t="str" cm="1">
        <f t="array" ref="AK1055">_xlfn.IFS(S1055&lt;=3000,"Low",S1055&lt;=7000,"Mid",S1055&lt;=12000,"High",S1055&gt;12000,"Top")</f>
        <v>Mid</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_xlfn.IFS(A1056&lt;=25,"Under 25",A1056&lt;=35,"26–35",A1056&lt;=45,"36–45",A1056&gt;45,"46+")</f>
        <v>46+</v>
      </c>
      <c r="AK1056" t="str" cm="1">
        <f t="array" ref="AK1056">_xlfn.IFS(S1056&lt;=3000,"Low",S1056&lt;=7000,"Mid",S1056&lt;=12000,"High",S1056&gt;12000,"Top")</f>
        <v>High</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_xlfn.IFS(A1057&lt;=25,"Under 25",A1057&lt;=35,"26–35",A1057&lt;=45,"36–45",A1057&gt;45,"46+")</f>
        <v>26–35</v>
      </c>
      <c r="AK1057" t="str" cm="1">
        <f t="array" ref="AK1057">_xlfn.IFS(S1057&lt;=3000,"Low",S1057&lt;=7000,"Mid",S1057&lt;=12000,"High",S1057&gt;12000,"Top")</f>
        <v>Top</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_xlfn.IFS(A1058&lt;=25,"Under 25",A1058&lt;=35,"26–35",A1058&lt;=45,"36–45",A1058&gt;45,"46+")</f>
        <v>26–35</v>
      </c>
      <c r="AK1058" t="str" cm="1">
        <f t="array" ref="AK1058">_xlfn.IFS(S1058&lt;=3000,"Low",S1058&lt;=7000,"Mid",S1058&lt;=12000,"High",S1058&gt;12000,"Top")</f>
        <v>Low</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_xlfn.IFS(A1059&lt;=25,"Under 25",A1059&lt;=35,"26–35",A1059&lt;=45,"36–45",A1059&gt;45,"46+")</f>
        <v>26–35</v>
      </c>
      <c r="AK1059" t="str" cm="1">
        <f t="array" ref="AK1059">_xlfn.IFS(S1059&lt;=3000,"Low",S1059&lt;=7000,"Mid",S1059&lt;=12000,"High",S1059&gt;12000,"Top")</f>
        <v>Mid</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_xlfn.IFS(A1060&lt;=25,"Under 25",A1060&lt;=35,"26–35",A1060&lt;=45,"36–45",A1060&gt;45,"46+")</f>
        <v>26–35</v>
      </c>
      <c r="AK1060" t="str" cm="1">
        <f t="array" ref="AK1060">_xlfn.IFS(S1060&lt;=3000,"Low",S1060&lt;=7000,"Mid",S1060&lt;=12000,"High",S1060&gt;12000,"Top")</f>
        <v>Mid</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_xlfn.IFS(A1061&lt;=25,"Under 25",A1061&lt;=35,"26–35",A1061&lt;=45,"36–45",A1061&gt;45,"46+")</f>
        <v>26–35</v>
      </c>
      <c r="AK1061" t="str" cm="1">
        <f t="array" ref="AK1061">_xlfn.IFS(S1061&lt;=3000,"Low",S1061&lt;=7000,"Mid",S1061&lt;=12000,"High",S1061&gt;12000,"Top")</f>
        <v>Low</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_xlfn.IFS(A1062&lt;=25,"Under 25",A1062&lt;=35,"26–35",A1062&lt;=45,"36–45",A1062&gt;45,"46+")</f>
        <v>Under 25</v>
      </c>
      <c r="AK1062" t="str" cm="1">
        <f t="array" ref="AK1062">_xlfn.IFS(S1062&lt;=3000,"Low",S1062&lt;=7000,"Mid",S1062&lt;=12000,"High",S1062&gt;12000,"Top")</f>
        <v>Mid</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_xlfn.IFS(A1063&lt;=25,"Under 25",A1063&lt;=35,"26–35",A1063&lt;=45,"36–45",A1063&gt;45,"46+")</f>
        <v>Under 25</v>
      </c>
      <c r="AK1063" t="str" cm="1">
        <f t="array" ref="AK1063">_xlfn.IFS(S1063&lt;=3000,"Low",S1063&lt;=7000,"Mid",S1063&lt;=12000,"High",S1063&gt;12000,"Top")</f>
        <v>Low</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_xlfn.IFS(A1064&lt;=25,"Under 25",A1064&lt;=35,"26–35",A1064&lt;=45,"36–45",A1064&gt;45,"46+")</f>
        <v>36–45</v>
      </c>
      <c r="AK1064" t="str" cm="1">
        <f t="array" ref="AK1064">_xlfn.IFS(S1064&lt;=3000,"Low",S1064&lt;=7000,"Mid",S1064&lt;=12000,"High",S1064&gt;12000,"Top")</f>
        <v>High</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_xlfn.IFS(A1065&lt;=25,"Under 25",A1065&lt;=35,"26–35",A1065&lt;=45,"36–45",A1065&gt;45,"46+")</f>
        <v>26–35</v>
      </c>
      <c r="AK1065" t="str" cm="1">
        <f t="array" ref="AK1065">_xlfn.IFS(S1065&lt;=3000,"Low",S1065&lt;=7000,"Mid",S1065&lt;=12000,"High",S1065&gt;12000,"Top")</f>
        <v>High</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_xlfn.IFS(A1066&lt;=25,"Under 25",A1066&lt;=35,"26–35",A1066&lt;=45,"36–45",A1066&gt;45,"46+")</f>
        <v>26–35</v>
      </c>
      <c r="AK1066" t="str" cm="1">
        <f t="array" ref="AK1066">_xlfn.IFS(S1066&lt;=3000,"Low",S1066&lt;=7000,"Mid",S1066&lt;=12000,"High",S1066&gt;12000,"Top")</f>
        <v>Low</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_xlfn.IFS(A1067&lt;=25,"Under 25",A1067&lt;=35,"26–35",A1067&lt;=45,"36–45",A1067&gt;45,"46+")</f>
        <v>46+</v>
      </c>
      <c r="AK1067" t="str" cm="1">
        <f t="array" ref="AK1067">_xlfn.IFS(S1067&lt;=3000,"Low",S1067&lt;=7000,"Mid",S1067&lt;=12000,"High",S1067&gt;12000,"Top")</f>
        <v>Mid</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_xlfn.IFS(A1068&lt;=25,"Under 25",A1068&lt;=35,"26–35",A1068&lt;=45,"36–45",A1068&gt;45,"46+")</f>
        <v>26–35</v>
      </c>
      <c r="AK1068" t="str" cm="1">
        <f t="array" ref="AK1068">_xlfn.IFS(S1068&lt;=3000,"Low",S1068&lt;=7000,"Mid",S1068&lt;=12000,"High",S1068&gt;12000,"Top")</f>
        <v>Mid</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_xlfn.IFS(A1069&lt;=25,"Under 25",A1069&lt;=35,"26–35",A1069&lt;=45,"36–45",A1069&gt;45,"46+")</f>
        <v>46+</v>
      </c>
      <c r="AK1069" t="str" cm="1">
        <f t="array" ref="AK1069">_xlfn.IFS(S1069&lt;=3000,"Low",S1069&lt;=7000,"Mid",S1069&lt;=12000,"High",S1069&gt;12000,"Top")</f>
        <v>Mid</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_xlfn.IFS(A1070&lt;=25,"Under 25",A1070&lt;=35,"26–35",A1070&lt;=45,"36–45",A1070&gt;45,"46+")</f>
        <v>26–35</v>
      </c>
      <c r="AK1070" t="str" cm="1">
        <f t="array" ref="AK1070">_xlfn.IFS(S1070&lt;=3000,"Low",S1070&lt;=7000,"Mid",S1070&lt;=12000,"High",S1070&gt;12000,"Top")</f>
        <v>Low</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_xlfn.IFS(A1071&lt;=25,"Under 25",A1071&lt;=35,"26–35",A1071&lt;=45,"36–45",A1071&gt;45,"46+")</f>
        <v>26–35</v>
      </c>
      <c r="AK1071" t="str" cm="1">
        <f t="array" ref="AK1071">_xlfn.IFS(S1071&lt;=3000,"Low",S1071&lt;=7000,"Mid",S1071&lt;=12000,"High",S1071&gt;12000,"Top")</f>
        <v>Low</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_xlfn.IFS(A1072&lt;=25,"Under 25",A1072&lt;=35,"26–35",A1072&lt;=45,"36–45",A1072&gt;45,"46+")</f>
        <v>26–35</v>
      </c>
      <c r="AK1072" t="str" cm="1">
        <f t="array" ref="AK1072">_xlfn.IFS(S1072&lt;=3000,"Low",S1072&lt;=7000,"Mid",S1072&lt;=12000,"High",S1072&gt;12000,"Top")</f>
        <v>Mid</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_xlfn.IFS(A1073&lt;=25,"Under 25",A1073&lt;=35,"26–35",A1073&lt;=45,"36–45",A1073&gt;45,"46+")</f>
        <v>46+</v>
      </c>
      <c r="AK1073" t="str" cm="1">
        <f t="array" ref="AK1073">_xlfn.IFS(S1073&lt;=3000,"Low",S1073&lt;=7000,"Mid",S1073&lt;=12000,"High",S1073&gt;12000,"Top")</f>
        <v>Mid</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_xlfn.IFS(A1074&lt;=25,"Under 25",A1074&lt;=35,"26–35",A1074&lt;=45,"36–45",A1074&gt;45,"46+")</f>
        <v>26–35</v>
      </c>
      <c r="AK1074" t="str" cm="1">
        <f t="array" ref="AK1074">_xlfn.IFS(S1074&lt;=3000,"Low",S1074&lt;=7000,"Mid",S1074&lt;=12000,"High",S1074&gt;12000,"Top")</f>
        <v>Mid</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_xlfn.IFS(A1075&lt;=25,"Under 25",A1075&lt;=35,"26–35",A1075&lt;=45,"36–45",A1075&gt;45,"46+")</f>
        <v>26–35</v>
      </c>
      <c r="AK1075" t="str" cm="1">
        <f t="array" ref="AK1075">_xlfn.IFS(S1075&lt;=3000,"Low",S1075&lt;=7000,"Mid",S1075&lt;=12000,"High",S1075&gt;12000,"Top")</f>
        <v>Mid</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_xlfn.IFS(A1076&lt;=25,"Under 25",A1076&lt;=35,"26–35",A1076&lt;=45,"36–45",A1076&gt;45,"46+")</f>
        <v>26–35</v>
      </c>
      <c r="AK1076" t="str" cm="1">
        <f t="array" ref="AK1076">_xlfn.IFS(S1076&lt;=3000,"Low",S1076&lt;=7000,"Mid",S1076&lt;=12000,"High",S1076&gt;12000,"Top")</f>
        <v>Mid</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_xlfn.IFS(A1077&lt;=25,"Under 25",A1077&lt;=35,"26–35",A1077&lt;=45,"36–45",A1077&gt;45,"46+")</f>
        <v>26–35</v>
      </c>
      <c r="AK1077" t="str" cm="1">
        <f t="array" ref="AK1077">_xlfn.IFS(S1077&lt;=3000,"Low",S1077&lt;=7000,"Mid",S1077&lt;=12000,"High",S1077&gt;12000,"Top")</f>
        <v>High</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_xlfn.IFS(A1078&lt;=25,"Under 25",A1078&lt;=35,"26–35",A1078&lt;=45,"36–45",A1078&gt;45,"46+")</f>
        <v>46+</v>
      </c>
      <c r="AK1078" t="str" cm="1">
        <f t="array" ref="AK1078">_xlfn.IFS(S1078&lt;=3000,"Low",S1078&lt;=7000,"Mid",S1078&lt;=12000,"High",S1078&gt;12000,"Top")</f>
        <v>Top</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_xlfn.IFS(A1079&lt;=25,"Under 25",A1079&lt;=35,"26–35",A1079&lt;=45,"36–45",A1079&gt;45,"46+")</f>
        <v>26–35</v>
      </c>
      <c r="AK1079" t="str" cm="1">
        <f t="array" ref="AK1079">_xlfn.IFS(S1079&lt;=3000,"Low",S1079&lt;=7000,"Mid",S1079&lt;=12000,"High",S1079&gt;12000,"Top")</f>
        <v>Low</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_xlfn.IFS(A1080&lt;=25,"Under 25",A1080&lt;=35,"26–35",A1080&lt;=45,"36–45",A1080&gt;45,"46+")</f>
        <v>36–45</v>
      </c>
      <c r="AK1080" t="str" cm="1">
        <f t="array" ref="AK1080">_xlfn.IFS(S1080&lt;=3000,"Low",S1080&lt;=7000,"Mid",S1080&lt;=12000,"High",S1080&gt;12000,"Top")</f>
        <v>Top</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_xlfn.IFS(A1081&lt;=25,"Under 25",A1081&lt;=35,"26–35",A1081&lt;=45,"36–45",A1081&gt;45,"46+")</f>
        <v>36–45</v>
      </c>
      <c r="AK1081" t="str" cm="1">
        <f t="array" ref="AK1081">_xlfn.IFS(S1081&lt;=3000,"Low",S1081&lt;=7000,"Mid",S1081&lt;=12000,"High",S1081&gt;12000,"Top")</f>
        <v>High</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_xlfn.IFS(A1082&lt;=25,"Under 25",A1082&lt;=35,"26–35",A1082&lt;=45,"36–45",A1082&gt;45,"46+")</f>
        <v>46+</v>
      </c>
      <c r="AK1082" t="str" cm="1">
        <f t="array" ref="AK1082">_xlfn.IFS(S1082&lt;=3000,"Low",S1082&lt;=7000,"Mid",S1082&lt;=12000,"High",S1082&gt;12000,"Top")</f>
        <v>Top</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_xlfn.IFS(A1083&lt;=25,"Under 25",A1083&lt;=35,"26–35",A1083&lt;=45,"36–45",A1083&gt;45,"46+")</f>
        <v>26–35</v>
      </c>
      <c r="AK1083" t="str" cm="1">
        <f t="array" ref="AK1083">_xlfn.IFS(S1083&lt;=3000,"Low",S1083&lt;=7000,"Mid",S1083&lt;=12000,"High",S1083&gt;12000,"Top")</f>
        <v>High</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_xlfn.IFS(A1084&lt;=25,"Under 25",A1084&lt;=35,"26–35",A1084&lt;=45,"36–45",A1084&gt;45,"46+")</f>
        <v>Under 25</v>
      </c>
      <c r="AK1084" t="str" cm="1">
        <f t="array" ref="AK1084">_xlfn.IFS(S1084&lt;=3000,"Low",S1084&lt;=7000,"Mid",S1084&lt;=12000,"High",S1084&gt;12000,"Top")</f>
        <v>Low</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_xlfn.IFS(A1085&lt;=25,"Under 25",A1085&lt;=35,"26–35",A1085&lt;=45,"36–45",A1085&gt;45,"46+")</f>
        <v>36–45</v>
      </c>
      <c r="AK1085" t="str" cm="1">
        <f t="array" ref="AK1085">_xlfn.IFS(S1085&lt;=3000,"Low",S1085&lt;=7000,"Mid",S1085&lt;=12000,"High",S1085&gt;12000,"Top")</f>
        <v>Low</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_xlfn.IFS(A1086&lt;=25,"Under 25",A1086&lt;=35,"26–35",A1086&lt;=45,"36–45",A1086&gt;45,"46+")</f>
        <v>26–35</v>
      </c>
      <c r="AK1086" t="str" cm="1">
        <f t="array" ref="AK1086">_xlfn.IFS(S1086&lt;=3000,"Low",S1086&lt;=7000,"Mid",S1086&lt;=12000,"High",S1086&gt;12000,"Top")</f>
        <v>High</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_xlfn.IFS(A1087&lt;=25,"Under 25",A1087&lt;=35,"26–35",A1087&lt;=45,"36–45",A1087&gt;45,"46+")</f>
        <v>26–35</v>
      </c>
      <c r="AK1087" t="str" cm="1">
        <f t="array" ref="AK1087">_xlfn.IFS(S1087&lt;=3000,"Low",S1087&lt;=7000,"Mid",S1087&lt;=12000,"High",S1087&gt;12000,"Top")</f>
        <v>Mid</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_xlfn.IFS(A1088&lt;=25,"Under 25",A1088&lt;=35,"26–35",A1088&lt;=45,"36–45",A1088&gt;45,"46+")</f>
        <v>46+</v>
      </c>
      <c r="AK1088" t="str" cm="1">
        <f t="array" ref="AK1088">_xlfn.IFS(S1088&lt;=3000,"Low",S1088&lt;=7000,"Mid",S1088&lt;=12000,"High",S1088&gt;12000,"Top")</f>
        <v>Top</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_xlfn.IFS(A1089&lt;=25,"Under 25",A1089&lt;=35,"26–35",A1089&lt;=45,"36–45",A1089&gt;45,"46+")</f>
        <v>26–35</v>
      </c>
      <c r="AK1089" t="str" cm="1">
        <f t="array" ref="AK1089">_xlfn.IFS(S1089&lt;=3000,"Low",S1089&lt;=7000,"Mid",S1089&lt;=12000,"High",S1089&gt;12000,"Top")</f>
        <v>Low</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_xlfn.IFS(A1090&lt;=25,"Under 25",A1090&lt;=35,"26–35",A1090&lt;=45,"36–45",A1090&gt;45,"46+")</f>
        <v>36–45</v>
      </c>
      <c r="AK1090" t="str" cm="1">
        <f t="array" ref="AK1090">_xlfn.IFS(S1090&lt;=3000,"Low",S1090&lt;=7000,"Mid",S1090&lt;=12000,"High",S1090&gt;12000,"Top")</f>
        <v>Mid</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_xlfn.IFS(A1091&lt;=25,"Under 25",A1091&lt;=35,"26–35",A1091&lt;=45,"36–45",A1091&gt;45,"46+")</f>
        <v>36–45</v>
      </c>
      <c r="AK1091" t="str" cm="1">
        <f t="array" ref="AK1091">_xlfn.IFS(S1091&lt;=3000,"Low",S1091&lt;=7000,"Mid",S1091&lt;=12000,"High",S1091&gt;12000,"Top")</f>
        <v>Mid</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_xlfn.IFS(A1092&lt;=25,"Under 25",A1092&lt;=35,"26–35",A1092&lt;=45,"36–45",A1092&gt;45,"46+")</f>
        <v>26–35</v>
      </c>
      <c r="AK1092" t="str" cm="1">
        <f t="array" ref="AK1092">_xlfn.IFS(S1092&lt;=3000,"Low",S1092&lt;=7000,"Mid",S1092&lt;=12000,"High",S1092&gt;12000,"Top")</f>
        <v>High</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_xlfn.IFS(A1093&lt;=25,"Under 25",A1093&lt;=35,"26–35",A1093&lt;=45,"36–45",A1093&gt;45,"46+")</f>
        <v>26–35</v>
      </c>
      <c r="AK1093" t="str" cm="1">
        <f t="array" ref="AK1093">_xlfn.IFS(S1093&lt;=3000,"Low",S1093&lt;=7000,"Mid",S1093&lt;=12000,"High",S1093&gt;12000,"Top")</f>
        <v>Mid</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_xlfn.IFS(A1094&lt;=25,"Under 25",A1094&lt;=35,"26–35",A1094&lt;=45,"36–45",A1094&gt;45,"46+")</f>
        <v>36–45</v>
      </c>
      <c r="AK1094" t="str" cm="1">
        <f t="array" ref="AK1094">_xlfn.IFS(S1094&lt;=3000,"Low",S1094&lt;=7000,"Mid",S1094&lt;=12000,"High",S1094&gt;12000,"Top")</f>
        <v>Low</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_xlfn.IFS(A1095&lt;=25,"Under 25",A1095&lt;=35,"26–35",A1095&lt;=45,"36–45",A1095&gt;45,"46+")</f>
        <v>36–45</v>
      </c>
      <c r="AK1095" t="str" cm="1">
        <f t="array" ref="AK1095">_xlfn.IFS(S1095&lt;=3000,"Low",S1095&lt;=7000,"Mid",S1095&lt;=12000,"High",S1095&gt;12000,"Top")</f>
        <v>High</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_xlfn.IFS(A1096&lt;=25,"Under 25",A1096&lt;=35,"26–35",A1096&lt;=45,"36–45",A1096&gt;45,"46+")</f>
        <v>36–45</v>
      </c>
      <c r="AK1096" t="str" cm="1">
        <f t="array" ref="AK1096">_xlfn.IFS(S1096&lt;=3000,"Low",S1096&lt;=7000,"Mid",S1096&lt;=12000,"High",S1096&gt;12000,"Top")</f>
        <v>Mid</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_xlfn.IFS(A1097&lt;=25,"Under 25",A1097&lt;=35,"26–35",A1097&lt;=45,"36–45",A1097&gt;45,"46+")</f>
        <v>26–35</v>
      </c>
      <c r="AK1097" t="str" cm="1">
        <f t="array" ref="AK1097">_xlfn.IFS(S1097&lt;=3000,"Low",S1097&lt;=7000,"Mid",S1097&lt;=12000,"High",S1097&gt;12000,"Top")</f>
        <v>Mid</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_xlfn.IFS(A1098&lt;=25,"Under 25",A1098&lt;=35,"26–35",A1098&lt;=45,"36–45",A1098&gt;45,"46+")</f>
        <v>36–45</v>
      </c>
      <c r="AK1098" t="str" cm="1">
        <f t="array" ref="AK1098">_xlfn.IFS(S1098&lt;=3000,"Low",S1098&lt;=7000,"Mid",S1098&lt;=12000,"High",S1098&gt;12000,"Top")</f>
        <v>Top</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_xlfn.IFS(A1099&lt;=25,"Under 25",A1099&lt;=35,"26–35",A1099&lt;=45,"36–45",A1099&gt;45,"46+")</f>
        <v>Under 25</v>
      </c>
      <c r="AK1099" t="str" cm="1">
        <f t="array" ref="AK1099">_xlfn.IFS(S1099&lt;=3000,"Low",S1099&lt;=7000,"Mid",S1099&lt;=12000,"High",S1099&gt;12000,"Top")</f>
        <v>Low</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_xlfn.IFS(A1100&lt;=25,"Under 25",A1100&lt;=35,"26–35",A1100&lt;=45,"36–45",A1100&gt;45,"46+")</f>
        <v>36–45</v>
      </c>
      <c r="AK1100" t="str" cm="1">
        <f t="array" ref="AK1100">_xlfn.IFS(S1100&lt;=3000,"Low",S1100&lt;=7000,"Mid",S1100&lt;=12000,"High",S1100&gt;12000,"Top")</f>
        <v>Mid</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_xlfn.IFS(A1101&lt;=25,"Under 25",A1101&lt;=35,"26–35",A1101&lt;=45,"36–45",A1101&gt;45,"46+")</f>
        <v>36–45</v>
      </c>
      <c r="AK1101" t="str" cm="1">
        <f t="array" ref="AK1101">_xlfn.IFS(S1101&lt;=3000,"Low",S1101&lt;=7000,"Mid",S1101&lt;=12000,"High",S1101&gt;12000,"Top")</f>
        <v>High</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_xlfn.IFS(A1102&lt;=25,"Under 25",A1102&lt;=35,"26–35",A1102&lt;=45,"36–45",A1102&gt;45,"46+")</f>
        <v>26–35</v>
      </c>
      <c r="AK1102" t="str" cm="1">
        <f t="array" ref="AK1102">_xlfn.IFS(S1102&lt;=3000,"Low",S1102&lt;=7000,"Mid",S1102&lt;=12000,"High",S1102&gt;12000,"Top")</f>
        <v>Low</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_xlfn.IFS(A1103&lt;=25,"Under 25",A1103&lt;=35,"26–35",A1103&lt;=45,"36–45",A1103&gt;45,"46+")</f>
        <v>26–35</v>
      </c>
      <c r="AK1103" t="str" cm="1">
        <f t="array" ref="AK1103">_xlfn.IFS(S1103&lt;=3000,"Low",S1103&lt;=7000,"Mid",S1103&lt;=12000,"High",S1103&gt;12000,"Top")</f>
        <v>Mid</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_xlfn.IFS(A1104&lt;=25,"Under 25",A1104&lt;=35,"26–35",A1104&lt;=45,"36–45",A1104&gt;45,"46+")</f>
        <v>36–45</v>
      </c>
      <c r="AK1104" t="str" cm="1">
        <f t="array" ref="AK1104">_xlfn.IFS(S1104&lt;=3000,"Low",S1104&lt;=7000,"Mid",S1104&lt;=12000,"High",S1104&gt;12000,"Top")</f>
        <v>Low</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_xlfn.IFS(A1105&lt;=25,"Under 25",A1105&lt;=35,"26–35",A1105&lt;=45,"36–45",A1105&gt;45,"46+")</f>
        <v>46+</v>
      </c>
      <c r="AK1105" t="str" cm="1">
        <f t="array" ref="AK1105">_xlfn.IFS(S1105&lt;=3000,"Low",S1105&lt;=7000,"Mid",S1105&lt;=12000,"High",S1105&gt;12000,"Top")</f>
        <v>Mid</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_xlfn.IFS(A1106&lt;=25,"Under 25",A1106&lt;=35,"26–35",A1106&lt;=45,"36–45",A1106&gt;45,"46+")</f>
        <v>26–35</v>
      </c>
      <c r="AK1106" t="str" cm="1">
        <f t="array" ref="AK1106">_xlfn.IFS(S1106&lt;=3000,"Low",S1106&lt;=7000,"Mid",S1106&lt;=12000,"High",S1106&gt;12000,"Top")</f>
        <v>Low</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_xlfn.IFS(A1107&lt;=25,"Under 25",A1107&lt;=35,"26–35",A1107&lt;=45,"36–45",A1107&gt;45,"46+")</f>
        <v>26–35</v>
      </c>
      <c r="AK1107" t="str" cm="1">
        <f t="array" ref="AK1107">_xlfn.IFS(S1107&lt;=3000,"Low",S1107&lt;=7000,"Mid",S1107&lt;=12000,"High",S1107&gt;12000,"Top")</f>
        <v>Mid</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_xlfn.IFS(A1108&lt;=25,"Under 25",A1108&lt;=35,"26–35",A1108&lt;=45,"36–45",A1108&gt;45,"46+")</f>
        <v>26–35</v>
      </c>
      <c r="AK1108" t="str" cm="1">
        <f t="array" ref="AK1108">_xlfn.IFS(S1108&lt;=3000,"Low",S1108&lt;=7000,"Mid",S1108&lt;=12000,"High",S1108&gt;12000,"Top")</f>
        <v>High</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_xlfn.IFS(A1109&lt;=25,"Under 25",A1109&lt;=35,"26–35",A1109&lt;=45,"36–45",A1109&gt;45,"46+")</f>
        <v>36–45</v>
      </c>
      <c r="AK1109" t="str" cm="1">
        <f t="array" ref="AK1109">_xlfn.IFS(S1109&lt;=3000,"Low",S1109&lt;=7000,"Mid",S1109&lt;=12000,"High",S1109&gt;12000,"Top")</f>
        <v>Mid</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_xlfn.IFS(A1110&lt;=25,"Under 25",A1110&lt;=35,"26–35",A1110&lt;=45,"36–45",A1110&gt;45,"46+")</f>
        <v>26–35</v>
      </c>
      <c r="AK1110" t="str" cm="1">
        <f t="array" ref="AK1110">_xlfn.IFS(S1110&lt;=3000,"Low",S1110&lt;=7000,"Mid",S1110&lt;=12000,"High",S1110&gt;12000,"Top")</f>
        <v>Low</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_xlfn.IFS(A1111&lt;=25,"Under 25",A1111&lt;=35,"26–35",A1111&lt;=45,"36–45",A1111&gt;45,"46+")</f>
        <v>26–35</v>
      </c>
      <c r="AK1111" t="str" cm="1">
        <f t="array" ref="AK1111">_xlfn.IFS(S1111&lt;=3000,"Low",S1111&lt;=7000,"Mid",S1111&lt;=12000,"High",S1111&gt;12000,"Top")</f>
        <v>High</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_xlfn.IFS(A1112&lt;=25,"Under 25",A1112&lt;=35,"26–35",A1112&lt;=45,"36–45",A1112&gt;45,"46+")</f>
        <v>26–35</v>
      </c>
      <c r="AK1112" t="str" cm="1">
        <f t="array" ref="AK1112">_xlfn.IFS(S1112&lt;=3000,"Low",S1112&lt;=7000,"Mid",S1112&lt;=12000,"High",S1112&gt;12000,"Top")</f>
        <v>Low</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_xlfn.IFS(A1113&lt;=25,"Under 25",A1113&lt;=35,"26–35",A1113&lt;=45,"36–45",A1113&gt;45,"46+")</f>
        <v>46+</v>
      </c>
      <c r="AK1113" t="str" cm="1">
        <f t="array" ref="AK1113">_xlfn.IFS(S1113&lt;=3000,"Low",S1113&lt;=7000,"Mid",S1113&lt;=12000,"High",S1113&gt;12000,"Top")</f>
        <v>High</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_xlfn.IFS(A1114&lt;=25,"Under 25",A1114&lt;=35,"26–35",A1114&lt;=45,"36–45",A1114&gt;45,"46+")</f>
        <v>36–45</v>
      </c>
      <c r="AK1114" t="str" cm="1">
        <f t="array" ref="AK1114">_xlfn.IFS(S1114&lt;=3000,"Low",S1114&lt;=7000,"Mid",S1114&lt;=12000,"High",S1114&gt;12000,"Top")</f>
        <v>Mid</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_xlfn.IFS(A1115&lt;=25,"Under 25",A1115&lt;=35,"26–35",A1115&lt;=45,"36–45",A1115&gt;45,"46+")</f>
        <v>26–35</v>
      </c>
      <c r="AK1115" t="str" cm="1">
        <f t="array" ref="AK1115">_xlfn.IFS(S1115&lt;=3000,"Low",S1115&lt;=7000,"Mid",S1115&lt;=12000,"High",S1115&gt;12000,"Top")</f>
        <v>Mid</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_xlfn.IFS(A1116&lt;=25,"Under 25",A1116&lt;=35,"26–35",A1116&lt;=45,"36–45",A1116&gt;45,"46+")</f>
        <v>46+</v>
      </c>
      <c r="AK1116" t="str" cm="1">
        <f t="array" ref="AK1116">_xlfn.IFS(S1116&lt;=3000,"Low",S1116&lt;=7000,"Mid",S1116&lt;=12000,"High",S1116&gt;12000,"Top")</f>
        <v>Low</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_xlfn.IFS(A1117&lt;=25,"Under 25",A1117&lt;=35,"26–35",A1117&lt;=45,"36–45",A1117&gt;45,"46+")</f>
        <v>26–35</v>
      </c>
      <c r="AK1117" t="str" cm="1">
        <f t="array" ref="AK1117">_xlfn.IFS(S1117&lt;=3000,"Low",S1117&lt;=7000,"Mid",S1117&lt;=12000,"High",S1117&gt;12000,"Top")</f>
        <v>Low</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_xlfn.IFS(A1118&lt;=25,"Under 25",A1118&lt;=35,"26–35",A1118&lt;=45,"36–45",A1118&gt;45,"46+")</f>
        <v>46+</v>
      </c>
      <c r="AK1118" t="str" cm="1">
        <f t="array" ref="AK1118">_xlfn.IFS(S1118&lt;=3000,"Low",S1118&lt;=7000,"Mid",S1118&lt;=12000,"High",S1118&gt;12000,"Top")</f>
        <v>Top</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_xlfn.IFS(A1119&lt;=25,"Under 25",A1119&lt;=35,"26–35",A1119&lt;=45,"36–45",A1119&gt;45,"46+")</f>
        <v>26–35</v>
      </c>
      <c r="AK1119" t="str" cm="1">
        <f t="array" ref="AK1119">_xlfn.IFS(S1119&lt;=3000,"Low",S1119&lt;=7000,"Mid",S1119&lt;=12000,"High",S1119&gt;12000,"Top")</f>
        <v>Mid</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_xlfn.IFS(A1120&lt;=25,"Under 25",A1120&lt;=35,"26–35",A1120&lt;=45,"36–45",A1120&gt;45,"46+")</f>
        <v>26–35</v>
      </c>
      <c r="AK1120" t="str" cm="1">
        <f t="array" ref="AK1120">_xlfn.IFS(S1120&lt;=3000,"Low",S1120&lt;=7000,"Mid",S1120&lt;=12000,"High",S1120&gt;12000,"Top")</f>
        <v>Low</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_xlfn.IFS(A1121&lt;=25,"Under 25",A1121&lt;=35,"26–35",A1121&lt;=45,"36–45",A1121&gt;45,"46+")</f>
        <v>36–45</v>
      </c>
      <c r="AK1121" t="str" cm="1">
        <f t="array" ref="AK1121">_xlfn.IFS(S1121&lt;=3000,"Low",S1121&lt;=7000,"Mid",S1121&lt;=12000,"High",S1121&gt;12000,"Top")</f>
        <v>High</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_xlfn.IFS(A1122&lt;=25,"Under 25",A1122&lt;=35,"26–35",A1122&lt;=45,"36–45",A1122&gt;45,"46+")</f>
        <v>36–45</v>
      </c>
      <c r="AK1122" t="str" cm="1">
        <f t="array" ref="AK1122">_xlfn.IFS(S1122&lt;=3000,"Low",S1122&lt;=7000,"Mid",S1122&lt;=12000,"High",S1122&gt;12000,"Top")</f>
        <v>Mid</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_xlfn.IFS(A1123&lt;=25,"Under 25",A1123&lt;=35,"26–35",A1123&lt;=45,"36–45",A1123&gt;45,"46+")</f>
        <v>36–45</v>
      </c>
      <c r="AK1123" t="str" cm="1">
        <f t="array" ref="AK1123">_xlfn.IFS(S1123&lt;=3000,"Low",S1123&lt;=7000,"Mid",S1123&lt;=12000,"High",S1123&gt;12000,"Top")</f>
        <v>Mid</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_xlfn.IFS(A1124&lt;=25,"Under 25",A1124&lt;=35,"26–35",A1124&lt;=45,"36–45",A1124&gt;45,"46+")</f>
        <v>26–35</v>
      </c>
      <c r="AK1124" t="str" cm="1">
        <f t="array" ref="AK1124">_xlfn.IFS(S1124&lt;=3000,"Low",S1124&lt;=7000,"Mid",S1124&lt;=12000,"High",S1124&gt;12000,"Top")</f>
        <v>Mid</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_xlfn.IFS(A1125&lt;=25,"Under 25",A1125&lt;=35,"26–35",A1125&lt;=45,"36–45",A1125&gt;45,"46+")</f>
        <v>26–35</v>
      </c>
      <c r="AK1125" t="str" cm="1">
        <f t="array" ref="AK1125">_xlfn.IFS(S1125&lt;=3000,"Low",S1125&lt;=7000,"Mid",S1125&lt;=12000,"High",S1125&gt;12000,"Top")</f>
        <v>Mid</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_xlfn.IFS(A1126&lt;=25,"Under 25",A1126&lt;=35,"26–35",A1126&lt;=45,"36–45",A1126&gt;45,"46+")</f>
        <v>36–45</v>
      </c>
      <c r="AK1126" t="str" cm="1">
        <f t="array" ref="AK1126">_xlfn.IFS(S1126&lt;=3000,"Low",S1126&lt;=7000,"Mid",S1126&lt;=12000,"High",S1126&gt;12000,"Top")</f>
        <v>High</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_xlfn.IFS(A1127&lt;=25,"Under 25",A1127&lt;=35,"26–35",A1127&lt;=45,"36–45",A1127&gt;45,"46+")</f>
        <v>26–35</v>
      </c>
      <c r="AK1127" t="str" cm="1">
        <f t="array" ref="AK1127">_xlfn.IFS(S1127&lt;=3000,"Low",S1127&lt;=7000,"Mid",S1127&lt;=12000,"High",S1127&gt;12000,"Top")</f>
        <v>High</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_xlfn.IFS(A1128&lt;=25,"Under 25",A1128&lt;=35,"26–35",A1128&lt;=45,"36–45",A1128&gt;45,"46+")</f>
        <v>46+</v>
      </c>
      <c r="AK1128" t="str" cm="1">
        <f t="array" ref="AK1128">_xlfn.IFS(S1128&lt;=3000,"Low",S1128&lt;=7000,"Mid",S1128&lt;=12000,"High",S1128&gt;12000,"Top")</f>
        <v>Top</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_xlfn.IFS(A1129&lt;=25,"Under 25",A1129&lt;=35,"26–35",A1129&lt;=45,"36–45",A1129&gt;45,"46+")</f>
        <v>Under 25</v>
      </c>
      <c r="AK1129" t="str" cm="1">
        <f t="array" ref="AK1129">_xlfn.IFS(S1129&lt;=3000,"Low",S1129&lt;=7000,"Mid",S1129&lt;=12000,"High",S1129&gt;12000,"Top")</f>
        <v>Low</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_xlfn.IFS(A1130&lt;=25,"Under 25",A1130&lt;=35,"26–35",A1130&lt;=45,"36–45",A1130&gt;45,"46+")</f>
        <v>36–45</v>
      </c>
      <c r="AK1130" t="str" cm="1">
        <f t="array" ref="AK1130">_xlfn.IFS(S1130&lt;=3000,"Low",S1130&lt;=7000,"Mid",S1130&lt;=12000,"High",S1130&gt;12000,"Top")</f>
        <v>Mid</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_xlfn.IFS(A1131&lt;=25,"Under 25",A1131&lt;=35,"26–35",A1131&lt;=45,"36–45",A1131&gt;45,"46+")</f>
        <v>36–45</v>
      </c>
      <c r="AK1131" t="str" cm="1">
        <f t="array" ref="AK1131">_xlfn.IFS(S1131&lt;=3000,"Low",S1131&lt;=7000,"Mid",S1131&lt;=12000,"High",S1131&gt;12000,"Top")</f>
        <v>Top</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_xlfn.IFS(A1132&lt;=25,"Under 25",A1132&lt;=35,"26–35",A1132&lt;=45,"36–45",A1132&gt;45,"46+")</f>
        <v>26–35</v>
      </c>
      <c r="AK1132" t="str" cm="1">
        <f t="array" ref="AK1132">_xlfn.IFS(S1132&lt;=3000,"Low",S1132&lt;=7000,"Mid",S1132&lt;=12000,"High",S1132&gt;12000,"Top")</f>
        <v>Mid</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_xlfn.IFS(A1133&lt;=25,"Under 25",A1133&lt;=35,"26–35",A1133&lt;=45,"36–45",A1133&gt;45,"46+")</f>
        <v>26–35</v>
      </c>
      <c r="AK1133" t="str" cm="1">
        <f t="array" ref="AK1133">_xlfn.IFS(S1133&lt;=3000,"Low",S1133&lt;=7000,"Mid",S1133&lt;=12000,"High",S1133&gt;12000,"Top")</f>
        <v>Mid</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_xlfn.IFS(A1134&lt;=25,"Under 25",A1134&lt;=35,"26–35",A1134&lt;=45,"36–45",A1134&gt;45,"46+")</f>
        <v>36–45</v>
      </c>
      <c r="AK1134" t="str" cm="1">
        <f t="array" ref="AK1134">_xlfn.IFS(S1134&lt;=3000,"Low",S1134&lt;=7000,"Mid",S1134&lt;=12000,"High",S1134&gt;12000,"Top")</f>
        <v>Mid</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_xlfn.IFS(A1135&lt;=25,"Under 25",A1135&lt;=35,"26–35",A1135&lt;=45,"36–45",A1135&gt;45,"46+")</f>
        <v>36–45</v>
      </c>
      <c r="AK1135" t="str" cm="1">
        <f t="array" ref="AK1135">_xlfn.IFS(S1135&lt;=3000,"Low",S1135&lt;=7000,"Mid",S1135&lt;=12000,"High",S1135&gt;12000,"Top")</f>
        <v>Mid</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_xlfn.IFS(A1136&lt;=25,"Under 25",A1136&lt;=35,"26–35",A1136&lt;=45,"36–45",A1136&gt;45,"46+")</f>
        <v>26–35</v>
      </c>
      <c r="AK1136" t="str" cm="1">
        <f t="array" ref="AK1136">_xlfn.IFS(S1136&lt;=3000,"Low",S1136&lt;=7000,"Mid",S1136&lt;=12000,"High",S1136&gt;12000,"Top")</f>
        <v>Low</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_xlfn.IFS(A1137&lt;=25,"Under 25",A1137&lt;=35,"26–35",A1137&lt;=45,"36–45",A1137&gt;45,"46+")</f>
        <v>46+</v>
      </c>
      <c r="AK1137" t="str" cm="1">
        <f t="array" ref="AK1137">_xlfn.IFS(S1137&lt;=3000,"Low",S1137&lt;=7000,"Mid",S1137&lt;=12000,"High",S1137&gt;12000,"Top")</f>
        <v>Top</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_xlfn.IFS(A1138&lt;=25,"Under 25",A1138&lt;=35,"26–35",A1138&lt;=45,"36–45",A1138&gt;45,"46+")</f>
        <v>26–35</v>
      </c>
      <c r="AK1138" t="str" cm="1">
        <f t="array" ref="AK1138">_xlfn.IFS(S1138&lt;=3000,"Low",S1138&lt;=7000,"Mid",S1138&lt;=12000,"High",S1138&gt;12000,"Top")</f>
        <v>Low</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_xlfn.IFS(A1139&lt;=25,"Under 25",A1139&lt;=35,"26–35",A1139&lt;=45,"36–45",A1139&gt;45,"46+")</f>
        <v>Under 25</v>
      </c>
      <c r="AK1139" t="str" cm="1">
        <f t="array" ref="AK1139">_xlfn.IFS(S1139&lt;=3000,"Low",S1139&lt;=7000,"Mid",S1139&lt;=12000,"High",S1139&gt;12000,"Top")</f>
        <v>Low</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_xlfn.IFS(A1140&lt;=25,"Under 25",A1140&lt;=35,"26–35",A1140&lt;=45,"36–45",A1140&gt;45,"46+")</f>
        <v>46+</v>
      </c>
      <c r="AK1140" t="str" cm="1">
        <f t="array" ref="AK1140">_xlfn.IFS(S1140&lt;=3000,"Low",S1140&lt;=7000,"Mid",S1140&lt;=12000,"High",S1140&gt;12000,"Top")</f>
        <v>High</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_xlfn.IFS(A1141&lt;=25,"Under 25",A1141&lt;=35,"26–35",A1141&lt;=45,"36–45",A1141&gt;45,"46+")</f>
        <v>26–35</v>
      </c>
      <c r="AK1141" t="str" cm="1">
        <f t="array" ref="AK1141">_xlfn.IFS(S1141&lt;=3000,"Low",S1141&lt;=7000,"Mid",S1141&lt;=12000,"High",S1141&gt;12000,"Top")</f>
        <v>Mid</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_xlfn.IFS(A1142&lt;=25,"Under 25",A1142&lt;=35,"26–35",A1142&lt;=45,"36–45",A1142&gt;45,"46+")</f>
        <v>36–45</v>
      </c>
      <c r="AK1142" t="str" cm="1">
        <f t="array" ref="AK1142">_xlfn.IFS(S1142&lt;=3000,"Low",S1142&lt;=7000,"Mid",S1142&lt;=12000,"High",S1142&gt;12000,"Top")</f>
        <v>Top</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_xlfn.IFS(A1143&lt;=25,"Under 25",A1143&lt;=35,"26–35",A1143&lt;=45,"36–45",A1143&gt;45,"46+")</f>
        <v>26–35</v>
      </c>
      <c r="AK1143" t="str" cm="1">
        <f t="array" ref="AK1143">_xlfn.IFS(S1143&lt;=3000,"Low",S1143&lt;=7000,"Mid",S1143&lt;=12000,"High",S1143&gt;12000,"Top")</f>
        <v>Low</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_xlfn.IFS(A1144&lt;=25,"Under 25",A1144&lt;=35,"26–35",A1144&lt;=45,"36–45",A1144&gt;45,"46+")</f>
        <v>36–45</v>
      </c>
      <c r="AK1144" t="str" cm="1">
        <f t="array" ref="AK1144">_xlfn.IFS(S1144&lt;=3000,"Low",S1144&lt;=7000,"Mid",S1144&lt;=12000,"High",S1144&gt;12000,"Top")</f>
        <v>Mid</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_xlfn.IFS(A1145&lt;=25,"Under 25",A1145&lt;=35,"26–35",A1145&lt;=45,"36–45",A1145&gt;45,"46+")</f>
        <v>36–45</v>
      </c>
      <c r="AK1145" t="str" cm="1">
        <f t="array" ref="AK1145">_xlfn.IFS(S1145&lt;=3000,"Low",S1145&lt;=7000,"Mid",S1145&lt;=12000,"High",S1145&gt;12000,"Top")</f>
        <v>Mid</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_xlfn.IFS(A1146&lt;=25,"Under 25",A1146&lt;=35,"26–35",A1146&lt;=45,"36–45",A1146&gt;45,"46+")</f>
        <v>26–35</v>
      </c>
      <c r="AK1146" t="str" cm="1">
        <f t="array" ref="AK1146">_xlfn.IFS(S1146&lt;=3000,"Low",S1146&lt;=7000,"Mid",S1146&lt;=12000,"High",S1146&gt;12000,"Top")</f>
        <v>Mid</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_xlfn.IFS(A1147&lt;=25,"Under 25",A1147&lt;=35,"26–35",A1147&lt;=45,"36–45",A1147&gt;45,"46+")</f>
        <v>36–45</v>
      </c>
      <c r="AK1147" t="str" cm="1">
        <f t="array" ref="AK1147">_xlfn.IFS(S1147&lt;=3000,"Low",S1147&lt;=7000,"Mid",S1147&lt;=12000,"High",S1147&gt;12000,"Top")</f>
        <v>Mid</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_xlfn.IFS(A1148&lt;=25,"Under 25",A1148&lt;=35,"26–35",A1148&lt;=45,"36–45",A1148&gt;45,"46+")</f>
        <v>26–35</v>
      </c>
      <c r="AK1148" t="str" cm="1">
        <f t="array" ref="AK1148">_xlfn.IFS(S1148&lt;=3000,"Low",S1148&lt;=7000,"Mid",S1148&lt;=12000,"High",S1148&gt;12000,"Top")</f>
        <v>Mid</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_xlfn.IFS(A1149&lt;=25,"Under 25",A1149&lt;=35,"26–35",A1149&lt;=45,"36–45",A1149&gt;45,"46+")</f>
        <v>46+</v>
      </c>
      <c r="AK1149" t="str" cm="1">
        <f t="array" ref="AK1149">_xlfn.IFS(S1149&lt;=3000,"Low",S1149&lt;=7000,"Mid",S1149&lt;=12000,"High",S1149&gt;12000,"Top")</f>
        <v>Mid</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_xlfn.IFS(A1150&lt;=25,"Under 25",A1150&lt;=35,"26–35",A1150&lt;=45,"36–45",A1150&gt;45,"46+")</f>
        <v>36–45</v>
      </c>
      <c r="AK1150" t="str" cm="1">
        <f t="array" ref="AK1150">_xlfn.IFS(S1150&lt;=3000,"Low",S1150&lt;=7000,"Mid",S1150&lt;=12000,"High",S1150&gt;12000,"Top")</f>
        <v>Mid</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_xlfn.IFS(A1151&lt;=25,"Under 25",A1151&lt;=35,"26–35",A1151&lt;=45,"36–45",A1151&gt;45,"46+")</f>
        <v>26–35</v>
      </c>
      <c r="AK1151" t="str" cm="1">
        <f t="array" ref="AK1151">_xlfn.IFS(S1151&lt;=3000,"Low",S1151&lt;=7000,"Mid",S1151&lt;=12000,"High",S1151&gt;12000,"Top")</f>
        <v>Mid</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_xlfn.IFS(A1152&lt;=25,"Under 25",A1152&lt;=35,"26–35",A1152&lt;=45,"36–45",A1152&gt;45,"46+")</f>
        <v>26–35</v>
      </c>
      <c r="AK1152" t="str" cm="1">
        <f t="array" ref="AK1152">_xlfn.IFS(S1152&lt;=3000,"Low",S1152&lt;=7000,"Mid",S1152&lt;=12000,"High",S1152&gt;12000,"Top")</f>
        <v>Mid</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_xlfn.IFS(A1153&lt;=25,"Under 25",A1153&lt;=35,"26–35",A1153&lt;=45,"36–45",A1153&gt;45,"46+")</f>
        <v>26–35</v>
      </c>
      <c r="AK1153" t="str" cm="1">
        <f t="array" ref="AK1153">_xlfn.IFS(S1153&lt;=3000,"Low",S1153&lt;=7000,"Mid",S1153&lt;=12000,"High",S1153&gt;12000,"Top")</f>
        <v>Mid</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_xlfn.IFS(A1154&lt;=25,"Under 25",A1154&lt;=35,"26–35",A1154&lt;=45,"36–45",A1154&gt;45,"46+")</f>
        <v>Under 25</v>
      </c>
      <c r="AK1154" t="str" cm="1">
        <f t="array" ref="AK1154">_xlfn.IFS(S1154&lt;=3000,"Low",S1154&lt;=7000,"Mid",S1154&lt;=12000,"High",S1154&gt;12000,"Top")</f>
        <v>Mid</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_xlfn.IFS(A1155&lt;=25,"Under 25",A1155&lt;=35,"26–35",A1155&lt;=45,"36–45",A1155&gt;45,"46+")</f>
        <v>Under 25</v>
      </c>
      <c r="AK1155" t="str" cm="1">
        <f t="array" ref="AK1155">_xlfn.IFS(S1155&lt;=3000,"Low",S1155&lt;=7000,"Mid",S1155&lt;=12000,"High",S1155&gt;12000,"Top")</f>
        <v>Low</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_xlfn.IFS(A1156&lt;=25,"Under 25",A1156&lt;=35,"26–35",A1156&lt;=45,"36–45",A1156&gt;45,"46+")</f>
        <v>46+</v>
      </c>
      <c r="AK1156" t="str" cm="1">
        <f t="array" ref="AK1156">_xlfn.IFS(S1156&lt;=3000,"Low",S1156&lt;=7000,"Mid",S1156&lt;=12000,"High",S1156&gt;12000,"Top")</f>
        <v>Top</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_xlfn.IFS(A1157&lt;=25,"Under 25",A1157&lt;=35,"26–35",A1157&lt;=45,"36–45",A1157&gt;45,"46+")</f>
        <v>36–45</v>
      </c>
      <c r="AK1157" t="str" cm="1">
        <f t="array" ref="AK1157">_xlfn.IFS(S1157&lt;=3000,"Low",S1157&lt;=7000,"Mid",S1157&lt;=12000,"High",S1157&gt;12000,"Top")</f>
        <v>Mid</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_xlfn.IFS(A1158&lt;=25,"Under 25",A1158&lt;=35,"26–35",A1158&lt;=45,"36–45",A1158&gt;45,"46+")</f>
        <v>36–45</v>
      </c>
      <c r="AK1158" t="str" cm="1">
        <f t="array" ref="AK1158">_xlfn.IFS(S1158&lt;=3000,"Low",S1158&lt;=7000,"Mid",S1158&lt;=12000,"High",S1158&gt;12000,"Top")</f>
        <v>High</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_xlfn.IFS(A1159&lt;=25,"Under 25",A1159&lt;=35,"26–35",A1159&lt;=45,"36–45",A1159&gt;45,"46+")</f>
        <v>26–35</v>
      </c>
      <c r="AK1159" t="str" cm="1">
        <f t="array" ref="AK1159">_xlfn.IFS(S1159&lt;=3000,"Low",S1159&lt;=7000,"Mid",S1159&lt;=12000,"High",S1159&gt;12000,"Top")</f>
        <v>Mid</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_xlfn.IFS(A1160&lt;=25,"Under 25",A1160&lt;=35,"26–35",A1160&lt;=45,"36–45",A1160&gt;45,"46+")</f>
        <v>36–45</v>
      </c>
      <c r="AK1160" t="str" cm="1">
        <f t="array" ref="AK1160">_xlfn.IFS(S1160&lt;=3000,"Low",S1160&lt;=7000,"Mid",S1160&lt;=12000,"High",S1160&gt;12000,"Top")</f>
        <v>Mid</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_xlfn.IFS(A1161&lt;=25,"Under 25",A1161&lt;=35,"26–35",A1161&lt;=45,"36–45",A1161&gt;45,"46+")</f>
        <v>36–45</v>
      </c>
      <c r="AK1161" t="str" cm="1">
        <f t="array" ref="AK1161">_xlfn.IFS(S1161&lt;=3000,"Low",S1161&lt;=7000,"Mid",S1161&lt;=12000,"High",S1161&gt;12000,"Top")</f>
        <v>Mid</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_xlfn.IFS(A1162&lt;=25,"Under 25",A1162&lt;=35,"26–35",A1162&lt;=45,"36–45",A1162&gt;45,"46+")</f>
        <v>36–45</v>
      </c>
      <c r="AK1162" t="str" cm="1">
        <f t="array" ref="AK1162">_xlfn.IFS(S1162&lt;=3000,"Low",S1162&lt;=7000,"Mid",S1162&lt;=12000,"High",S1162&gt;12000,"Top")</f>
        <v>Mid</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_xlfn.IFS(A1163&lt;=25,"Under 25",A1163&lt;=35,"26–35",A1163&lt;=45,"36–45",A1163&gt;45,"46+")</f>
        <v>36–45</v>
      </c>
      <c r="AK1163" t="str" cm="1">
        <f t="array" ref="AK1163">_xlfn.IFS(S1163&lt;=3000,"Low",S1163&lt;=7000,"Mid",S1163&lt;=12000,"High",S1163&gt;12000,"Top")</f>
        <v>High</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_xlfn.IFS(A1164&lt;=25,"Under 25",A1164&lt;=35,"26–35",A1164&lt;=45,"36–45",A1164&gt;45,"46+")</f>
        <v>26–35</v>
      </c>
      <c r="AK1164" t="str" cm="1">
        <f t="array" ref="AK1164">_xlfn.IFS(S1164&lt;=3000,"Low",S1164&lt;=7000,"Mid",S1164&lt;=12000,"High",S1164&gt;12000,"Top")</f>
        <v>High</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_xlfn.IFS(A1165&lt;=25,"Under 25",A1165&lt;=35,"26–35",A1165&lt;=45,"36–45",A1165&gt;45,"46+")</f>
        <v>36–45</v>
      </c>
      <c r="AK1165" t="str" cm="1">
        <f t="array" ref="AK1165">_xlfn.IFS(S1165&lt;=3000,"Low",S1165&lt;=7000,"Mid",S1165&lt;=12000,"High",S1165&gt;12000,"Top")</f>
        <v>Mid</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_xlfn.IFS(A1166&lt;=25,"Under 25",A1166&lt;=35,"26–35",A1166&lt;=45,"36–45",A1166&gt;45,"46+")</f>
        <v>36–45</v>
      </c>
      <c r="AK1166" t="str" cm="1">
        <f t="array" ref="AK1166">_xlfn.IFS(S1166&lt;=3000,"Low",S1166&lt;=7000,"Mid",S1166&lt;=12000,"High",S1166&gt;12000,"Top")</f>
        <v>High</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_xlfn.IFS(A1167&lt;=25,"Under 25",A1167&lt;=35,"26–35",A1167&lt;=45,"36–45",A1167&gt;45,"46+")</f>
        <v>36–45</v>
      </c>
      <c r="AK1167" t="str" cm="1">
        <f t="array" ref="AK1167">_xlfn.IFS(S1167&lt;=3000,"Low",S1167&lt;=7000,"Mid",S1167&lt;=12000,"High",S1167&gt;12000,"Top")</f>
        <v>Mid</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_xlfn.IFS(A1168&lt;=25,"Under 25",A1168&lt;=35,"26–35",A1168&lt;=45,"36–45",A1168&gt;45,"46+")</f>
        <v>46+</v>
      </c>
      <c r="AK1168" t="str" cm="1">
        <f t="array" ref="AK1168">_xlfn.IFS(S1168&lt;=3000,"Low",S1168&lt;=7000,"Mid",S1168&lt;=12000,"High",S1168&gt;12000,"Top")</f>
        <v>Top</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_xlfn.IFS(A1169&lt;=25,"Under 25",A1169&lt;=35,"26–35",A1169&lt;=45,"36–45",A1169&gt;45,"46+")</f>
        <v>26–35</v>
      </c>
      <c r="AK1169" t="str" cm="1">
        <f t="array" ref="AK1169">_xlfn.IFS(S1169&lt;=3000,"Low",S1169&lt;=7000,"Mid",S1169&lt;=12000,"High",S1169&gt;12000,"Top")</f>
        <v>Mid</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_xlfn.IFS(A1170&lt;=25,"Under 25",A1170&lt;=35,"26–35",A1170&lt;=45,"36–45",A1170&gt;45,"46+")</f>
        <v>Under 25</v>
      </c>
      <c r="AK1170" t="str" cm="1">
        <f t="array" ref="AK1170">_xlfn.IFS(S1170&lt;=3000,"Low",S1170&lt;=7000,"Mid",S1170&lt;=12000,"High",S1170&gt;12000,"Top")</f>
        <v>Mid</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_xlfn.IFS(A1171&lt;=25,"Under 25",A1171&lt;=35,"26–35",A1171&lt;=45,"36–45",A1171&gt;45,"46+")</f>
        <v>26–35</v>
      </c>
      <c r="AK1171" t="str" cm="1">
        <f t="array" ref="AK1171">_xlfn.IFS(S1171&lt;=3000,"Low",S1171&lt;=7000,"Mid",S1171&lt;=12000,"High",S1171&gt;12000,"Top")</f>
        <v>Mid</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_xlfn.IFS(A1172&lt;=25,"Under 25",A1172&lt;=35,"26–35",A1172&lt;=45,"36–45",A1172&gt;45,"46+")</f>
        <v>26–35</v>
      </c>
      <c r="AK1172" t="str" cm="1">
        <f t="array" ref="AK1172">_xlfn.IFS(S1172&lt;=3000,"Low",S1172&lt;=7000,"Mid",S1172&lt;=12000,"High",S1172&gt;12000,"Top")</f>
        <v>Low</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_xlfn.IFS(A1173&lt;=25,"Under 25",A1173&lt;=35,"26–35",A1173&lt;=45,"36–45",A1173&gt;45,"46+")</f>
        <v>36–45</v>
      </c>
      <c r="AK1173" t="str" cm="1">
        <f t="array" ref="AK1173">_xlfn.IFS(S1173&lt;=3000,"Low",S1173&lt;=7000,"Mid",S1173&lt;=12000,"High",S1173&gt;12000,"Top")</f>
        <v>Low</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_xlfn.IFS(A1174&lt;=25,"Under 25",A1174&lt;=35,"26–35",A1174&lt;=45,"36–45",A1174&gt;45,"46+")</f>
        <v>26–35</v>
      </c>
      <c r="AK1174" t="str" cm="1">
        <f t="array" ref="AK1174">_xlfn.IFS(S1174&lt;=3000,"Low",S1174&lt;=7000,"Mid",S1174&lt;=12000,"High",S1174&gt;12000,"Top")</f>
        <v>Mid</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_xlfn.IFS(A1175&lt;=25,"Under 25",A1175&lt;=35,"26–35",A1175&lt;=45,"36–45",A1175&gt;45,"46+")</f>
        <v>36–45</v>
      </c>
      <c r="AK1175" t="str" cm="1">
        <f t="array" ref="AK1175">_xlfn.IFS(S1175&lt;=3000,"Low",S1175&lt;=7000,"Mid",S1175&lt;=12000,"High",S1175&gt;12000,"Top")</f>
        <v>High</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_xlfn.IFS(A1176&lt;=25,"Under 25",A1176&lt;=35,"26–35",A1176&lt;=45,"36–45",A1176&gt;45,"46+")</f>
        <v>Under 25</v>
      </c>
      <c r="AK1176" t="str" cm="1">
        <f t="array" ref="AK1176">_xlfn.IFS(S1176&lt;=3000,"Low",S1176&lt;=7000,"Mid",S1176&lt;=12000,"High",S1176&gt;12000,"Top")</f>
        <v>Mid</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_xlfn.IFS(A1177&lt;=25,"Under 25",A1177&lt;=35,"26–35",A1177&lt;=45,"36–45",A1177&gt;45,"46+")</f>
        <v>36–45</v>
      </c>
      <c r="AK1177" t="str" cm="1">
        <f t="array" ref="AK1177">_xlfn.IFS(S1177&lt;=3000,"Low",S1177&lt;=7000,"Mid",S1177&lt;=12000,"High",S1177&gt;12000,"Top")</f>
        <v>Mid</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_xlfn.IFS(A1178&lt;=25,"Under 25",A1178&lt;=35,"26–35",A1178&lt;=45,"36–45",A1178&gt;45,"46+")</f>
        <v>46+</v>
      </c>
      <c r="AK1178" t="str" cm="1">
        <f t="array" ref="AK1178">_xlfn.IFS(S1178&lt;=3000,"Low",S1178&lt;=7000,"Mid",S1178&lt;=12000,"High",S1178&gt;12000,"Top")</f>
        <v>Top</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_xlfn.IFS(A1179&lt;=25,"Under 25",A1179&lt;=35,"26–35",A1179&lt;=45,"36–45",A1179&gt;45,"46+")</f>
        <v>46+</v>
      </c>
      <c r="AK1179" t="str" cm="1">
        <f t="array" ref="AK1179">_xlfn.IFS(S1179&lt;=3000,"Low",S1179&lt;=7000,"Mid",S1179&lt;=12000,"High",S1179&gt;12000,"Top")</f>
        <v>Top</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_xlfn.IFS(A1180&lt;=25,"Under 25",A1180&lt;=35,"26–35",A1180&lt;=45,"36–45",A1180&gt;45,"46+")</f>
        <v>Under 25</v>
      </c>
      <c r="AK1180" t="str" cm="1">
        <f t="array" ref="AK1180">_xlfn.IFS(S1180&lt;=3000,"Low",S1180&lt;=7000,"Mid",S1180&lt;=12000,"High",S1180&gt;12000,"Top")</f>
        <v>Low</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_xlfn.IFS(A1181&lt;=25,"Under 25",A1181&lt;=35,"26–35",A1181&lt;=45,"36–45",A1181&gt;45,"46+")</f>
        <v>26–35</v>
      </c>
      <c r="AK1181" t="str" cm="1">
        <f t="array" ref="AK1181">_xlfn.IFS(S1181&lt;=3000,"Low",S1181&lt;=7000,"Mid",S1181&lt;=12000,"High",S1181&gt;12000,"Top")</f>
        <v>Mid</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_xlfn.IFS(A1182&lt;=25,"Under 25",A1182&lt;=35,"26–35",A1182&lt;=45,"36–45",A1182&gt;45,"46+")</f>
        <v>36–45</v>
      </c>
      <c r="AK1182" t="str" cm="1">
        <f t="array" ref="AK1182">_xlfn.IFS(S1182&lt;=3000,"Low",S1182&lt;=7000,"Mid",S1182&lt;=12000,"High",S1182&gt;12000,"Top")</f>
        <v>Low</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_xlfn.IFS(A1183&lt;=25,"Under 25",A1183&lt;=35,"26–35",A1183&lt;=45,"36–45",A1183&gt;45,"46+")</f>
        <v>46+</v>
      </c>
      <c r="AK1183" t="str" cm="1">
        <f t="array" ref="AK1183">_xlfn.IFS(S1183&lt;=3000,"Low",S1183&lt;=7000,"Mid",S1183&lt;=12000,"High",S1183&gt;12000,"Top")</f>
        <v>Top</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_xlfn.IFS(A1184&lt;=25,"Under 25",A1184&lt;=35,"26–35",A1184&lt;=45,"36–45",A1184&gt;45,"46+")</f>
        <v>36–45</v>
      </c>
      <c r="AK1184" t="str" cm="1">
        <f t="array" ref="AK1184">_xlfn.IFS(S1184&lt;=3000,"Low",S1184&lt;=7000,"Mid",S1184&lt;=12000,"High",S1184&gt;12000,"Top")</f>
        <v>Mid</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_xlfn.IFS(A1185&lt;=25,"Under 25",A1185&lt;=35,"26–35",A1185&lt;=45,"36–45",A1185&gt;45,"46+")</f>
        <v>36–45</v>
      </c>
      <c r="AK1185" t="str" cm="1">
        <f t="array" ref="AK1185">_xlfn.IFS(S1185&lt;=3000,"Low",S1185&lt;=7000,"Mid",S1185&lt;=12000,"High",S1185&gt;12000,"Top")</f>
        <v>Mid</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_xlfn.IFS(A1186&lt;=25,"Under 25",A1186&lt;=35,"26–35",A1186&lt;=45,"36–45",A1186&gt;45,"46+")</f>
        <v>46+</v>
      </c>
      <c r="AK1186" t="str" cm="1">
        <f t="array" ref="AK1186">_xlfn.IFS(S1186&lt;=3000,"Low",S1186&lt;=7000,"Mid",S1186&lt;=12000,"High",S1186&gt;12000,"Top")</f>
        <v>Top</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_xlfn.IFS(A1187&lt;=25,"Under 25",A1187&lt;=35,"26–35",A1187&lt;=45,"36–45",A1187&gt;45,"46+")</f>
        <v>36–45</v>
      </c>
      <c r="AK1187" t="str" cm="1">
        <f t="array" ref="AK1187">_xlfn.IFS(S1187&lt;=3000,"Low",S1187&lt;=7000,"Mid",S1187&lt;=12000,"High",S1187&gt;12000,"Top")</f>
        <v>Top</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_xlfn.IFS(A1188&lt;=25,"Under 25",A1188&lt;=35,"26–35",A1188&lt;=45,"36–45",A1188&gt;45,"46+")</f>
        <v>26–35</v>
      </c>
      <c r="AK1188" t="str" cm="1">
        <f t="array" ref="AK1188">_xlfn.IFS(S1188&lt;=3000,"Low",S1188&lt;=7000,"Mid",S1188&lt;=12000,"High",S1188&gt;12000,"Top")</f>
        <v>Mid</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_xlfn.IFS(A1189&lt;=25,"Under 25",A1189&lt;=35,"26–35",A1189&lt;=45,"36–45",A1189&gt;45,"46+")</f>
        <v>36–45</v>
      </c>
      <c r="AK1189" t="str" cm="1">
        <f t="array" ref="AK1189">_xlfn.IFS(S1189&lt;=3000,"Low",S1189&lt;=7000,"Mid",S1189&lt;=12000,"High",S1189&gt;12000,"Top")</f>
        <v>Mid</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_xlfn.IFS(A1190&lt;=25,"Under 25",A1190&lt;=35,"26–35",A1190&lt;=45,"36–45",A1190&gt;45,"46+")</f>
        <v>26–35</v>
      </c>
      <c r="AK1190" t="str" cm="1">
        <f t="array" ref="AK1190">_xlfn.IFS(S1190&lt;=3000,"Low",S1190&lt;=7000,"Mid",S1190&lt;=12000,"High",S1190&gt;12000,"Top")</f>
        <v>Mid</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_xlfn.IFS(A1191&lt;=25,"Under 25",A1191&lt;=35,"26–35",A1191&lt;=45,"36–45",A1191&gt;45,"46+")</f>
        <v>26–35</v>
      </c>
      <c r="AK1191" t="str" cm="1">
        <f t="array" ref="AK1191">_xlfn.IFS(S1191&lt;=3000,"Low",S1191&lt;=7000,"Mid",S1191&lt;=12000,"High",S1191&gt;12000,"Top")</f>
        <v>Mid</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_xlfn.IFS(A1192&lt;=25,"Under 25",A1192&lt;=35,"26–35",A1192&lt;=45,"36–45",A1192&gt;45,"46+")</f>
        <v>26–35</v>
      </c>
      <c r="AK1192" t="str" cm="1">
        <f t="array" ref="AK1192">_xlfn.IFS(S1192&lt;=3000,"Low",S1192&lt;=7000,"Mid",S1192&lt;=12000,"High",S1192&gt;12000,"Top")</f>
        <v>Mid</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_xlfn.IFS(A1193&lt;=25,"Under 25",A1193&lt;=35,"26–35",A1193&lt;=45,"36–45",A1193&gt;45,"46+")</f>
        <v>26–35</v>
      </c>
      <c r="AK1193" t="str" cm="1">
        <f t="array" ref="AK1193">_xlfn.IFS(S1193&lt;=3000,"Low",S1193&lt;=7000,"Mid",S1193&lt;=12000,"High",S1193&gt;12000,"Top")</f>
        <v>Mid</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_xlfn.IFS(A1194&lt;=25,"Under 25",A1194&lt;=35,"26–35",A1194&lt;=45,"36–45",A1194&gt;45,"46+")</f>
        <v>46+</v>
      </c>
      <c r="AK1194" t="str" cm="1">
        <f t="array" ref="AK1194">_xlfn.IFS(S1194&lt;=3000,"Low",S1194&lt;=7000,"Mid",S1194&lt;=12000,"High",S1194&gt;12000,"Top")</f>
        <v>Low</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_xlfn.IFS(A1195&lt;=25,"Under 25",A1195&lt;=35,"26–35",A1195&lt;=45,"36–45",A1195&gt;45,"46+")</f>
        <v>36–45</v>
      </c>
      <c r="AK1195" t="str" cm="1">
        <f t="array" ref="AK1195">_xlfn.IFS(S1195&lt;=3000,"Low",S1195&lt;=7000,"Mid",S1195&lt;=12000,"High",S1195&gt;12000,"Top")</f>
        <v>Low</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_xlfn.IFS(A1196&lt;=25,"Under 25",A1196&lt;=35,"26–35",A1196&lt;=45,"36–45",A1196&gt;45,"46+")</f>
        <v>46+</v>
      </c>
      <c r="AK1196" t="str" cm="1">
        <f t="array" ref="AK1196">_xlfn.IFS(S1196&lt;=3000,"Low",S1196&lt;=7000,"Mid",S1196&lt;=12000,"High",S1196&gt;12000,"Top")</f>
        <v>Top</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_xlfn.IFS(A1197&lt;=25,"Under 25",A1197&lt;=35,"26–35",A1197&lt;=45,"36–45",A1197&gt;45,"46+")</f>
        <v>46+</v>
      </c>
      <c r="AK1197" t="str" cm="1">
        <f t="array" ref="AK1197">_xlfn.IFS(S1197&lt;=3000,"Low",S1197&lt;=7000,"Mid",S1197&lt;=12000,"High",S1197&gt;12000,"Top")</f>
        <v>Top</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_xlfn.IFS(A1198&lt;=25,"Under 25",A1198&lt;=35,"26–35",A1198&lt;=45,"36–45",A1198&gt;45,"46+")</f>
        <v>36–45</v>
      </c>
      <c r="AK1198" t="str" cm="1">
        <f t="array" ref="AK1198">_xlfn.IFS(S1198&lt;=3000,"Low",S1198&lt;=7000,"Mid",S1198&lt;=12000,"High",S1198&gt;12000,"Top")</f>
        <v>High</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_xlfn.IFS(A1199&lt;=25,"Under 25",A1199&lt;=35,"26–35",A1199&lt;=45,"36–45",A1199&gt;45,"46+")</f>
        <v>Under 25</v>
      </c>
      <c r="AK1199" t="str" cm="1">
        <f t="array" ref="AK1199">_xlfn.IFS(S1199&lt;=3000,"Low",S1199&lt;=7000,"Mid",S1199&lt;=12000,"High",S1199&gt;12000,"Top")</f>
        <v>Low</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_xlfn.IFS(A1200&lt;=25,"Under 25",A1200&lt;=35,"26–35",A1200&lt;=45,"36–45",A1200&gt;45,"46+")</f>
        <v>26–35</v>
      </c>
      <c r="AK1200" t="str" cm="1">
        <f t="array" ref="AK1200">_xlfn.IFS(S1200&lt;=3000,"Low",S1200&lt;=7000,"Mid",S1200&lt;=12000,"High",S1200&gt;12000,"Top")</f>
        <v>Mid</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_xlfn.IFS(A1201&lt;=25,"Under 25",A1201&lt;=35,"26–35",A1201&lt;=45,"36–45",A1201&gt;45,"46+")</f>
        <v>36–45</v>
      </c>
      <c r="AK1201" t="str" cm="1">
        <f t="array" ref="AK1201">_xlfn.IFS(S1201&lt;=3000,"Low",S1201&lt;=7000,"Mid",S1201&lt;=12000,"High",S1201&gt;12000,"Top")</f>
        <v>Mid</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_xlfn.IFS(A1202&lt;=25,"Under 25",A1202&lt;=35,"26–35",A1202&lt;=45,"36–45",A1202&gt;45,"46+")</f>
        <v>36–45</v>
      </c>
      <c r="AK1202" t="str" cm="1">
        <f t="array" ref="AK1202">_xlfn.IFS(S1202&lt;=3000,"Low",S1202&lt;=7000,"Mid",S1202&lt;=12000,"High",S1202&gt;12000,"Top")</f>
        <v>Mid</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_xlfn.IFS(A1203&lt;=25,"Under 25",A1203&lt;=35,"26–35",A1203&lt;=45,"36–45",A1203&gt;45,"46+")</f>
        <v>Under 25</v>
      </c>
      <c r="AK1203" t="str" cm="1">
        <f t="array" ref="AK1203">_xlfn.IFS(S1203&lt;=3000,"Low",S1203&lt;=7000,"Mid",S1203&lt;=12000,"High",S1203&gt;12000,"Top")</f>
        <v>Mid</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_xlfn.IFS(A1204&lt;=25,"Under 25",A1204&lt;=35,"26–35",A1204&lt;=45,"36–45",A1204&gt;45,"46+")</f>
        <v>36–45</v>
      </c>
      <c r="AK1204" t="str" cm="1">
        <f t="array" ref="AK1204">_xlfn.IFS(S1204&lt;=3000,"Low",S1204&lt;=7000,"Mid",S1204&lt;=12000,"High",S1204&gt;12000,"Top")</f>
        <v>Mid</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_xlfn.IFS(A1205&lt;=25,"Under 25",A1205&lt;=35,"26–35",A1205&lt;=45,"36–45",A1205&gt;45,"46+")</f>
        <v>46+</v>
      </c>
      <c r="AK1205" t="str" cm="1">
        <f t="array" ref="AK1205">_xlfn.IFS(S1205&lt;=3000,"Low",S1205&lt;=7000,"Mid",S1205&lt;=12000,"High",S1205&gt;12000,"Top")</f>
        <v>High</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_xlfn.IFS(A1206&lt;=25,"Under 25",A1206&lt;=35,"26–35",A1206&lt;=45,"36–45",A1206&gt;45,"46+")</f>
        <v>46+</v>
      </c>
      <c r="AK1206" t="str" cm="1">
        <f t="array" ref="AK1206">_xlfn.IFS(S1206&lt;=3000,"Low",S1206&lt;=7000,"Mid",S1206&lt;=12000,"High",S1206&gt;12000,"Top")</f>
        <v>Low</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_xlfn.IFS(A1207&lt;=25,"Under 25",A1207&lt;=35,"26–35",A1207&lt;=45,"36–45",A1207&gt;45,"46+")</f>
        <v>26–35</v>
      </c>
      <c r="AK1207" t="str" cm="1">
        <f t="array" ref="AK1207">_xlfn.IFS(S1207&lt;=3000,"Low",S1207&lt;=7000,"Mid",S1207&lt;=12000,"High",S1207&gt;12000,"Top")</f>
        <v>Low</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_xlfn.IFS(A1208&lt;=25,"Under 25",A1208&lt;=35,"26–35",A1208&lt;=45,"36–45",A1208&gt;45,"46+")</f>
        <v>26–35</v>
      </c>
      <c r="AK1208" t="str" cm="1">
        <f t="array" ref="AK1208">_xlfn.IFS(S1208&lt;=3000,"Low",S1208&lt;=7000,"Mid",S1208&lt;=12000,"High",S1208&gt;12000,"Top")</f>
        <v>Low</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_xlfn.IFS(A1209&lt;=25,"Under 25",A1209&lt;=35,"26–35",A1209&lt;=45,"36–45",A1209&gt;45,"46+")</f>
        <v>46+</v>
      </c>
      <c r="AK1209" t="str" cm="1">
        <f t="array" ref="AK1209">_xlfn.IFS(S1209&lt;=3000,"Low",S1209&lt;=7000,"Mid",S1209&lt;=12000,"High",S1209&gt;12000,"Top")</f>
        <v>Mid</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_xlfn.IFS(A1210&lt;=25,"Under 25",A1210&lt;=35,"26–35",A1210&lt;=45,"36–45",A1210&gt;45,"46+")</f>
        <v>26–35</v>
      </c>
      <c r="AK1210" t="str" cm="1">
        <f t="array" ref="AK1210">_xlfn.IFS(S1210&lt;=3000,"Low",S1210&lt;=7000,"Mid",S1210&lt;=12000,"High",S1210&gt;12000,"Top")</f>
        <v>Mid</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_xlfn.IFS(A1211&lt;=25,"Under 25",A1211&lt;=35,"26–35",A1211&lt;=45,"36–45",A1211&gt;45,"46+")</f>
        <v>46+</v>
      </c>
      <c r="AK1211" t="str" cm="1">
        <f t="array" ref="AK1211">_xlfn.IFS(S1211&lt;=3000,"Low",S1211&lt;=7000,"Mid",S1211&lt;=12000,"High",S1211&gt;12000,"Top")</f>
        <v>High</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_xlfn.IFS(A1212&lt;=25,"Under 25",A1212&lt;=35,"26–35",A1212&lt;=45,"36–45",A1212&gt;45,"46+")</f>
        <v>26–35</v>
      </c>
      <c r="AK1212" t="str" cm="1">
        <f t="array" ref="AK1212">_xlfn.IFS(S1212&lt;=3000,"Low",S1212&lt;=7000,"Mid",S1212&lt;=12000,"High",S1212&gt;12000,"Top")</f>
        <v>Low</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_xlfn.IFS(A1213&lt;=25,"Under 25",A1213&lt;=35,"26–35",A1213&lt;=45,"36–45",A1213&gt;45,"46+")</f>
        <v>36–45</v>
      </c>
      <c r="AK1213" t="str" cm="1">
        <f t="array" ref="AK1213">_xlfn.IFS(S1213&lt;=3000,"Low",S1213&lt;=7000,"Mid",S1213&lt;=12000,"High",S1213&gt;12000,"Top")</f>
        <v>High</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_xlfn.IFS(A1214&lt;=25,"Under 25",A1214&lt;=35,"26–35",A1214&lt;=45,"36–45",A1214&gt;45,"46+")</f>
        <v>26–35</v>
      </c>
      <c r="AK1214" t="str" cm="1">
        <f t="array" ref="AK1214">_xlfn.IFS(S1214&lt;=3000,"Low",S1214&lt;=7000,"Mid",S1214&lt;=12000,"High",S1214&gt;12000,"Top")</f>
        <v>Low</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_xlfn.IFS(A1215&lt;=25,"Under 25",A1215&lt;=35,"26–35",A1215&lt;=45,"36–45",A1215&gt;45,"46+")</f>
        <v>Under 25</v>
      </c>
      <c r="AK1215" t="str" cm="1">
        <f t="array" ref="AK1215">_xlfn.IFS(S1215&lt;=3000,"Low",S1215&lt;=7000,"Mid",S1215&lt;=12000,"High",S1215&gt;12000,"Top")</f>
        <v>Low</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_xlfn.IFS(A1216&lt;=25,"Under 25",A1216&lt;=35,"26–35",A1216&lt;=45,"36–45",A1216&gt;45,"46+")</f>
        <v>36–45</v>
      </c>
      <c r="AK1216" t="str" cm="1">
        <f t="array" ref="AK1216">_xlfn.IFS(S1216&lt;=3000,"Low",S1216&lt;=7000,"Mid",S1216&lt;=12000,"High",S1216&gt;12000,"Top")</f>
        <v>High</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_xlfn.IFS(A1217&lt;=25,"Under 25",A1217&lt;=35,"26–35",A1217&lt;=45,"36–45",A1217&gt;45,"46+")</f>
        <v>26–35</v>
      </c>
      <c r="AK1217" t="str" cm="1">
        <f t="array" ref="AK1217">_xlfn.IFS(S1217&lt;=3000,"Low",S1217&lt;=7000,"Mid",S1217&lt;=12000,"High",S1217&gt;12000,"Top")</f>
        <v>Mid</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_xlfn.IFS(A1218&lt;=25,"Under 25",A1218&lt;=35,"26–35",A1218&lt;=45,"36–45",A1218&gt;45,"46+")</f>
        <v>36–45</v>
      </c>
      <c r="AK1218" t="str" cm="1">
        <f t="array" ref="AK1218">_xlfn.IFS(S1218&lt;=3000,"Low",S1218&lt;=7000,"Mid",S1218&lt;=12000,"High",S1218&gt;12000,"Top")</f>
        <v>High</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_xlfn.IFS(A1219&lt;=25,"Under 25",A1219&lt;=35,"26–35",A1219&lt;=45,"36–45",A1219&gt;45,"46+")</f>
        <v>Under 25</v>
      </c>
      <c r="AK1219" t="str" cm="1">
        <f t="array" ref="AK1219">_xlfn.IFS(S1219&lt;=3000,"Low",S1219&lt;=7000,"Mid",S1219&lt;=12000,"High",S1219&gt;12000,"Top")</f>
        <v>Mid</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_xlfn.IFS(A1220&lt;=25,"Under 25",A1220&lt;=35,"26–35",A1220&lt;=45,"36–45",A1220&gt;45,"46+")</f>
        <v>36–45</v>
      </c>
      <c r="AK1220" t="str" cm="1">
        <f t="array" ref="AK1220">_xlfn.IFS(S1220&lt;=3000,"Low",S1220&lt;=7000,"Mid",S1220&lt;=12000,"High",S1220&gt;12000,"Top")</f>
        <v>High</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_xlfn.IFS(A1221&lt;=25,"Under 25",A1221&lt;=35,"26–35",A1221&lt;=45,"36–45",A1221&gt;45,"46+")</f>
        <v>26–35</v>
      </c>
      <c r="AK1221" t="str" cm="1">
        <f t="array" ref="AK1221">_xlfn.IFS(S1221&lt;=3000,"Low",S1221&lt;=7000,"Mid",S1221&lt;=12000,"High",S1221&gt;12000,"Top")</f>
        <v>Low</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_xlfn.IFS(A1222&lt;=25,"Under 25",A1222&lt;=35,"26–35",A1222&lt;=45,"36–45",A1222&gt;45,"46+")</f>
        <v>36–45</v>
      </c>
      <c r="AK1222" t="str" cm="1">
        <f t="array" ref="AK1222">_xlfn.IFS(S1222&lt;=3000,"Low",S1222&lt;=7000,"Mid",S1222&lt;=12000,"High",S1222&gt;12000,"Top")</f>
        <v>Mid</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_xlfn.IFS(A1223&lt;=25,"Under 25",A1223&lt;=35,"26–35",A1223&lt;=45,"36–45",A1223&gt;45,"46+")</f>
        <v>36–45</v>
      </c>
      <c r="AK1223" t="str" cm="1">
        <f t="array" ref="AK1223">_xlfn.IFS(S1223&lt;=3000,"Low",S1223&lt;=7000,"Mid",S1223&lt;=12000,"High",S1223&gt;12000,"Top")</f>
        <v>High</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_xlfn.IFS(A1224&lt;=25,"Under 25",A1224&lt;=35,"26–35",A1224&lt;=45,"36–45",A1224&gt;45,"46+")</f>
        <v>Under 25</v>
      </c>
      <c r="AK1224" t="str" cm="1">
        <f t="array" ref="AK1224">_xlfn.IFS(S1224&lt;=3000,"Low",S1224&lt;=7000,"Mid",S1224&lt;=12000,"High",S1224&gt;12000,"Top")</f>
        <v>Low</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_xlfn.IFS(A1225&lt;=25,"Under 25",A1225&lt;=35,"26–35",A1225&lt;=45,"36–45",A1225&gt;45,"46+")</f>
        <v>46+</v>
      </c>
      <c r="AK1225" t="str" cm="1">
        <f t="array" ref="AK1225">_xlfn.IFS(S1225&lt;=3000,"Low",S1225&lt;=7000,"Mid",S1225&lt;=12000,"High",S1225&gt;12000,"Top")</f>
        <v>Top</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_xlfn.IFS(A1226&lt;=25,"Under 25",A1226&lt;=35,"26–35",A1226&lt;=45,"36–45",A1226&gt;45,"46+")</f>
        <v>26–35</v>
      </c>
      <c r="AK1226" t="str" cm="1">
        <f t="array" ref="AK1226">_xlfn.IFS(S1226&lt;=3000,"Low",S1226&lt;=7000,"Mid",S1226&lt;=12000,"High",S1226&gt;12000,"Top")</f>
        <v>Low</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_xlfn.IFS(A1227&lt;=25,"Under 25",A1227&lt;=35,"26–35",A1227&lt;=45,"36–45",A1227&gt;45,"46+")</f>
        <v>36–45</v>
      </c>
      <c r="AK1227" t="str" cm="1">
        <f t="array" ref="AK1227">_xlfn.IFS(S1227&lt;=3000,"Low",S1227&lt;=7000,"Mid",S1227&lt;=12000,"High",S1227&gt;12000,"Top")</f>
        <v>Top</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_xlfn.IFS(A1228&lt;=25,"Under 25",A1228&lt;=35,"26–35",A1228&lt;=45,"36–45",A1228&gt;45,"46+")</f>
        <v>26–35</v>
      </c>
      <c r="AK1228" t="str" cm="1">
        <f t="array" ref="AK1228">_xlfn.IFS(S1228&lt;=3000,"Low",S1228&lt;=7000,"Mid",S1228&lt;=12000,"High",S1228&gt;12000,"Top")</f>
        <v>Mid</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_xlfn.IFS(A1229&lt;=25,"Under 25",A1229&lt;=35,"26–35",A1229&lt;=45,"36–45",A1229&gt;45,"46+")</f>
        <v>26–35</v>
      </c>
      <c r="AK1229" t="str" cm="1">
        <f t="array" ref="AK1229">_xlfn.IFS(S1229&lt;=3000,"Low",S1229&lt;=7000,"Mid",S1229&lt;=12000,"High",S1229&gt;12000,"Top")</f>
        <v>Mid</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_xlfn.IFS(A1230&lt;=25,"Under 25",A1230&lt;=35,"26–35",A1230&lt;=45,"36–45",A1230&gt;45,"46+")</f>
        <v>36–45</v>
      </c>
      <c r="AK1230" t="str" cm="1">
        <f t="array" ref="AK1230">_xlfn.IFS(S1230&lt;=3000,"Low",S1230&lt;=7000,"Mid",S1230&lt;=12000,"High",S1230&gt;12000,"Top")</f>
        <v>Mid</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_xlfn.IFS(A1231&lt;=25,"Under 25",A1231&lt;=35,"26–35",A1231&lt;=45,"36–45",A1231&gt;45,"46+")</f>
        <v>36–45</v>
      </c>
      <c r="AK1231" t="str" cm="1">
        <f t="array" ref="AK1231">_xlfn.IFS(S1231&lt;=3000,"Low",S1231&lt;=7000,"Mid",S1231&lt;=12000,"High",S1231&gt;12000,"Top")</f>
        <v>Mid</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_xlfn.IFS(A1232&lt;=25,"Under 25",A1232&lt;=35,"26–35",A1232&lt;=45,"36–45",A1232&gt;45,"46+")</f>
        <v>Under 25</v>
      </c>
      <c r="AK1232" t="str" cm="1">
        <f t="array" ref="AK1232">_xlfn.IFS(S1232&lt;=3000,"Low",S1232&lt;=7000,"Mid",S1232&lt;=12000,"High",S1232&gt;12000,"Top")</f>
        <v>Mid</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_xlfn.IFS(A1233&lt;=25,"Under 25",A1233&lt;=35,"26–35",A1233&lt;=45,"36–45",A1233&gt;45,"46+")</f>
        <v>46+</v>
      </c>
      <c r="AK1233" t="str" cm="1">
        <f t="array" ref="AK1233">_xlfn.IFS(S1233&lt;=3000,"Low",S1233&lt;=7000,"Mid",S1233&lt;=12000,"High",S1233&gt;12000,"Top")</f>
        <v>Mid</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_xlfn.IFS(A1234&lt;=25,"Under 25",A1234&lt;=35,"26–35",A1234&lt;=45,"36–45",A1234&gt;45,"46+")</f>
        <v>26–35</v>
      </c>
      <c r="AK1234" t="str" cm="1">
        <f t="array" ref="AK1234">_xlfn.IFS(S1234&lt;=3000,"Low",S1234&lt;=7000,"Mid",S1234&lt;=12000,"High",S1234&gt;12000,"Top")</f>
        <v>Mid</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_xlfn.IFS(A1235&lt;=25,"Under 25",A1235&lt;=35,"26–35",A1235&lt;=45,"36–45",A1235&gt;45,"46+")</f>
        <v>26–35</v>
      </c>
      <c r="AK1235" t="str" cm="1">
        <f t="array" ref="AK1235">_xlfn.IFS(S1235&lt;=3000,"Low",S1235&lt;=7000,"Mid",S1235&lt;=12000,"High",S1235&gt;12000,"Top")</f>
        <v>Low</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_xlfn.IFS(A1236&lt;=25,"Under 25",A1236&lt;=35,"26–35",A1236&lt;=45,"36–45",A1236&gt;45,"46+")</f>
        <v>46+</v>
      </c>
      <c r="AK1236" t="str" cm="1">
        <f t="array" ref="AK1236">_xlfn.IFS(S1236&lt;=3000,"Low",S1236&lt;=7000,"Mid",S1236&lt;=12000,"High",S1236&gt;12000,"Top")</f>
        <v>Mid</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_xlfn.IFS(A1237&lt;=25,"Under 25",A1237&lt;=35,"26–35",A1237&lt;=45,"36–45",A1237&gt;45,"46+")</f>
        <v>46+</v>
      </c>
      <c r="AK1237" t="str" cm="1">
        <f t="array" ref="AK1237">_xlfn.IFS(S1237&lt;=3000,"Low",S1237&lt;=7000,"Mid",S1237&lt;=12000,"High",S1237&gt;12000,"Top")</f>
        <v>High</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_xlfn.IFS(A1238&lt;=25,"Under 25",A1238&lt;=35,"26–35",A1238&lt;=45,"36–45",A1238&gt;45,"46+")</f>
        <v>36–45</v>
      </c>
      <c r="AK1238" t="str" cm="1">
        <f t="array" ref="AK1238">_xlfn.IFS(S1238&lt;=3000,"Low",S1238&lt;=7000,"Mid",S1238&lt;=12000,"High",S1238&gt;12000,"Top")</f>
        <v>Mid</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_xlfn.IFS(A1239&lt;=25,"Under 25",A1239&lt;=35,"26–35",A1239&lt;=45,"36–45",A1239&gt;45,"46+")</f>
        <v>26–35</v>
      </c>
      <c r="AK1239" t="str" cm="1">
        <f t="array" ref="AK1239">_xlfn.IFS(S1239&lt;=3000,"Low",S1239&lt;=7000,"Mid",S1239&lt;=12000,"High",S1239&gt;12000,"Top")</f>
        <v>Mid</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_xlfn.IFS(A1240&lt;=25,"Under 25",A1240&lt;=35,"26–35",A1240&lt;=45,"36–45",A1240&gt;45,"46+")</f>
        <v>Under 25</v>
      </c>
      <c r="AK1240" t="str" cm="1">
        <f t="array" ref="AK1240">_xlfn.IFS(S1240&lt;=3000,"Low",S1240&lt;=7000,"Mid",S1240&lt;=12000,"High",S1240&gt;12000,"Top")</f>
        <v>Mid</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_xlfn.IFS(A1241&lt;=25,"Under 25",A1241&lt;=35,"26–35",A1241&lt;=45,"36–45",A1241&gt;45,"46+")</f>
        <v>26–35</v>
      </c>
      <c r="AK1241" t="str" cm="1">
        <f t="array" ref="AK1241">_xlfn.IFS(S1241&lt;=3000,"Low",S1241&lt;=7000,"Mid",S1241&lt;=12000,"High",S1241&gt;12000,"Top")</f>
        <v>Mid</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_xlfn.IFS(A1242&lt;=25,"Under 25",A1242&lt;=35,"26–35",A1242&lt;=45,"36–45",A1242&gt;45,"46+")</f>
        <v>36–45</v>
      </c>
      <c r="AK1242" t="str" cm="1">
        <f t="array" ref="AK1242">_xlfn.IFS(S1242&lt;=3000,"Low",S1242&lt;=7000,"Mid",S1242&lt;=12000,"High",S1242&gt;12000,"Top")</f>
        <v>Mid</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_xlfn.IFS(A1243&lt;=25,"Under 25",A1243&lt;=35,"26–35",A1243&lt;=45,"36–45",A1243&gt;45,"46+")</f>
        <v>26–35</v>
      </c>
      <c r="AK1243" t="str" cm="1">
        <f t="array" ref="AK1243">_xlfn.IFS(S1243&lt;=3000,"Low",S1243&lt;=7000,"Mid",S1243&lt;=12000,"High",S1243&gt;12000,"Top")</f>
        <v>High</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_xlfn.IFS(A1244&lt;=25,"Under 25",A1244&lt;=35,"26–35",A1244&lt;=45,"36–45",A1244&gt;45,"46+")</f>
        <v>36–45</v>
      </c>
      <c r="AK1244" t="str" cm="1">
        <f t="array" ref="AK1244">_xlfn.IFS(S1244&lt;=3000,"Low",S1244&lt;=7000,"Mid",S1244&lt;=12000,"High",S1244&gt;12000,"Top")</f>
        <v>Top</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_xlfn.IFS(A1245&lt;=25,"Under 25",A1245&lt;=35,"26–35",A1245&lt;=45,"36–45",A1245&gt;45,"46+")</f>
        <v>36–45</v>
      </c>
      <c r="AK1245" t="str" cm="1">
        <f t="array" ref="AK1245">_xlfn.IFS(S1245&lt;=3000,"Low",S1245&lt;=7000,"Mid",S1245&lt;=12000,"High",S1245&gt;12000,"Top")</f>
        <v>High</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_xlfn.IFS(A1246&lt;=25,"Under 25",A1246&lt;=35,"26–35",A1246&lt;=45,"36–45",A1246&gt;45,"46+")</f>
        <v>26–35</v>
      </c>
      <c r="AK1246" t="str" cm="1">
        <f t="array" ref="AK1246">_xlfn.IFS(S1246&lt;=3000,"Low",S1246&lt;=7000,"Mid",S1246&lt;=12000,"High",S1246&gt;12000,"Top")</f>
        <v>Mid</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_xlfn.IFS(A1247&lt;=25,"Under 25",A1247&lt;=35,"26–35",A1247&lt;=45,"36–45",A1247&gt;45,"46+")</f>
        <v>Under 25</v>
      </c>
      <c r="AK1247" t="str" cm="1">
        <f t="array" ref="AK1247">_xlfn.IFS(S1247&lt;=3000,"Low",S1247&lt;=7000,"Mid",S1247&lt;=12000,"High",S1247&gt;12000,"Top")</f>
        <v>Low</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_xlfn.IFS(A1248&lt;=25,"Under 25",A1248&lt;=35,"26–35",A1248&lt;=45,"36–45",A1248&gt;45,"46+")</f>
        <v>26–35</v>
      </c>
      <c r="AK1248" t="str" cm="1">
        <f t="array" ref="AK1248">_xlfn.IFS(S1248&lt;=3000,"Low",S1248&lt;=7000,"Mid",S1248&lt;=12000,"High",S1248&gt;12000,"Top")</f>
        <v>Low</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_xlfn.IFS(A1249&lt;=25,"Under 25",A1249&lt;=35,"26–35",A1249&lt;=45,"36–45",A1249&gt;45,"46+")</f>
        <v>26–35</v>
      </c>
      <c r="AK1249" t="str" cm="1">
        <f t="array" ref="AK1249">_xlfn.IFS(S1249&lt;=3000,"Low",S1249&lt;=7000,"Mid",S1249&lt;=12000,"High",S1249&gt;12000,"Top")</f>
        <v>High</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_xlfn.IFS(A1250&lt;=25,"Under 25",A1250&lt;=35,"26–35",A1250&lt;=45,"36–45",A1250&gt;45,"46+")</f>
        <v>26–35</v>
      </c>
      <c r="AK1250" t="str" cm="1">
        <f t="array" ref="AK1250">_xlfn.IFS(S1250&lt;=3000,"Low",S1250&lt;=7000,"Mid",S1250&lt;=12000,"High",S1250&gt;12000,"Top")</f>
        <v>Mid</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_xlfn.IFS(A1251&lt;=25,"Under 25",A1251&lt;=35,"26–35",A1251&lt;=45,"36–45",A1251&gt;45,"46+")</f>
        <v>26–35</v>
      </c>
      <c r="AK1251" t="str" cm="1">
        <f t="array" ref="AK1251">_xlfn.IFS(S1251&lt;=3000,"Low",S1251&lt;=7000,"Mid",S1251&lt;=12000,"High",S1251&gt;12000,"Top")</f>
        <v>Low</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_xlfn.IFS(A1252&lt;=25,"Under 25",A1252&lt;=35,"26–35",A1252&lt;=45,"36–45",A1252&gt;45,"46+")</f>
        <v>26–35</v>
      </c>
      <c r="AK1252" t="str" cm="1">
        <f t="array" ref="AK1252">_xlfn.IFS(S1252&lt;=3000,"Low",S1252&lt;=7000,"Mid",S1252&lt;=12000,"High",S1252&gt;12000,"Top")</f>
        <v>Mid</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_xlfn.IFS(A1253&lt;=25,"Under 25",A1253&lt;=35,"26–35",A1253&lt;=45,"36–45",A1253&gt;45,"46+")</f>
        <v>26–35</v>
      </c>
      <c r="AK1253" t="str" cm="1">
        <f t="array" ref="AK1253">_xlfn.IFS(S1253&lt;=3000,"Low",S1253&lt;=7000,"Mid",S1253&lt;=12000,"High",S1253&gt;12000,"Top")</f>
        <v>High</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_xlfn.IFS(A1254&lt;=25,"Under 25",A1254&lt;=35,"26–35",A1254&lt;=45,"36–45",A1254&gt;45,"46+")</f>
        <v>26–35</v>
      </c>
      <c r="AK1254" t="str" cm="1">
        <f t="array" ref="AK1254">_xlfn.IFS(S1254&lt;=3000,"Low",S1254&lt;=7000,"Mid",S1254&lt;=12000,"High",S1254&gt;12000,"Top")</f>
        <v>Low</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_xlfn.IFS(A1255&lt;=25,"Under 25",A1255&lt;=35,"26–35",A1255&lt;=45,"36–45",A1255&gt;45,"46+")</f>
        <v>26–35</v>
      </c>
      <c r="AK1255" t="str" cm="1">
        <f t="array" ref="AK1255">_xlfn.IFS(S1255&lt;=3000,"Low",S1255&lt;=7000,"Mid",S1255&lt;=12000,"High",S1255&gt;12000,"Top")</f>
        <v>Mid</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_xlfn.IFS(A1256&lt;=25,"Under 25",A1256&lt;=35,"26–35",A1256&lt;=45,"36–45",A1256&gt;45,"46+")</f>
        <v>46+</v>
      </c>
      <c r="AK1256" t="str" cm="1">
        <f t="array" ref="AK1256">_xlfn.IFS(S1256&lt;=3000,"Low",S1256&lt;=7000,"Mid",S1256&lt;=12000,"High",S1256&gt;12000,"Top")</f>
        <v>Mid</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_xlfn.IFS(A1257&lt;=25,"Under 25",A1257&lt;=35,"26–35",A1257&lt;=45,"36–45",A1257&gt;45,"46+")</f>
        <v>26–35</v>
      </c>
      <c r="AK1257" t="str" cm="1">
        <f t="array" ref="AK1257">_xlfn.IFS(S1257&lt;=3000,"Low",S1257&lt;=7000,"Mid",S1257&lt;=12000,"High",S1257&gt;12000,"Top")</f>
        <v>High</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_xlfn.IFS(A1258&lt;=25,"Under 25",A1258&lt;=35,"26–35",A1258&lt;=45,"36–45",A1258&gt;45,"46+")</f>
        <v>36–45</v>
      </c>
      <c r="AK1258" t="str" cm="1">
        <f t="array" ref="AK1258">_xlfn.IFS(S1258&lt;=3000,"Low",S1258&lt;=7000,"Mid",S1258&lt;=12000,"High",S1258&gt;12000,"Top")</f>
        <v>Low</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_xlfn.IFS(A1259&lt;=25,"Under 25",A1259&lt;=35,"26–35",A1259&lt;=45,"36–45",A1259&gt;45,"46+")</f>
        <v>26–35</v>
      </c>
      <c r="AK1259" t="str" cm="1">
        <f t="array" ref="AK1259">_xlfn.IFS(S1259&lt;=3000,"Low",S1259&lt;=7000,"Mid",S1259&lt;=12000,"High",S1259&gt;12000,"Top")</f>
        <v>High</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_xlfn.IFS(A1260&lt;=25,"Under 25",A1260&lt;=35,"26–35",A1260&lt;=45,"36–45",A1260&gt;45,"46+")</f>
        <v>26–35</v>
      </c>
      <c r="AK1260" t="str" cm="1">
        <f t="array" ref="AK1260">_xlfn.IFS(S1260&lt;=3000,"Low",S1260&lt;=7000,"Mid",S1260&lt;=12000,"High",S1260&gt;12000,"Top")</f>
        <v>Low</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_xlfn.IFS(A1261&lt;=25,"Under 25",A1261&lt;=35,"26–35",A1261&lt;=45,"36–45",A1261&gt;45,"46+")</f>
        <v>26–35</v>
      </c>
      <c r="AK1261" t="str" cm="1">
        <f t="array" ref="AK1261">_xlfn.IFS(S1261&lt;=3000,"Low",S1261&lt;=7000,"Mid",S1261&lt;=12000,"High",S1261&gt;12000,"Top")</f>
        <v>Mid</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_xlfn.IFS(A1262&lt;=25,"Under 25",A1262&lt;=35,"26–35",A1262&lt;=45,"36–45",A1262&gt;45,"46+")</f>
        <v>26–35</v>
      </c>
      <c r="AK1262" t="str" cm="1">
        <f t="array" ref="AK1262">_xlfn.IFS(S1262&lt;=3000,"Low",S1262&lt;=7000,"Mid",S1262&lt;=12000,"High",S1262&gt;12000,"Top")</f>
        <v>Low</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_xlfn.IFS(A1263&lt;=25,"Under 25",A1263&lt;=35,"26–35",A1263&lt;=45,"36–45",A1263&gt;45,"46+")</f>
        <v>36–45</v>
      </c>
      <c r="AK1263" t="str" cm="1">
        <f t="array" ref="AK1263">_xlfn.IFS(S1263&lt;=3000,"Low",S1263&lt;=7000,"Mid",S1263&lt;=12000,"High",S1263&gt;12000,"Top")</f>
        <v>Mid</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_xlfn.IFS(A1264&lt;=25,"Under 25",A1264&lt;=35,"26–35",A1264&lt;=45,"36–45",A1264&gt;45,"46+")</f>
        <v>36–45</v>
      </c>
      <c r="AK1264" t="str" cm="1">
        <f t="array" ref="AK1264">_xlfn.IFS(S1264&lt;=3000,"Low",S1264&lt;=7000,"Mid",S1264&lt;=12000,"High",S1264&gt;12000,"Top")</f>
        <v>Low</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_xlfn.IFS(A1265&lt;=25,"Under 25",A1265&lt;=35,"26–35",A1265&lt;=45,"36–45",A1265&gt;45,"46+")</f>
        <v>36–45</v>
      </c>
      <c r="AK1265" t="str" cm="1">
        <f t="array" ref="AK1265">_xlfn.IFS(S1265&lt;=3000,"Low",S1265&lt;=7000,"Mid",S1265&lt;=12000,"High",S1265&gt;12000,"Top")</f>
        <v>Low</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_xlfn.IFS(A1266&lt;=25,"Under 25",A1266&lt;=35,"26–35",A1266&lt;=45,"36–45",A1266&gt;45,"46+")</f>
        <v>46+</v>
      </c>
      <c r="AK1266" t="str" cm="1">
        <f t="array" ref="AK1266">_xlfn.IFS(S1266&lt;=3000,"Low",S1266&lt;=7000,"Mid",S1266&lt;=12000,"High",S1266&gt;12000,"Top")</f>
        <v>Top</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_xlfn.IFS(A1267&lt;=25,"Under 25",A1267&lt;=35,"26–35",A1267&lt;=45,"36–45",A1267&gt;45,"46+")</f>
        <v>26–35</v>
      </c>
      <c r="AK1267" t="str" cm="1">
        <f t="array" ref="AK1267">_xlfn.IFS(S1267&lt;=3000,"Low",S1267&lt;=7000,"Mid",S1267&lt;=12000,"High",S1267&gt;12000,"Top")</f>
        <v>Mid</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_xlfn.IFS(A1268&lt;=25,"Under 25",A1268&lt;=35,"26–35",A1268&lt;=45,"36–45",A1268&gt;45,"46+")</f>
        <v>36–45</v>
      </c>
      <c r="AK1268" t="str" cm="1">
        <f t="array" ref="AK1268">_xlfn.IFS(S1268&lt;=3000,"Low",S1268&lt;=7000,"Mid",S1268&lt;=12000,"High",S1268&gt;12000,"Top")</f>
        <v>Low</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_xlfn.IFS(A1269&lt;=25,"Under 25",A1269&lt;=35,"26–35",A1269&lt;=45,"36–45",A1269&gt;45,"46+")</f>
        <v>26–35</v>
      </c>
      <c r="AK1269" t="str" cm="1">
        <f t="array" ref="AK1269">_xlfn.IFS(S1269&lt;=3000,"Low",S1269&lt;=7000,"Mid",S1269&lt;=12000,"High",S1269&gt;12000,"Top")</f>
        <v>Mid</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_xlfn.IFS(A1270&lt;=25,"Under 25",A1270&lt;=35,"26–35",A1270&lt;=45,"36–45",A1270&gt;45,"46+")</f>
        <v>46+</v>
      </c>
      <c r="AK1270" t="str" cm="1">
        <f t="array" ref="AK1270">_xlfn.IFS(S1270&lt;=3000,"Low",S1270&lt;=7000,"Mid",S1270&lt;=12000,"High",S1270&gt;12000,"Top")</f>
        <v>Top</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_xlfn.IFS(A1271&lt;=25,"Under 25",A1271&lt;=35,"26–35",A1271&lt;=45,"36–45",A1271&gt;45,"46+")</f>
        <v>36–45</v>
      </c>
      <c r="AK1271" t="str" cm="1">
        <f t="array" ref="AK1271">_xlfn.IFS(S1271&lt;=3000,"Low",S1271&lt;=7000,"Mid",S1271&lt;=12000,"High",S1271&gt;12000,"Top")</f>
        <v>Mid</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_xlfn.IFS(A1272&lt;=25,"Under 25",A1272&lt;=35,"26–35",A1272&lt;=45,"36–45",A1272&gt;45,"46+")</f>
        <v>26–35</v>
      </c>
      <c r="AK1272" t="str" cm="1">
        <f t="array" ref="AK1272">_xlfn.IFS(S1272&lt;=3000,"Low",S1272&lt;=7000,"Mid",S1272&lt;=12000,"High",S1272&gt;12000,"Top")</f>
        <v>Mid</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_xlfn.IFS(A1273&lt;=25,"Under 25",A1273&lt;=35,"26–35",A1273&lt;=45,"36–45",A1273&gt;45,"46+")</f>
        <v>Under 25</v>
      </c>
      <c r="AK1273" t="str" cm="1">
        <f t="array" ref="AK1273">_xlfn.IFS(S1273&lt;=3000,"Low",S1273&lt;=7000,"Mid",S1273&lt;=12000,"High",S1273&gt;12000,"Top")</f>
        <v>Low</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_xlfn.IFS(A1274&lt;=25,"Under 25",A1274&lt;=35,"26–35",A1274&lt;=45,"36–45",A1274&gt;45,"46+")</f>
        <v>36–45</v>
      </c>
      <c r="AK1274" t="str" cm="1">
        <f t="array" ref="AK1274">_xlfn.IFS(S1274&lt;=3000,"Low",S1274&lt;=7000,"Mid",S1274&lt;=12000,"High",S1274&gt;12000,"Top")</f>
        <v>Mid</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_xlfn.IFS(A1275&lt;=25,"Under 25",A1275&lt;=35,"26–35",A1275&lt;=45,"36–45",A1275&gt;45,"46+")</f>
        <v>Under 25</v>
      </c>
      <c r="AK1275" t="str" cm="1">
        <f t="array" ref="AK1275">_xlfn.IFS(S1275&lt;=3000,"Low",S1275&lt;=7000,"Mid",S1275&lt;=12000,"High",S1275&gt;12000,"Top")</f>
        <v>Low</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_xlfn.IFS(A1276&lt;=25,"Under 25",A1276&lt;=35,"26–35",A1276&lt;=45,"36–45",A1276&gt;45,"46+")</f>
        <v>26–35</v>
      </c>
      <c r="AK1276" t="str" cm="1">
        <f t="array" ref="AK1276">_xlfn.IFS(S1276&lt;=3000,"Low",S1276&lt;=7000,"Mid",S1276&lt;=12000,"High",S1276&gt;12000,"Top")</f>
        <v>Mid</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_xlfn.IFS(A1277&lt;=25,"Under 25",A1277&lt;=35,"26–35",A1277&lt;=45,"36–45",A1277&gt;45,"46+")</f>
        <v>46+</v>
      </c>
      <c r="AK1277" t="str" cm="1">
        <f t="array" ref="AK1277">_xlfn.IFS(S1277&lt;=3000,"Low",S1277&lt;=7000,"Mid",S1277&lt;=12000,"High",S1277&gt;12000,"Top")</f>
        <v>Top</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_xlfn.IFS(A1278&lt;=25,"Under 25",A1278&lt;=35,"26–35",A1278&lt;=45,"36–45",A1278&gt;45,"46+")</f>
        <v>36–45</v>
      </c>
      <c r="AK1278" t="str" cm="1">
        <f t="array" ref="AK1278">_xlfn.IFS(S1278&lt;=3000,"Low",S1278&lt;=7000,"Mid",S1278&lt;=12000,"High",S1278&gt;12000,"Top")</f>
        <v>Mid</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_xlfn.IFS(A1279&lt;=25,"Under 25",A1279&lt;=35,"26–35",A1279&lt;=45,"36–45",A1279&gt;45,"46+")</f>
        <v>46+</v>
      </c>
      <c r="AK1279" t="str" cm="1">
        <f t="array" ref="AK1279">_xlfn.IFS(S1279&lt;=3000,"Low",S1279&lt;=7000,"Mid",S1279&lt;=12000,"High",S1279&gt;12000,"Top")</f>
        <v>Top</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_xlfn.IFS(A1280&lt;=25,"Under 25",A1280&lt;=35,"26–35",A1280&lt;=45,"36–45",A1280&gt;45,"46+")</f>
        <v>36–45</v>
      </c>
      <c r="AK1280" t="str" cm="1">
        <f t="array" ref="AK1280">_xlfn.IFS(S1280&lt;=3000,"Low",S1280&lt;=7000,"Mid",S1280&lt;=12000,"High",S1280&gt;12000,"Top")</f>
        <v>High</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_xlfn.IFS(A1281&lt;=25,"Under 25",A1281&lt;=35,"26–35",A1281&lt;=45,"36–45",A1281&gt;45,"46+")</f>
        <v>36–45</v>
      </c>
      <c r="AK1281" t="str" cm="1">
        <f t="array" ref="AK1281">_xlfn.IFS(S1281&lt;=3000,"Low",S1281&lt;=7000,"Mid",S1281&lt;=12000,"High",S1281&gt;12000,"Top")</f>
        <v>Low</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_xlfn.IFS(A1282&lt;=25,"Under 25",A1282&lt;=35,"26–35",A1282&lt;=45,"36–45",A1282&gt;45,"46+")</f>
        <v>36–45</v>
      </c>
      <c r="AK1282" t="str" cm="1">
        <f t="array" ref="AK1282">_xlfn.IFS(S1282&lt;=3000,"Low",S1282&lt;=7000,"Mid",S1282&lt;=12000,"High",S1282&gt;12000,"Top")</f>
        <v>Mid</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_xlfn.IFS(A1283&lt;=25,"Under 25",A1283&lt;=35,"26–35",A1283&lt;=45,"36–45",A1283&gt;45,"46+")</f>
        <v>26–35</v>
      </c>
      <c r="AK1283" t="str" cm="1">
        <f t="array" ref="AK1283">_xlfn.IFS(S1283&lt;=3000,"Low",S1283&lt;=7000,"Mid",S1283&lt;=12000,"High",S1283&gt;12000,"Top")</f>
        <v>Mid</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_xlfn.IFS(A1284&lt;=25,"Under 25",A1284&lt;=35,"26–35",A1284&lt;=45,"36–45",A1284&gt;45,"46+")</f>
        <v>26–35</v>
      </c>
      <c r="AK1284" t="str" cm="1">
        <f t="array" ref="AK1284">_xlfn.IFS(S1284&lt;=3000,"Low",S1284&lt;=7000,"Mid",S1284&lt;=12000,"High",S1284&gt;12000,"Top")</f>
        <v>Mid</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_xlfn.IFS(A1285&lt;=25,"Under 25",A1285&lt;=35,"26–35",A1285&lt;=45,"36–45",A1285&gt;45,"46+")</f>
        <v>26–35</v>
      </c>
      <c r="AK1285" t="str" cm="1">
        <f t="array" ref="AK1285">_xlfn.IFS(S1285&lt;=3000,"Low",S1285&lt;=7000,"Mid",S1285&lt;=12000,"High",S1285&gt;12000,"Top")</f>
        <v>Low</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_xlfn.IFS(A1286&lt;=25,"Under 25",A1286&lt;=35,"26–35",A1286&lt;=45,"36–45",A1286&gt;45,"46+")</f>
        <v>36–45</v>
      </c>
      <c r="AK1286" t="str" cm="1">
        <f t="array" ref="AK1286">_xlfn.IFS(S1286&lt;=3000,"Low",S1286&lt;=7000,"Mid",S1286&lt;=12000,"High",S1286&gt;12000,"Top")</f>
        <v>Top</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_xlfn.IFS(A1287&lt;=25,"Under 25",A1287&lt;=35,"26–35",A1287&lt;=45,"36–45",A1287&gt;45,"46+")</f>
        <v>46+</v>
      </c>
      <c r="AK1287" t="str" cm="1">
        <f t="array" ref="AK1287">_xlfn.IFS(S1287&lt;=3000,"Low",S1287&lt;=7000,"Mid",S1287&lt;=12000,"High",S1287&gt;12000,"Top")</f>
        <v>High</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_xlfn.IFS(A1288&lt;=25,"Under 25",A1288&lt;=35,"26–35",A1288&lt;=45,"36–45",A1288&gt;45,"46+")</f>
        <v>36–45</v>
      </c>
      <c r="AK1288" t="str" cm="1">
        <f t="array" ref="AK1288">_xlfn.IFS(S1288&lt;=3000,"Low",S1288&lt;=7000,"Mid",S1288&lt;=12000,"High",S1288&gt;12000,"Top")</f>
        <v>Mid</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_xlfn.IFS(A1289&lt;=25,"Under 25",A1289&lt;=35,"26–35",A1289&lt;=45,"36–45",A1289&gt;45,"46+")</f>
        <v>36–45</v>
      </c>
      <c r="AK1289" t="str" cm="1">
        <f t="array" ref="AK1289">_xlfn.IFS(S1289&lt;=3000,"Low",S1289&lt;=7000,"Mid",S1289&lt;=12000,"High",S1289&gt;12000,"Top")</f>
        <v>Mid</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_xlfn.IFS(A1290&lt;=25,"Under 25",A1290&lt;=35,"26–35",A1290&lt;=45,"36–45",A1290&gt;45,"46+")</f>
        <v>26–35</v>
      </c>
      <c r="AK1290" t="str" cm="1">
        <f t="array" ref="AK1290">_xlfn.IFS(S1290&lt;=3000,"Low",S1290&lt;=7000,"Mid",S1290&lt;=12000,"High",S1290&gt;12000,"Top")</f>
        <v>Mid</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_xlfn.IFS(A1291&lt;=25,"Under 25",A1291&lt;=35,"26–35",A1291&lt;=45,"36–45",A1291&gt;45,"46+")</f>
        <v>36–45</v>
      </c>
      <c r="AK1291" t="str" cm="1">
        <f t="array" ref="AK1291">_xlfn.IFS(S1291&lt;=3000,"Low",S1291&lt;=7000,"Mid",S1291&lt;=12000,"High",S1291&gt;12000,"Top")</f>
        <v>Low</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_xlfn.IFS(A1292&lt;=25,"Under 25",A1292&lt;=35,"26–35",A1292&lt;=45,"36–45",A1292&gt;45,"46+")</f>
        <v>26–35</v>
      </c>
      <c r="AK1292" t="str" cm="1">
        <f t="array" ref="AK1292">_xlfn.IFS(S1292&lt;=3000,"Low",S1292&lt;=7000,"Mid",S1292&lt;=12000,"High",S1292&gt;12000,"Top")</f>
        <v>Mid</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_xlfn.IFS(A1293&lt;=25,"Under 25",A1293&lt;=35,"26–35",A1293&lt;=45,"36–45",A1293&gt;45,"46+")</f>
        <v>36–45</v>
      </c>
      <c r="AK1293" t="str" cm="1">
        <f t="array" ref="AK1293">_xlfn.IFS(S1293&lt;=3000,"Low",S1293&lt;=7000,"Mid",S1293&lt;=12000,"High",S1293&gt;12000,"Top")</f>
        <v>Mid</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_xlfn.IFS(A1294&lt;=25,"Under 25",A1294&lt;=35,"26–35",A1294&lt;=45,"36–45",A1294&gt;45,"46+")</f>
        <v>36–45</v>
      </c>
      <c r="AK1294" t="str" cm="1">
        <f t="array" ref="AK1294">_xlfn.IFS(S1294&lt;=3000,"Low",S1294&lt;=7000,"Mid",S1294&lt;=12000,"High",S1294&gt;12000,"Top")</f>
        <v>Mid</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_xlfn.IFS(A1295&lt;=25,"Under 25",A1295&lt;=35,"26–35",A1295&lt;=45,"36–45",A1295&gt;45,"46+")</f>
        <v>36–45</v>
      </c>
      <c r="AK1295" t="str" cm="1">
        <f t="array" ref="AK1295">_xlfn.IFS(S1295&lt;=3000,"Low",S1295&lt;=7000,"Mid",S1295&lt;=12000,"High",S1295&gt;12000,"Top")</f>
        <v>Low</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_xlfn.IFS(A1296&lt;=25,"Under 25",A1296&lt;=35,"26–35",A1296&lt;=45,"36–45",A1296&gt;45,"46+")</f>
        <v>36–45</v>
      </c>
      <c r="AK1296" t="str" cm="1">
        <f t="array" ref="AK1296">_xlfn.IFS(S1296&lt;=3000,"Low",S1296&lt;=7000,"Mid",S1296&lt;=12000,"High",S1296&gt;12000,"Top")</f>
        <v>Mid</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_xlfn.IFS(A1297&lt;=25,"Under 25",A1297&lt;=35,"26–35",A1297&lt;=45,"36–45",A1297&gt;45,"46+")</f>
        <v>36–45</v>
      </c>
      <c r="AK1297" t="str" cm="1">
        <f t="array" ref="AK1297">_xlfn.IFS(S1297&lt;=3000,"Low",S1297&lt;=7000,"Mid",S1297&lt;=12000,"High",S1297&gt;12000,"Top")</f>
        <v>High</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_xlfn.IFS(A1298&lt;=25,"Under 25",A1298&lt;=35,"26–35",A1298&lt;=45,"36–45",A1298&gt;45,"46+")</f>
        <v>26–35</v>
      </c>
      <c r="AK1298" t="str" cm="1">
        <f t="array" ref="AK1298">_xlfn.IFS(S1298&lt;=3000,"Low",S1298&lt;=7000,"Mid",S1298&lt;=12000,"High",S1298&gt;12000,"Top")</f>
        <v>High</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_xlfn.IFS(A1299&lt;=25,"Under 25",A1299&lt;=35,"26–35",A1299&lt;=45,"36–45",A1299&gt;45,"46+")</f>
        <v>26–35</v>
      </c>
      <c r="AK1299" t="str" cm="1">
        <f t="array" ref="AK1299">_xlfn.IFS(S1299&lt;=3000,"Low",S1299&lt;=7000,"Mid",S1299&lt;=12000,"High",S1299&gt;12000,"Top")</f>
        <v>Low</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_xlfn.IFS(A1300&lt;=25,"Under 25",A1300&lt;=35,"26–35",A1300&lt;=45,"36–45",A1300&gt;45,"46+")</f>
        <v>46+</v>
      </c>
      <c r="AK1300" t="str" cm="1">
        <f t="array" ref="AK1300">_xlfn.IFS(S1300&lt;=3000,"Low",S1300&lt;=7000,"Mid",S1300&lt;=12000,"High",S1300&gt;12000,"Top")</f>
        <v>High</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_xlfn.IFS(A1301&lt;=25,"Under 25",A1301&lt;=35,"26–35",A1301&lt;=45,"36–45",A1301&gt;45,"46+")</f>
        <v>36–45</v>
      </c>
      <c r="AK1301" t="str" cm="1">
        <f t="array" ref="AK1301">_xlfn.IFS(S1301&lt;=3000,"Low",S1301&lt;=7000,"Mid",S1301&lt;=12000,"High",S1301&gt;12000,"Top")</f>
        <v>Mid</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_xlfn.IFS(A1302&lt;=25,"Under 25",A1302&lt;=35,"26–35",A1302&lt;=45,"36–45",A1302&gt;45,"46+")</f>
        <v>26–35</v>
      </c>
      <c r="AK1302" t="str" cm="1">
        <f t="array" ref="AK1302">_xlfn.IFS(S1302&lt;=3000,"Low",S1302&lt;=7000,"Mid",S1302&lt;=12000,"High",S1302&gt;12000,"Top")</f>
        <v>Mid</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_xlfn.IFS(A1303&lt;=25,"Under 25",A1303&lt;=35,"26–35",A1303&lt;=45,"36–45",A1303&gt;45,"46+")</f>
        <v>46+</v>
      </c>
      <c r="AK1303" t="str" cm="1">
        <f t="array" ref="AK1303">_xlfn.IFS(S1303&lt;=3000,"Low",S1303&lt;=7000,"Mid",S1303&lt;=12000,"High",S1303&gt;12000,"Top")</f>
        <v>Top</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_xlfn.IFS(A1304&lt;=25,"Under 25",A1304&lt;=35,"26–35",A1304&lt;=45,"36–45",A1304&gt;45,"46+")</f>
        <v>26–35</v>
      </c>
      <c r="AK1304" t="str" cm="1">
        <f t="array" ref="AK1304">_xlfn.IFS(S1304&lt;=3000,"Low",S1304&lt;=7000,"Mid",S1304&lt;=12000,"High",S1304&gt;12000,"Top")</f>
        <v>Low</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_xlfn.IFS(A1305&lt;=25,"Under 25",A1305&lt;=35,"26–35",A1305&lt;=45,"36–45",A1305&gt;45,"46+")</f>
        <v>46+</v>
      </c>
      <c r="AK1305" t="str" cm="1">
        <f t="array" ref="AK1305">_xlfn.IFS(S1305&lt;=3000,"Low",S1305&lt;=7000,"Mid",S1305&lt;=12000,"High",S1305&gt;12000,"Top")</f>
        <v>High</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_xlfn.IFS(A1306&lt;=25,"Under 25",A1306&lt;=35,"26–35",A1306&lt;=45,"36–45",A1306&gt;45,"46+")</f>
        <v>36–45</v>
      </c>
      <c r="AK1306" t="str" cm="1">
        <f t="array" ref="AK1306">_xlfn.IFS(S1306&lt;=3000,"Low",S1306&lt;=7000,"Mid",S1306&lt;=12000,"High",S1306&gt;12000,"Top")</f>
        <v>Mid</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_xlfn.IFS(A1307&lt;=25,"Under 25",A1307&lt;=35,"26–35",A1307&lt;=45,"36–45",A1307&gt;45,"46+")</f>
        <v>46+</v>
      </c>
      <c r="AK1307" t="str" cm="1">
        <f t="array" ref="AK1307">_xlfn.IFS(S1307&lt;=3000,"Low",S1307&lt;=7000,"Mid",S1307&lt;=12000,"High",S1307&gt;12000,"Top")</f>
        <v>Mid</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_xlfn.IFS(A1308&lt;=25,"Under 25",A1308&lt;=35,"26–35",A1308&lt;=45,"36–45",A1308&gt;45,"46+")</f>
        <v>26–35</v>
      </c>
      <c r="AK1308" t="str" cm="1">
        <f t="array" ref="AK1308">_xlfn.IFS(S1308&lt;=3000,"Low",S1308&lt;=7000,"Mid",S1308&lt;=12000,"High",S1308&gt;12000,"Top")</f>
        <v>High</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_xlfn.IFS(A1309&lt;=25,"Under 25",A1309&lt;=35,"26–35",A1309&lt;=45,"36–45",A1309&gt;45,"46+")</f>
        <v>26–35</v>
      </c>
      <c r="AK1309" t="str" cm="1">
        <f t="array" ref="AK1309">_xlfn.IFS(S1309&lt;=3000,"Low",S1309&lt;=7000,"Mid",S1309&lt;=12000,"High",S1309&gt;12000,"Top")</f>
        <v>Mid</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_xlfn.IFS(A1310&lt;=25,"Under 25",A1310&lt;=35,"26–35",A1310&lt;=45,"36–45",A1310&gt;45,"46+")</f>
        <v>36–45</v>
      </c>
      <c r="AK1310" t="str" cm="1">
        <f t="array" ref="AK1310">_xlfn.IFS(S1310&lt;=3000,"Low",S1310&lt;=7000,"Mid",S1310&lt;=12000,"High",S1310&gt;12000,"Top")</f>
        <v>Mid</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_xlfn.IFS(A1311&lt;=25,"Under 25",A1311&lt;=35,"26–35",A1311&lt;=45,"36–45",A1311&gt;45,"46+")</f>
        <v>26–35</v>
      </c>
      <c r="AK1311" t="str" cm="1">
        <f t="array" ref="AK1311">_xlfn.IFS(S1311&lt;=3000,"Low",S1311&lt;=7000,"Mid",S1311&lt;=12000,"High",S1311&gt;12000,"Top")</f>
        <v>Mid</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_xlfn.IFS(A1312&lt;=25,"Under 25",A1312&lt;=35,"26–35",A1312&lt;=45,"36–45",A1312&gt;45,"46+")</f>
        <v>46+</v>
      </c>
      <c r="AK1312" t="str" cm="1">
        <f t="array" ref="AK1312">_xlfn.IFS(S1312&lt;=3000,"Low",S1312&lt;=7000,"Mid",S1312&lt;=12000,"High",S1312&gt;12000,"Top")</f>
        <v>Top</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_xlfn.IFS(A1313&lt;=25,"Under 25",A1313&lt;=35,"26–35",A1313&lt;=45,"36–45",A1313&gt;45,"46+")</f>
        <v>Under 25</v>
      </c>
      <c r="AK1313" t="str" cm="1">
        <f t="array" ref="AK1313">_xlfn.IFS(S1313&lt;=3000,"Low",S1313&lt;=7000,"Mid",S1313&lt;=12000,"High",S1313&gt;12000,"Top")</f>
        <v>Low</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_xlfn.IFS(A1314&lt;=25,"Under 25",A1314&lt;=35,"26–35",A1314&lt;=45,"36–45",A1314&gt;45,"46+")</f>
        <v>26–35</v>
      </c>
      <c r="AK1314" t="str" cm="1">
        <f t="array" ref="AK1314">_xlfn.IFS(S1314&lt;=3000,"Low",S1314&lt;=7000,"Mid",S1314&lt;=12000,"High",S1314&gt;12000,"Top")</f>
        <v>Low</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_xlfn.IFS(A1315&lt;=25,"Under 25",A1315&lt;=35,"26–35",A1315&lt;=45,"36–45",A1315&gt;45,"46+")</f>
        <v>26–35</v>
      </c>
      <c r="AK1315" t="str" cm="1">
        <f t="array" ref="AK1315">_xlfn.IFS(S1315&lt;=3000,"Low",S1315&lt;=7000,"Mid",S1315&lt;=12000,"High",S1315&gt;12000,"Top")</f>
        <v>Low</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_xlfn.IFS(A1316&lt;=25,"Under 25",A1316&lt;=35,"26–35",A1316&lt;=45,"36–45",A1316&gt;45,"46+")</f>
        <v>36–45</v>
      </c>
      <c r="AK1316" t="str" cm="1">
        <f t="array" ref="AK1316">_xlfn.IFS(S1316&lt;=3000,"Low",S1316&lt;=7000,"Mid",S1316&lt;=12000,"High",S1316&gt;12000,"Top")</f>
        <v>Mid</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_xlfn.IFS(A1317&lt;=25,"Under 25",A1317&lt;=35,"26–35",A1317&lt;=45,"36–45",A1317&gt;45,"46+")</f>
        <v>36–45</v>
      </c>
      <c r="AK1317" t="str" cm="1">
        <f t="array" ref="AK1317">_xlfn.IFS(S1317&lt;=3000,"Low",S1317&lt;=7000,"Mid",S1317&lt;=12000,"High",S1317&gt;12000,"Top")</f>
        <v>Mid</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_xlfn.IFS(A1318&lt;=25,"Under 25",A1318&lt;=35,"26–35",A1318&lt;=45,"36–45",A1318&gt;45,"46+")</f>
        <v>36–45</v>
      </c>
      <c r="AK1318" t="str" cm="1">
        <f t="array" ref="AK1318">_xlfn.IFS(S1318&lt;=3000,"Low",S1318&lt;=7000,"Mid",S1318&lt;=12000,"High",S1318&gt;12000,"Top")</f>
        <v>Mid</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_xlfn.IFS(A1319&lt;=25,"Under 25",A1319&lt;=35,"26–35",A1319&lt;=45,"36–45",A1319&gt;45,"46+")</f>
        <v>26–35</v>
      </c>
      <c r="AK1319" t="str" cm="1">
        <f t="array" ref="AK1319">_xlfn.IFS(S1319&lt;=3000,"Low",S1319&lt;=7000,"Mid",S1319&lt;=12000,"High",S1319&gt;12000,"Top")</f>
        <v>Low</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_xlfn.IFS(A1320&lt;=25,"Under 25",A1320&lt;=35,"26–35",A1320&lt;=45,"36–45",A1320&gt;45,"46+")</f>
        <v>26–35</v>
      </c>
      <c r="AK1320" t="str" cm="1">
        <f t="array" ref="AK1320">_xlfn.IFS(S1320&lt;=3000,"Low",S1320&lt;=7000,"Mid",S1320&lt;=12000,"High",S1320&gt;12000,"Top")</f>
        <v>Mid</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_xlfn.IFS(A1321&lt;=25,"Under 25",A1321&lt;=35,"26–35",A1321&lt;=45,"36–45",A1321&gt;45,"46+")</f>
        <v>26–35</v>
      </c>
      <c r="AK1321" t="str" cm="1">
        <f t="array" ref="AK1321">_xlfn.IFS(S1321&lt;=3000,"Low",S1321&lt;=7000,"Mid",S1321&lt;=12000,"High",S1321&gt;12000,"Top")</f>
        <v>Mid</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_xlfn.IFS(A1322&lt;=25,"Under 25",A1322&lt;=35,"26–35",A1322&lt;=45,"36–45",A1322&gt;45,"46+")</f>
        <v>36–45</v>
      </c>
      <c r="AK1322" t="str" cm="1">
        <f t="array" ref="AK1322">_xlfn.IFS(S1322&lt;=3000,"Low",S1322&lt;=7000,"Mid",S1322&lt;=12000,"High",S1322&gt;12000,"Top")</f>
        <v>Low</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_xlfn.IFS(A1323&lt;=25,"Under 25",A1323&lt;=35,"26–35",A1323&lt;=45,"36–45",A1323&gt;45,"46+")</f>
        <v>46+</v>
      </c>
      <c r="AK1323" t="str" cm="1">
        <f t="array" ref="AK1323">_xlfn.IFS(S1323&lt;=3000,"Low",S1323&lt;=7000,"Mid",S1323&lt;=12000,"High",S1323&gt;12000,"Top")</f>
        <v>Low</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_xlfn.IFS(A1324&lt;=25,"Under 25",A1324&lt;=35,"26–35",A1324&lt;=45,"36–45",A1324&gt;45,"46+")</f>
        <v>46+</v>
      </c>
      <c r="AK1324" t="str" cm="1">
        <f t="array" ref="AK1324">_xlfn.IFS(S1324&lt;=3000,"Low",S1324&lt;=7000,"Mid",S1324&lt;=12000,"High",S1324&gt;12000,"Top")</f>
        <v>High</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_xlfn.IFS(A1325&lt;=25,"Under 25",A1325&lt;=35,"26–35",A1325&lt;=45,"36–45",A1325&gt;45,"46+")</f>
        <v>26–35</v>
      </c>
      <c r="AK1325" t="str" cm="1">
        <f t="array" ref="AK1325">_xlfn.IFS(S1325&lt;=3000,"Low",S1325&lt;=7000,"Mid",S1325&lt;=12000,"High",S1325&gt;12000,"Top")</f>
        <v>Low</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_xlfn.IFS(A1326&lt;=25,"Under 25",A1326&lt;=35,"26–35",A1326&lt;=45,"36–45",A1326&gt;45,"46+")</f>
        <v>26–35</v>
      </c>
      <c r="AK1326" t="str" cm="1">
        <f t="array" ref="AK1326">_xlfn.IFS(S1326&lt;=3000,"Low",S1326&lt;=7000,"Mid",S1326&lt;=12000,"High",S1326&gt;12000,"Top")</f>
        <v>Mid</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_xlfn.IFS(A1327&lt;=25,"Under 25",A1327&lt;=35,"26–35",A1327&lt;=45,"36–45",A1327&gt;45,"46+")</f>
        <v>36–45</v>
      </c>
      <c r="AK1327" t="str" cm="1">
        <f t="array" ref="AK1327">_xlfn.IFS(S1327&lt;=3000,"Low",S1327&lt;=7000,"Mid",S1327&lt;=12000,"High",S1327&gt;12000,"Top")</f>
        <v>Mid</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_xlfn.IFS(A1328&lt;=25,"Under 25",A1328&lt;=35,"26–35",A1328&lt;=45,"36–45",A1328&gt;45,"46+")</f>
        <v>26–35</v>
      </c>
      <c r="AK1328" t="str" cm="1">
        <f t="array" ref="AK1328">_xlfn.IFS(S1328&lt;=3000,"Low",S1328&lt;=7000,"Mid",S1328&lt;=12000,"High",S1328&gt;12000,"Top")</f>
        <v>High</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_xlfn.IFS(A1329&lt;=25,"Under 25",A1329&lt;=35,"26–35",A1329&lt;=45,"36–45",A1329&gt;45,"46+")</f>
        <v>46+</v>
      </c>
      <c r="AK1329" t="str" cm="1">
        <f t="array" ref="AK1329">_xlfn.IFS(S1329&lt;=3000,"Low",S1329&lt;=7000,"Mid",S1329&lt;=12000,"High",S1329&gt;12000,"Top")</f>
        <v>Top</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_xlfn.IFS(A1330&lt;=25,"Under 25",A1330&lt;=35,"26–35",A1330&lt;=45,"36–45",A1330&gt;45,"46+")</f>
        <v>26–35</v>
      </c>
      <c r="AK1330" t="str" cm="1">
        <f t="array" ref="AK1330">_xlfn.IFS(S1330&lt;=3000,"Low",S1330&lt;=7000,"Mid",S1330&lt;=12000,"High",S1330&gt;12000,"Top")</f>
        <v>Mid</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_xlfn.IFS(A1331&lt;=25,"Under 25",A1331&lt;=35,"26–35",A1331&lt;=45,"36–45",A1331&gt;45,"46+")</f>
        <v>26–35</v>
      </c>
      <c r="AK1331" t="str" cm="1">
        <f t="array" ref="AK1331">_xlfn.IFS(S1331&lt;=3000,"Low",S1331&lt;=7000,"Mid",S1331&lt;=12000,"High",S1331&gt;12000,"Top")</f>
        <v>Low</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_xlfn.IFS(A1332&lt;=25,"Under 25",A1332&lt;=35,"26–35",A1332&lt;=45,"36–45",A1332&gt;45,"46+")</f>
        <v>36–45</v>
      </c>
      <c r="AK1332" t="str" cm="1">
        <f t="array" ref="AK1332">_xlfn.IFS(S1332&lt;=3000,"Low",S1332&lt;=7000,"Mid",S1332&lt;=12000,"High",S1332&gt;12000,"Top")</f>
        <v>Top</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_xlfn.IFS(A1333&lt;=25,"Under 25",A1333&lt;=35,"26–35",A1333&lt;=45,"36–45",A1333&gt;45,"46+")</f>
        <v>46+</v>
      </c>
      <c r="AK1333" t="str" cm="1">
        <f t="array" ref="AK1333">_xlfn.IFS(S1333&lt;=3000,"Low",S1333&lt;=7000,"Mid",S1333&lt;=12000,"High",S1333&gt;12000,"Top")</f>
        <v>Top</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_xlfn.IFS(A1334&lt;=25,"Under 25",A1334&lt;=35,"26–35",A1334&lt;=45,"36–45",A1334&gt;45,"46+")</f>
        <v>26–35</v>
      </c>
      <c r="AK1334" t="str" cm="1">
        <f t="array" ref="AK1334">_xlfn.IFS(S1334&lt;=3000,"Low",S1334&lt;=7000,"Mid",S1334&lt;=12000,"High",S1334&gt;12000,"Top")</f>
        <v>Low</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_xlfn.IFS(A1335&lt;=25,"Under 25",A1335&lt;=35,"26–35",A1335&lt;=45,"36–45",A1335&gt;45,"46+")</f>
        <v>46+</v>
      </c>
      <c r="AK1335" t="str" cm="1">
        <f t="array" ref="AK1335">_xlfn.IFS(S1335&lt;=3000,"Low",S1335&lt;=7000,"Mid",S1335&lt;=12000,"High",S1335&gt;12000,"Top")</f>
        <v>High</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_xlfn.IFS(A1336&lt;=25,"Under 25",A1336&lt;=35,"26–35",A1336&lt;=45,"36–45",A1336&gt;45,"46+")</f>
        <v>26–35</v>
      </c>
      <c r="AK1336" t="str" cm="1">
        <f t="array" ref="AK1336">_xlfn.IFS(S1336&lt;=3000,"Low",S1336&lt;=7000,"Mid",S1336&lt;=12000,"High",S1336&gt;12000,"Top")</f>
        <v>Mid</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_xlfn.IFS(A1337&lt;=25,"Under 25",A1337&lt;=35,"26–35",A1337&lt;=45,"36–45",A1337&gt;45,"46+")</f>
        <v>36–45</v>
      </c>
      <c r="AK1337" t="str" cm="1">
        <f t="array" ref="AK1337">_xlfn.IFS(S1337&lt;=3000,"Low",S1337&lt;=7000,"Mid",S1337&lt;=12000,"High",S1337&gt;12000,"Top")</f>
        <v>Mid</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_xlfn.IFS(A1338&lt;=25,"Under 25",A1338&lt;=35,"26–35",A1338&lt;=45,"36–45",A1338&gt;45,"46+")</f>
        <v>46+</v>
      </c>
      <c r="AK1338" t="str" cm="1">
        <f t="array" ref="AK1338">_xlfn.IFS(S1338&lt;=3000,"Low",S1338&lt;=7000,"Mid",S1338&lt;=12000,"High",S1338&gt;12000,"Top")</f>
        <v>Low</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_xlfn.IFS(A1339&lt;=25,"Under 25",A1339&lt;=35,"26–35",A1339&lt;=45,"36–45",A1339&gt;45,"46+")</f>
        <v>26–35</v>
      </c>
      <c r="AK1339" t="str" cm="1">
        <f t="array" ref="AK1339">_xlfn.IFS(S1339&lt;=3000,"Low",S1339&lt;=7000,"Mid",S1339&lt;=12000,"High",S1339&gt;12000,"Top")</f>
        <v>Low</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_xlfn.IFS(A1340&lt;=25,"Under 25",A1340&lt;=35,"26–35",A1340&lt;=45,"36–45",A1340&gt;45,"46+")</f>
        <v>26–35</v>
      </c>
      <c r="AK1340" t="str" cm="1">
        <f t="array" ref="AK1340">_xlfn.IFS(S1340&lt;=3000,"Low",S1340&lt;=7000,"Mid",S1340&lt;=12000,"High",S1340&gt;12000,"Top")</f>
        <v>Low</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_xlfn.IFS(A1341&lt;=25,"Under 25",A1341&lt;=35,"26–35",A1341&lt;=45,"36–45",A1341&gt;45,"46+")</f>
        <v>Under 25</v>
      </c>
      <c r="AK1341" t="str" cm="1">
        <f t="array" ref="AK1341">_xlfn.IFS(S1341&lt;=3000,"Low",S1341&lt;=7000,"Mid",S1341&lt;=12000,"High",S1341&gt;12000,"Top")</f>
        <v>Low</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_xlfn.IFS(A1342&lt;=25,"Under 25",A1342&lt;=35,"26–35",A1342&lt;=45,"36–45",A1342&gt;45,"46+")</f>
        <v>36–45</v>
      </c>
      <c r="AK1342" t="str" cm="1">
        <f t="array" ref="AK1342">_xlfn.IFS(S1342&lt;=3000,"Low",S1342&lt;=7000,"Mid",S1342&lt;=12000,"High",S1342&gt;12000,"Top")</f>
        <v>Mid</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_xlfn.IFS(A1343&lt;=25,"Under 25",A1343&lt;=35,"26–35",A1343&lt;=45,"36–45",A1343&gt;45,"46+")</f>
        <v>26–35</v>
      </c>
      <c r="AK1343" t="str" cm="1">
        <f t="array" ref="AK1343">_xlfn.IFS(S1343&lt;=3000,"Low",S1343&lt;=7000,"Mid",S1343&lt;=12000,"High",S1343&gt;12000,"Top")</f>
        <v>Mid</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_xlfn.IFS(A1344&lt;=25,"Under 25",A1344&lt;=35,"26–35",A1344&lt;=45,"36–45",A1344&gt;45,"46+")</f>
        <v>26–35</v>
      </c>
      <c r="AK1344" t="str" cm="1">
        <f t="array" ref="AK1344">_xlfn.IFS(S1344&lt;=3000,"Low",S1344&lt;=7000,"Mid",S1344&lt;=12000,"High",S1344&gt;12000,"Top")</f>
        <v>High</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_xlfn.IFS(A1345&lt;=25,"Under 25",A1345&lt;=35,"26–35",A1345&lt;=45,"36–45",A1345&gt;45,"46+")</f>
        <v>26–35</v>
      </c>
      <c r="AK1345" t="str" cm="1">
        <f t="array" ref="AK1345">_xlfn.IFS(S1345&lt;=3000,"Low",S1345&lt;=7000,"Mid",S1345&lt;=12000,"High",S1345&gt;12000,"Top")</f>
        <v>Low</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_xlfn.IFS(A1346&lt;=25,"Under 25",A1346&lt;=35,"26–35",A1346&lt;=45,"36–45",A1346&gt;45,"46+")</f>
        <v>36–45</v>
      </c>
      <c r="AK1346" t="str" cm="1">
        <f t="array" ref="AK1346">_xlfn.IFS(S1346&lt;=3000,"Low",S1346&lt;=7000,"Mid",S1346&lt;=12000,"High",S1346&gt;12000,"Top")</f>
        <v>Mid</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_xlfn.IFS(A1347&lt;=25,"Under 25",A1347&lt;=35,"26–35",A1347&lt;=45,"36–45",A1347&gt;45,"46+")</f>
        <v>26–35</v>
      </c>
      <c r="AK1347" t="str" cm="1">
        <f t="array" ref="AK1347">_xlfn.IFS(S1347&lt;=3000,"Low",S1347&lt;=7000,"Mid",S1347&lt;=12000,"High",S1347&gt;12000,"Top")</f>
        <v>Mid</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_xlfn.IFS(A1348&lt;=25,"Under 25",A1348&lt;=35,"26–35",A1348&lt;=45,"36–45",A1348&gt;45,"46+")</f>
        <v>36–45</v>
      </c>
      <c r="AK1348" t="str" cm="1">
        <f t="array" ref="AK1348">_xlfn.IFS(S1348&lt;=3000,"Low",S1348&lt;=7000,"Mid",S1348&lt;=12000,"High",S1348&gt;12000,"Top")</f>
        <v>Mid</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_xlfn.IFS(A1349&lt;=25,"Under 25",A1349&lt;=35,"26–35",A1349&lt;=45,"36–45",A1349&gt;45,"46+")</f>
        <v>36–45</v>
      </c>
      <c r="AK1349" t="str" cm="1">
        <f t="array" ref="AK1349">_xlfn.IFS(S1349&lt;=3000,"Low",S1349&lt;=7000,"Mid",S1349&lt;=12000,"High",S1349&gt;12000,"Top")</f>
        <v>Mid</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_xlfn.IFS(A1350&lt;=25,"Under 25",A1350&lt;=35,"26–35",A1350&lt;=45,"36–45",A1350&gt;45,"46+")</f>
        <v>36–45</v>
      </c>
      <c r="AK1350" t="str" cm="1">
        <f t="array" ref="AK1350">_xlfn.IFS(S1350&lt;=3000,"Low",S1350&lt;=7000,"Mid",S1350&lt;=12000,"High",S1350&gt;12000,"Top")</f>
        <v>Top</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_xlfn.IFS(A1351&lt;=25,"Under 25",A1351&lt;=35,"26–35",A1351&lt;=45,"36–45",A1351&gt;45,"46+")</f>
        <v>26–35</v>
      </c>
      <c r="AK1351" t="str" cm="1">
        <f t="array" ref="AK1351">_xlfn.IFS(S1351&lt;=3000,"Low",S1351&lt;=7000,"Mid",S1351&lt;=12000,"High",S1351&gt;12000,"Top")</f>
        <v>Low</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_xlfn.IFS(A1352&lt;=25,"Under 25",A1352&lt;=35,"26–35",A1352&lt;=45,"36–45",A1352&gt;45,"46+")</f>
        <v>26–35</v>
      </c>
      <c r="AK1352" t="str" cm="1">
        <f t="array" ref="AK1352">_xlfn.IFS(S1352&lt;=3000,"Low",S1352&lt;=7000,"Mid",S1352&lt;=12000,"High",S1352&gt;12000,"Top")</f>
        <v>Mid</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_xlfn.IFS(A1353&lt;=25,"Under 25",A1353&lt;=35,"26–35",A1353&lt;=45,"36–45",A1353&gt;45,"46+")</f>
        <v>46+</v>
      </c>
      <c r="AK1353" t="str" cm="1">
        <f t="array" ref="AK1353">_xlfn.IFS(S1353&lt;=3000,"Low",S1353&lt;=7000,"Mid",S1353&lt;=12000,"High",S1353&gt;12000,"Top")</f>
        <v>Top</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_xlfn.IFS(A1354&lt;=25,"Under 25",A1354&lt;=35,"26–35",A1354&lt;=45,"36–45",A1354&gt;45,"46+")</f>
        <v>36–45</v>
      </c>
      <c r="AK1354" t="str" cm="1">
        <f t="array" ref="AK1354">_xlfn.IFS(S1354&lt;=3000,"Low",S1354&lt;=7000,"Mid",S1354&lt;=12000,"High",S1354&gt;12000,"Top")</f>
        <v>Mid</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_xlfn.IFS(A1355&lt;=25,"Under 25",A1355&lt;=35,"26–35",A1355&lt;=45,"36–45",A1355&gt;45,"46+")</f>
        <v>26–35</v>
      </c>
      <c r="AK1355" t="str" cm="1">
        <f t="array" ref="AK1355">_xlfn.IFS(S1355&lt;=3000,"Low",S1355&lt;=7000,"Mid",S1355&lt;=12000,"High",S1355&gt;12000,"Top")</f>
        <v>Low</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_xlfn.IFS(A1356&lt;=25,"Under 25",A1356&lt;=35,"26–35",A1356&lt;=45,"36–45",A1356&gt;45,"46+")</f>
        <v>46+</v>
      </c>
      <c r="AK1356" t="str" cm="1">
        <f t="array" ref="AK1356">_xlfn.IFS(S1356&lt;=3000,"Low",S1356&lt;=7000,"Mid",S1356&lt;=12000,"High",S1356&gt;12000,"Top")</f>
        <v>Low</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_xlfn.IFS(A1357&lt;=25,"Under 25",A1357&lt;=35,"26–35",A1357&lt;=45,"36–45",A1357&gt;45,"46+")</f>
        <v>36–45</v>
      </c>
      <c r="AK1357" t="str" cm="1">
        <f t="array" ref="AK1357">_xlfn.IFS(S1357&lt;=3000,"Low",S1357&lt;=7000,"Mid",S1357&lt;=12000,"High",S1357&gt;12000,"Top")</f>
        <v>Mid</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_xlfn.IFS(A1358&lt;=25,"Under 25",A1358&lt;=35,"26–35",A1358&lt;=45,"36–45",A1358&gt;45,"46+")</f>
        <v>36–45</v>
      </c>
      <c r="AK1358" t="str" cm="1">
        <f t="array" ref="AK1358">_xlfn.IFS(S1358&lt;=3000,"Low",S1358&lt;=7000,"Mid",S1358&lt;=12000,"High",S1358&gt;12000,"Top")</f>
        <v>Mid</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_xlfn.IFS(A1359&lt;=25,"Under 25",A1359&lt;=35,"26–35",A1359&lt;=45,"36–45",A1359&gt;45,"46+")</f>
        <v>36–45</v>
      </c>
      <c r="AK1359" t="str" cm="1">
        <f t="array" ref="AK1359">_xlfn.IFS(S1359&lt;=3000,"Low",S1359&lt;=7000,"Mid",S1359&lt;=12000,"High",S1359&gt;12000,"Top")</f>
        <v>Top</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_xlfn.IFS(A1360&lt;=25,"Under 25",A1360&lt;=35,"26–35",A1360&lt;=45,"36–45",A1360&gt;45,"46+")</f>
        <v>26–35</v>
      </c>
      <c r="AK1360" t="str" cm="1">
        <f t="array" ref="AK1360">_xlfn.IFS(S1360&lt;=3000,"Low",S1360&lt;=7000,"Mid",S1360&lt;=12000,"High",S1360&gt;12000,"Top")</f>
        <v>Mid</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_xlfn.IFS(A1361&lt;=25,"Under 25",A1361&lt;=35,"26–35",A1361&lt;=45,"36–45",A1361&gt;45,"46+")</f>
        <v>26–35</v>
      </c>
      <c r="AK1361" t="str" cm="1">
        <f t="array" ref="AK1361">_xlfn.IFS(S1361&lt;=3000,"Low",S1361&lt;=7000,"Mid",S1361&lt;=12000,"High",S1361&gt;12000,"Top")</f>
        <v>High</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_xlfn.IFS(A1362&lt;=25,"Under 25",A1362&lt;=35,"26–35",A1362&lt;=45,"36–45",A1362&gt;45,"46+")</f>
        <v>26–35</v>
      </c>
      <c r="AK1362" t="str" cm="1">
        <f t="array" ref="AK1362">_xlfn.IFS(S1362&lt;=3000,"Low",S1362&lt;=7000,"Mid",S1362&lt;=12000,"High",S1362&gt;12000,"Top")</f>
        <v>Mid</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_xlfn.IFS(A1363&lt;=25,"Under 25",A1363&lt;=35,"26–35",A1363&lt;=45,"36–45",A1363&gt;45,"46+")</f>
        <v>26–35</v>
      </c>
      <c r="AK1363" t="str" cm="1">
        <f t="array" ref="AK1363">_xlfn.IFS(S1363&lt;=3000,"Low",S1363&lt;=7000,"Mid",S1363&lt;=12000,"High",S1363&gt;12000,"Top")</f>
        <v>Low</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_xlfn.IFS(A1364&lt;=25,"Under 25",A1364&lt;=35,"26–35",A1364&lt;=45,"36–45",A1364&gt;45,"46+")</f>
        <v>36–45</v>
      </c>
      <c r="AK1364" t="str" cm="1">
        <f t="array" ref="AK1364">_xlfn.IFS(S1364&lt;=3000,"Low",S1364&lt;=7000,"Mid",S1364&lt;=12000,"High",S1364&gt;12000,"Top")</f>
        <v>Mid</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_xlfn.IFS(A1365&lt;=25,"Under 25",A1365&lt;=35,"26–35",A1365&lt;=45,"36–45",A1365&gt;45,"46+")</f>
        <v>26–35</v>
      </c>
      <c r="AK1365" t="str" cm="1">
        <f t="array" ref="AK1365">_xlfn.IFS(S1365&lt;=3000,"Low",S1365&lt;=7000,"Mid",S1365&lt;=12000,"High",S1365&gt;12000,"Top")</f>
        <v>Mid</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_xlfn.IFS(A1366&lt;=25,"Under 25",A1366&lt;=35,"26–35",A1366&lt;=45,"36–45",A1366&gt;45,"46+")</f>
        <v>26–35</v>
      </c>
      <c r="AK1366" t="str" cm="1">
        <f t="array" ref="AK1366">_xlfn.IFS(S1366&lt;=3000,"Low",S1366&lt;=7000,"Mid",S1366&lt;=12000,"High",S1366&gt;12000,"Top")</f>
        <v>Mid</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_xlfn.IFS(A1367&lt;=25,"Under 25",A1367&lt;=35,"26–35",A1367&lt;=45,"36–45",A1367&gt;45,"46+")</f>
        <v>26–35</v>
      </c>
      <c r="AK1367" t="str" cm="1">
        <f t="array" ref="AK1367">_xlfn.IFS(S1367&lt;=3000,"Low",S1367&lt;=7000,"Mid",S1367&lt;=12000,"High",S1367&gt;12000,"Top")</f>
        <v>Low</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_xlfn.IFS(A1368&lt;=25,"Under 25",A1368&lt;=35,"26–35",A1368&lt;=45,"36–45",A1368&gt;45,"46+")</f>
        <v>36–45</v>
      </c>
      <c r="AK1368" t="str" cm="1">
        <f t="array" ref="AK1368">_xlfn.IFS(S1368&lt;=3000,"Low",S1368&lt;=7000,"Mid",S1368&lt;=12000,"High",S1368&gt;12000,"Top")</f>
        <v>Mid</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_xlfn.IFS(A1369&lt;=25,"Under 25",A1369&lt;=35,"26–35",A1369&lt;=45,"36–45",A1369&gt;45,"46+")</f>
        <v>26–35</v>
      </c>
      <c r="AK1369" t="str" cm="1">
        <f t="array" ref="AK1369">_xlfn.IFS(S1369&lt;=3000,"Low",S1369&lt;=7000,"Mid",S1369&lt;=12000,"High",S1369&gt;12000,"Top")</f>
        <v>Low</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_xlfn.IFS(A1370&lt;=25,"Under 25",A1370&lt;=35,"26–35",A1370&lt;=45,"36–45",A1370&gt;45,"46+")</f>
        <v>26–35</v>
      </c>
      <c r="AK1370" t="str" cm="1">
        <f t="array" ref="AK1370">_xlfn.IFS(S1370&lt;=3000,"Low",S1370&lt;=7000,"Mid",S1370&lt;=12000,"High",S1370&gt;12000,"Top")</f>
        <v>Mid</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_xlfn.IFS(A1371&lt;=25,"Under 25",A1371&lt;=35,"26–35",A1371&lt;=45,"36–45",A1371&gt;45,"46+")</f>
        <v>26–35</v>
      </c>
      <c r="AK1371" t="str" cm="1">
        <f t="array" ref="AK1371">_xlfn.IFS(S1371&lt;=3000,"Low",S1371&lt;=7000,"Mid",S1371&lt;=12000,"High",S1371&gt;12000,"Top")</f>
        <v>High</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_xlfn.IFS(A1372&lt;=25,"Under 25",A1372&lt;=35,"26–35",A1372&lt;=45,"36–45",A1372&gt;45,"46+")</f>
        <v>46+</v>
      </c>
      <c r="AK1372" t="str" cm="1">
        <f t="array" ref="AK1372">_xlfn.IFS(S1372&lt;=3000,"Low",S1372&lt;=7000,"Mid",S1372&lt;=12000,"High",S1372&gt;12000,"Top")</f>
        <v>Mid</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_xlfn.IFS(A1373&lt;=25,"Under 25",A1373&lt;=35,"26–35",A1373&lt;=45,"36–45",A1373&gt;45,"46+")</f>
        <v>46+</v>
      </c>
      <c r="AK1373" t="str" cm="1">
        <f t="array" ref="AK1373">_xlfn.IFS(S1373&lt;=3000,"Low",S1373&lt;=7000,"Mid",S1373&lt;=12000,"High",S1373&gt;12000,"Top")</f>
        <v>Mid</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_xlfn.IFS(A1374&lt;=25,"Under 25",A1374&lt;=35,"26–35",A1374&lt;=45,"36–45",A1374&gt;45,"46+")</f>
        <v>36–45</v>
      </c>
      <c r="AK1374" t="str" cm="1">
        <f t="array" ref="AK1374">_xlfn.IFS(S1374&lt;=3000,"Low",S1374&lt;=7000,"Mid",S1374&lt;=12000,"High",S1374&gt;12000,"Top")</f>
        <v>Mid</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_xlfn.IFS(A1375&lt;=25,"Under 25",A1375&lt;=35,"26–35",A1375&lt;=45,"36–45",A1375&gt;45,"46+")</f>
        <v>36–45</v>
      </c>
      <c r="AK1375" t="str" cm="1">
        <f t="array" ref="AK1375">_xlfn.IFS(S1375&lt;=3000,"Low",S1375&lt;=7000,"Mid",S1375&lt;=12000,"High",S1375&gt;12000,"Top")</f>
        <v>Low</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_xlfn.IFS(A1376&lt;=25,"Under 25",A1376&lt;=35,"26–35",A1376&lt;=45,"36–45",A1376&gt;45,"46+")</f>
        <v>46+</v>
      </c>
      <c r="AK1376" t="str" cm="1">
        <f t="array" ref="AK1376">_xlfn.IFS(S1376&lt;=3000,"Low",S1376&lt;=7000,"Mid",S1376&lt;=12000,"High",S1376&gt;12000,"Top")</f>
        <v>Top</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_xlfn.IFS(A1377&lt;=25,"Under 25",A1377&lt;=35,"26–35",A1377&lt;=45,"36–45",A1377&gt;45,"46+")</f>
        <v>26–35</v>
      </c>
      <c r="AK1377" t="str" cm="1">
        <f t="array" ref="AK1377">_xlfn.IFS(S1377&lt;=3000,"Low",S1377&lt;=7000,"Mid",S1377&lt;=12000,"High",S1377&gt;12000,"Top")</f>
        <v>Low</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_xlfn.IFS(A1378&lt;=25,"Under 25",A1378&lt;=35,"26–35",A1378&lt;=45,"36–45",A1378&gt;45,"46+")</f>
        <v>36–45</v>
      </c>
      <c r="AK1378" t="str" cm="1">
        <f t="array" ref="AK1378">_xlfn.IFS(S1378&lt;=3000,"Low",S1378&lt;=7000,"Mid",S1378&lt;=12000,"High",S1378&gt;12000,"Top")</f>
        <v>Mid</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_xlfn.IFS(A1379&lt;=25,"Under 25",A1379&lt;=35,"26–35",A1379&lt;=45,"36–45",A1379&gt;45,"46+")</f>
        <v>46+</v>
      </c>
      <c r="AK1379" t="str" cm="1">
        <f t="array" ref="AK1379">_xlfn.IFS(S1379&lt;=3000,"Low",S1379&lt;=7000,"Mid",S1379&lt;=12000,"High",S1379&gt;12000,"Top")</f>
        <v>Top</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_xlfn.IFS(A1380&lt;=25,"Under 25",A1380&lt;=35,"26–35",A1380&lt;=45,"36–45",A1380&gt;45,"46+")</f>
        <v>36–45</v>
      </c>
      <c r="AK1380" t="str" cm="1">
        <f t="array" ref="AK1380">_xlfn.IFS(S1380&lt;=3000,"Low",S1380&lt;=7000,"Mid",S1380&lt;=12000,"High",S1380&gt;12000,"Top")</f>
        <v>Mid</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_xlfn.IFS(A1381&lt;=25,"Under 25",A1381&lt;=35,"26–35",A1381&lt;=45,"36–45",A1381&gt;45,"46+")</f>
        <v>26–35</v>
      </c>
      <c r="AK1381" t="str" cm="1">
        <f t="array" ref="AK1381">_xlfn.IFS(S1381&lt;=3000,"Low",S1381&lt;=7000,"Mid",S1381&lt;=12000,"High",S1381&gt;12000,"Top")</f>
        <v>Low</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_xlfn.IFS(A1382&lt;=25,"Under 25",A1382&lt;=35,"26–35",A1382&lt;=45,"36–45",A1382&gt;45,"46+")</f>
        <v>26–35</v>
      </c>
      <c r="AK1382" t="str" cm="1">
        <f t="array" ref="AK1382">_xlfn.IFS(S1382&lt;=3000,"Low",S1382&lt;=7000,"Mid",S1382&lt;=12000,"High",S1382&gt;12000,"Top")</f>
        <v>Mid</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_xlfn.IFS(A1383&lt;=25,"Under 25",A1383&lt;=35,"26–35",A1383&lt;=45,"36–45",A1383&gt;45,"46+")</f>
        <v>26–35</v>
      </c>
      <c r="AK1383" t="str" cm="1">
        <f t="array" ref="AK1383">_xlfn.IFS(S1383&lt;=3000,"Low",S1383&lt;=7000,"Mid",S1383&lt;=12000,"High",S1383&gt;12000,"Top")</f>
        <v>Low</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_xlfn.IFS(A1384&lt;=25,"Under 25",A1384&lt;=35,"26–35",A1384&lt;=45,"36–45",A1384&gt;45,"46+")</f>
        <v>26–35</v>
      </c>
      <c r="AK1384" t="str" cm="1">
        <f t="array" ref="AK1384">_xlfn.IFS(S1384&lt;=3000,"Low",S1384&lt;=7000,"Mid",S1384&lt;=12000,"High",S1384&gt;12000,"Top")</f>
        <v>Mid</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_xlfn.IFS(A1385&lt;=25,"Under 25",A1385&lt;=35,"26–35",A1385&lt;=45,"36–45",A1385&gt;45,"46+")</f>
        <v>36–45</v>
      </c>
      <c r="AK1385" t="str" cm="1">
        <f t="array" ref="AK1385">_xlfn.IFS(S1385&lt;=3000,"Low",S1385&lt;=7000,"Mid",S1385&lt;=12000,"High",S1385&gt;12000,"Top")</f>
        <v>Low</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_xlfn.IFS(A1386&lt;=25,"Under 25",A1386&lt;=35,"26–35",A1386&lt;=45,"36–45",A1386&gt;45,"46+")</f>
        <v>26–35</v>
      </c>
      <c r="AK1386" t="str" cm="1">
        <f t="array" ref="AK1386">_xlfn.IFS(S1386&lt;=3000,"Low",S1386&lt;=7000,"Mid",S1386&lt;=12000,"High",S1386&gt;12000,"Top")</f>
        <v>High</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_xlfn.IFS(A1387&lt;=25,"Under 25",A1387&lt;=35,"26–35",A1387&lt;=45,"36–45",A1387&gt;45,"46+")</f>
        <v>26–35</v>
      </c>
      <c r="AK1387" t="str" cm="1">
        <f t="array" ref="AK1387">_xlfn.IFS(S1387&lt;=3000,"Low",S1387&lt;=7000,"Mid",S1387&lt;=12000,"High",S1387&gt;12000,"Top")</f>
        <v>High</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_xlfn.IFS(A1388&lt;=25,"Under 25",A1388&lt;=35,"26–35",A1388&lt;=45,"36–45",A1388&gt;45,"46+")</f>
        <v>26–35</v>
      </c>
      <c r="AK1388" t="str" cm="1">
        <f t="array" ref="AK1388">_xlfn.IFS(S1388&lt;=3000,"Low",S1388&lt;=7000,"Mid",S1388&lt;=12000,"High",S1388&gt;12000,"Top")</f>
        <v>Low</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_xlfn.IFS(A1389&lt;=25,"Under 25",A1389&lt;=35,"26–35",A1389&lt;=45,"36–45",A1389&gt;45,"46+")</f>
        <v>26–35</v>
      </c>
      <c r="AK1389" t="str" cm="1">
        <f t="array" ref="AK1389">_xlfn.IFS(S1389&lt;=3000,"Low",S1389&lt;=7000,"Mid",S1389&lt;=12000,"High",S1389&gt;12000,"Top")</f>
        <v>Mid</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_xlfn.IFS(A1390&lt;=25,"Under 25",A1390&lt;=35,"26–35",A1390&lt;=45,"36–45",A1390&gt;45,"46+")</f>
        <v>26–35</v>
      </c>
      <c r="AK1390" t="str" cm="1">
        <f t="array" ref="AK1390">_xlfn.IFS(S1390&lt;=3000,"Low",S1390&lt;=7000,"Mid",S1390&lt;=12000,"High",S1390&gt;12000,"Top")</f>
        <v>Mid</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_xlfn.IFS(A1391&lt;=25,"Under 25",A1391&lt;=35,"26–35",A1391&lt;=45,"36–45",A1391&gt;45,"46+")</f>
        <v>26–35</v>
      </c>
      <c r="AK1391" t="str" cm="1">
        <f t="array" ref="AK1391">_xlfn.IFS(S1391&lt;=3000,"Low",S1391&lt;=7000,"Mid",S1391&lt;=12000,"High",S1391&gt;12000,"Top")</f>
        <v>Mid</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_xlfn.IFS(A1392&lt;=25,"Under 25",A1392&lt;=35,"26–35",A1392&lt;=45,"36–45",A1392&gt;45,"46+")</f>
        <v>26–35</v>
      </c>
      <c r="AK1392" t="str" cm="1">
        <f t="array" ref="AK1392">_xlfn.IFS(S1392&lt;=3000,"Low",S1392&lt;=7000,"Mid",S1392&lt;=12000,"High",S1392&gt;12000,"Top")</f>
        <v>Low</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_xlfn.IFS(A1393&lt;=25,"Under 25",A1393&lt;=35,"26–35",A1393&lt;=45,"36–45",A1393&gt;45,"46+")</f>
        <v>36–45</v>
      </c>
      <c r="AK1393" t="str" cm="1">
        <f t="array" ref="AK1393">_xlfn.IFS(S1393&lt;=3000,"Low",S1393&lt;=7000,"Mid",S1393&lt;=12000,"High",S1393&gt;12000,"Top")</f>
        <v>Low</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_xlfn.IFS(A1394&lt;=25,"Under 25",A1394&lt;=35,"26–35",A1394&lt;=45,"36–45",A1394&gt;45,"46+")</f>
        <v>26–35</v>
      </c>
      <c r="AK1394" t="str" cm="1">
        <f t="array" ref="AK1394">_xlfn.IFS(S1394&lt;=3000,"Low",S1394&lt;=7000,"Mid",S1394&lt;=12000,"High",S1394&gt;12000,"Top")</f>
        <v>Mid</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_xlfn.IFS(A1395&lt;=25,"Under 25",A1395&lt;=35,"26–35",A1395&lt;=45,"36–45",A1395&gt;45,"46+")</f>
        <v>26–35</v>
      </c>
      <c r="AK1395" t="str" cm="1">
        <f t="array" ref="AK1395">_xlfn.IFS(S1395&lt;=3000,"Low",S1395&lt;=7000,"Mid",S1395&lt;=12000,"High",S1395&gt;12000,"Top")</f>
        <v>Mid</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_xlfn.IFS(A1396&lt;=25,"Under 25",A1396&lt;=35,"26–35",A1396&lt;=45,"36–45",A1396&gt;45,"46+")</f>
        <v>26–35</v>
      </c>
      <c r="AK1396" t="str" cm="1">
        <f t="array" ref="AK1396">_xlfn.IFS(S1396&lt;=3000,"Low",S1396&lt;=7000,"Mid",S1396&lt;=12000,"High",S1396&gt;12000,"Top")</f>
        <v>High</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_xlfn.IFS(A1397&lt;=25,"Under 25",A1397&lt;=35,"26–35",A1397&lt;=45,"36–45",A1397&gt;45,"46+")</f>
        <v>26–35</v>
      </c>
      <c r="AK1397" t="str" cm="1">
        <f t="array" ref="AK1397">_xlfn.IFS(S1397&lt;=3000,"Low",S1397&lt;=7000,"Mid",S1397&lt;=12000,"High",S1397&gt;12000,"Top")</f>
        <v>Mid</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_xlfn.IFS(A1398&lt;=25,"Under 25",A1398&lt;=35,"26–35",A1398&lt;=45,"36–45",A1398&gt;45,"46+")</f>
        <v>46+</v>
      </c>
      <c r="AK1398" t="str" cm="1">
        <f t="array" ref="AK1398">_xlfn.IFS(S1398&lt;=3000,"Low",S1398&lt;=7000,"Mid",S1398&lt;=12000,"High",S1398&gt;12000,"Top")</f>
        <v>High</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_xlfn.IFS(A1399&lt;=25,"Under 25",A1399&lt;=35,"26–35",A1399&lt;=45,"36–45",A1399&gt;45,"46+")</f>
        <v>46+</v>
      </c>
      <c r="AK1399" t="str" cm="1">
        <f t="array" ref="AK1399">_xlfn.IFS(S1399&lt;=3000,"Low",S1399&lt;=7000,"Mid",S1399&lt;=12000,"High",S1399&gt;12000,"Top")</f>
        <v>Low</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_xlfn.IFS(A1400&lt;=25,"Under 25",A1400&lt;=35,"26–35",A1400&lt;=45,"36–45",A1400&gt;45,"46+")</f>
        <v>26–35</v>
      </c>
      <c r="AK1400" t="str" cm="1">
        <f t="array" ref="AK1400">_xlfn.IFS(S1400&lt;=3000,"Low",S1400&lt;=7000,"Mid",S1400&lt;=12000,"High",S1400&gt;12000,"Top")</f>
        <v>Mid</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_xlfn.IFS(A1401&lt;=25,"Under 25",A1401&lt;=35,"26–35",A1401&lt;=45,"36–45",A1401&gt;45,"46+")</f>
        <v>36–45</v>
      </c>
      <c r="AK1401" t="str" cm="1">
        <f t="array" ref="AK1401">_xlfn.IFS(S1401&lt;=3000,"Low",S1401&lt;=7000,"Mid",S1401&lt;=12000,"High",S1401&gt;12000,"Top")</f>
        <v>High</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_xlfn.IFS(A1402&lt;=25,"Under 25",A1402&lt;=35,"26–35",A1402&lt;=45,"36–45",A1402&gt;45,"46+")</f>
        <v>36–45</v>
      </c>
      <c r="AK1402" t="str" cm="1">
        <f t="array" ref="AK1402">_xlfn.IFS(S1402&lt;=3000,"Low",S1402&lt;=7000,"Mid",S1402&lt;=12000,"High",S1402&gt;12000,"Top")</f>
        <v>Low</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_xlfn.IFS(A1403&lt;=25,"Under 25",A1403&lt;=35,"26–35",A1403&lt;=45,"36–45",A1403&gt;45,"46+")</f>
        <v>46+</v>
      </c>
      <c r="AK1403" t="str" cm="1">
        <f t="array" ref="AK1403">_xlfn.IFS(S1403&lt;=3000,"Low",S1403&lt;=7000,"Mid",S1403&lt;=12000,"High",S1403&gt;12000,"Top")</f>
        <v>Top</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_xlfn.IFS(A1404&lt;=25,"Under 25",A1404&lt;=35,"26–35",A1404&lt;=45,"36–45",A1404&gt;45,"46+")</f>
        <v>26–35</v>
      </c>
      <c r="AK1404" t="str" cm="1">
        <f t="array" ref="AK1404">_xlfn.IFS(S1404&lt;=3000,"Low",S1404&lt;=7000,"Mid",S1404&lt;=12000,"High",S1404&gt;12000,"Top")</f>
        <v>Low</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_xlfn.IFS(A1405&lt;=25,"Under 25",A1405&lt;=35,"26–35",A1405&lt;=45,"36–45",A1405&gt;45,"46+")</f>
        <v>36–45</v>
      </c>
      <c r="AK1405" t="str" cm="1">
        <f t="array" ref="AK1405">_xlfn.IFS(S1405&lt;=3000,"Low",S1405&lt;=7000,"Mid",S1405&lt;=12000,"High",S1405&gt;12000,"Top")</f>
        <v>Top</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_xlfn.IFS(A1406&lt;=25,"Under 25",A1406&lt;=35,"26–35",A1406&lt;=45,"36–45",A1406&gt;45,"46+")</f>
        <v>36–45</v>
      </c>
      <c r="AK1406" t="str" cm="1">
        <f t="array" ref="AK1406">_xlfn.IFS(S1406&lt;=3000,"Low",S1406&lt;=7000,"Mid",S1406&lt;=12000,"High",S1406&gt;12000,"Top")</f>
        <v>Mid</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_xlfn.IFS(A1407&lt;=25,"Under 25",A1407&lt;=35,"26–35",A1407&lt;=45,"36–45",A1407&gt;45,"46+")</f>
        <v>26–35</v>
      </c>
      <c r="AK1407" t="str" cm="1">
        <f t="array" ref="AK1407">_xlfn.IFS(S1407&lt;=3000,"Low",S1407&lt;=7000,"Mid",S1407&lt;=12000,"High",S1407&gt;12000,"Top")</f>
        <v>High</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_xlfn.IFS(A1408&lt;=25,"Under 25",A1408&lt;=35,"26–35",A1408&lt;=45,"36–45",A1408&gt;45,"46+")</f>
        <v>46+</v>
      </c>
      <c r="AK1408" t="str" cm="1">
        <f t="array" ref="AK1408">_xlfn.IFS(S1408&lt;=3000,"Low",S1408&lt;=7000,"Mid",S1408&lt;=12000,"High",S1408&gt;12000,"Top")</f>
        <v>Mid</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_xlfn.IFS(A1409&lt;=25,"Under 25",A1409&lt;=35,"26–35",A1409&lt;=45,"36–45",A1409&gt;45,"46+")</f>
        <v>Under 25</v>
      </c>
      <c r="AK1409" t="str" cm="1">
        <f t="array" ref="AK1409">_xlfn.IFS(S1409&lt;=3000,"Low",S1409&lt;=7000,"Mid",S1409&lt;=12000,"High",S1409&gt;12000,"Top")</f>
        <v>Mid</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_xlfn.IFS(A1410&lt;=25,"Under 25",A1410&lt;=35,"26–35",A1410&lt;=45,"36–45",A1410&gt;45,"46+")</f>
        <v>Under 25</v>
      </c>
      <c r="AK1410" t="str" cm="1">
        <f t="array" ref="AK1410">_xlfn.IFS(S1410&lt;=3000,"Low",S1410&lt;=7000,"Mid",S1410&lt;=12000,"High",S1410&gt;12000,"Top")</f>
        <v>Low</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_xlfn.IFS(A1411&lt;=25,"Under 25",A1411&lt;=35,"26–35",A1411&lt;=45,"36–45",A1411&gt;45,"46+")</f>
        <v>36–45</v>
      </c>
      <c r="AK1411" t="str" cm="1">
        <f t="array" ref="AK1411">_xlfn.IFS(S1411&lt;=3000,"Low",S1411&lt;=7000,"Mid",S1411&lt;=12000,"High",S1411&gt;12000,"Top")</f>
        <v>Mid</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_xlfn.IFS(A1412&lt;=25,"Under 25",A1412&lt;=35,"26–35",A1412&lt;=45,"36–45",A1412&gt;45,"46+")</f>
        <v>36–45</v>
      </c>
      <c r="AK1412" t="str" cm="1">
        <f t="array" ref="AK1412">_xlfn.IFS(S1412&lt;=3000,"Low",S1412&lt;=7000,"Mid",S1412&lt;=12000,"High",S1412&gt;12000,"Top")</f>
        <v>Mid</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_xlfn.IFS(A1413&lt;=25,"Under 25",A1413&lt;=35,"26–35",A1413&lt;=45,"36–45",A1413&gt;45,"46+")</f>
        <v>Under 25</v>
      </c>
      <c r="AK1413" t="str" cm="1">
        <f t="array" ref="AK1413">_xlfn.IFS(S1413&lt;=3000,"Low",S1413&lt;=7000,"Mid",S1413&lt;=12000,"High",S1413&gt;12000,"Top")</f>
        <v>Low</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_xlfn.IFS(A1414&lt;=25,"Under 25",A1414&lt;=35,"26–35",A1414&lt;=45,"36–45",A1414&gt;45,"46+")</f>
        <v>26–35</v>
      </c>
      <c r="AK1414" t="str" cm="1">
        <f t="array" ref="AK1414">_xlfn.IFS(S1414&lt;=3000,"Low",S1414&lt;=7000,"Mid",S1414&lt;=12000,"High",S1414&gt;12000,"Top")</f>
        <v>Mid</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_xlfn.IFS(A1415&lt;=25,"Under 25",A1415&lt;=35,"26–35",A1415&lt;=45,"36–45",A1415&gt;45,"46+")</f>
        <v>Under 25</v>
      </c>
      <c r="AK1415" t="str" cm="1">
        <f t="array" ref="AK1415">_xlfn.IFS(S1415&lt;=3000,"Low",S1415&lt;=7000,"Mid",S1415&lt;=12000,"High",S1415&gt;12000,"Top")</f>
        <v>Mid</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_xlfn.IFS(A1416&lt;=25,"Under 25",A1416&lt;=35,"26–35",A1416&lt;=45,"36–45",A1416&gt;45,"46+")</f>
        <v>46+</v>
      </c>
      <c r="AK1416" t="str" cm="1">
        <f t="array" ref="AK1416">_xlfn.IFS(S1416&lt;=3000,"Low",S1416&lt;=7000,"Mid",S1416&lt;=12000,"High",S1416&gt;12000,"Top")</f>
        <v>High</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_xlfn.IFS(A1417&lt;=25,"Under 25",A1417&lt;=35,"26–35",A1417&lt;=45,"36–45",A1417&gt;45,"46+")</f>
        <v>26–35</v>
      </c>
      <c r="AK1417" t="str" cm="1">
        <f t="array" ref="AK1417">_xlfn.IFS(S1417&lt;=3000,"Low",S1417&lt;=7000,"Mid",S1417&lt;=12000,"High",S1417&gt;12000,"Top")</f>
        <v>Low</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_xlfn.IFS(A1418&lt;=25,"Under 25",A1418&lt;=35,"26–35",A1418&lt;=45,"36–45",A1418&gt;45,"46+")</f>
        <v>36–45</v>
      </c>
      <c r="AK1418" t="str" cm="1">
        <f t="array" ref="AK1418">_xlfn.IFS(S1418&lt;=3000,"Low",S1418&lt;=7000,"Mid",S1418&lt;=12000,"High",S1418&gt;12000,"Top")</f>
        <v>Mid</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_xlfn.IFS(A1419&lt;=25,"Under 25",A1419&lt;=35,"26–35",A1419&lt;=45,"36–45",A1419&gt;45,"46+")</f>
        <v>26–35</v>
      </c>
      <c r="AK1419" t="str" cm="1">
        <f t="array" ref="AK1419">_xlfn.IFS(S1419&lt;=3000,"Low",S1419&lt;=7000,"Mid",S1419&lt;=12000,"High",S1419&gt;12000,"Top")</f>
        <v>Mid</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_xlfn.IFS(A1420&lt;=25,"Under 25",A1420&lt;=35,"26–35",A1420&lt;=45,"36–45",A1420&gt;45,"46+")</f>
        <v>36–45</v>
      </c>
      <c r="AK1420" t="str" cm="1">
        <f t="array" ref="AK1420">_xlfn.IFS(S1420&lt;=3000,"Low",S1420&lt;=7000,"Mid",S1420&lt;=12000,"High",S1420&gt;12000,"Top")</f>
        <v>Mid</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_xlfn.IFS(A1421&lt;=25,"Under 25",A1421&lt;=35,"26–35",A1421&lt;=45,"36–45",A1421&gt;45,"46+")</f>
        <v>36–45</v>
      </c>
      <c r="AK1421" t="str" cm="1">
        <f t="array" ref="AK1421">_xlfn.IFS(S1421&lt;=3000,"Low",S1421&lt;=7000,"Mid",S1421&lt;=12000,"High",S1421&gt;12000,"Top")</f>
        <v>Mid</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_xlfn.IFS(A1422&lt;=25,"Under 25",A1422&lt;=35,"26–35",A1422&lt;=45,"36–45",A1422&gt;45,"46+")</f>
        <v>36–45</v>
      </c>
      <c r="AK1422" t="str" cm="1">
        <f t="array" ref="AK1422">_xlfn.IFS(S1422&lt;=3000,"Low",S1422&lt;=7000,"Mid",S1422&lt;=12000,"High",S1422&gt;12000,"Top")</f>
        <v>Low</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_xlfn.IFS(A1423&lt;=25,"Under 25",A1423&lt;=35,"26–35",A1423&lt;=45,"36–45",A1423&gt;45,"46+")</f>
        <v>46+</v>
      </c>
      <c r="AK1423" t="str" cm="1">
        <f t="array" ref="AK1423">_xlfn.IFS(S1423&lt;=3000,"Low",S1423&lt;=7000,"Mid",S1423&lt;=12000,"High",S1423&gt;12000,"Top")</f>
        <v>High</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_xlfn.IFS(A1424&lt;=25,"Under 25",A1424&lt;=35,"26–35",A1424&lt;=45,"36–45",A1424&gt;45,"46+")</f>
        <v>26–35</v>
      </c>
      <c r="AK1424" t="str" cm="1">
        <f t="array" ref="AK1424">_xlfn.IFS(S1424&lt;=3000,"Low",S1424&lt;=7000,"Mid",S1424&lt;=12000,"High",S1424&gt;12000,"Top")</f>
        <v>Low</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_xlfn.IFS(A1425&lt;=25,"Under 25",A1425&lt;=35,"26–35",A1425&lt;=45,"36–45",A1425&gt;45,"46+")</f>
        <v>Under 25</v>
      </c>
      <c r="AK1425" t="str" cm="1">
        <f t="array" ref="AK1425">_xlfn.IFS(S1425&lt;=3000,"Low",S1425&lt;=7000,"Mid",S1425&lt;=12000,"High",S1425&gt;12000,"Top")</f>
        <v>Mid</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_xlfn.IFS(A1426&lt;=25,"Under 25",A1426&lt;=35,"26–35",A1426&lt;=45,"36–45",A1426&gt;45,"46+")</f>
        <v>26–35</v>
      </c>
      <c r="AK1426" t="str" cm="1">
        <f t="array" ref="AK1426">_xlfn.IFS(S1426&lt;=3000,"Low",S1426&lt;=7000,"Mid",S1426&lt;=12000,"High",S1426&gt;12000,"Top")</f>
        <v>Mid</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_xlfn.IFS(A1427&lt;=25,"Under 25",A1427&lt;=35,"26–35",A1427&lt;=45,"36–45",A1427&gt;45,"46+")</f>
        <v>26–35</v>
      </c>
      <c r="AK1427" t="str" cm="1">
        <f t="array" ref="AK1427">_xlfn.IFS(S1427&lt;=3000,"Low",S1427&lt;=7000,"Mid",S1427&lt;=12000,"High",S1427&gt;12000,"Top")</f>
        <v>Mid</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_xlfn.IFS(A1428&lt;=25,"Under 25",A1428&lt;=35,"26–35",A1428&lt;=45,"36–45",A1428&gt;45,"46+")</f>
        <v>26–35</v>
      </c>
      <c r="AK1428" t="str" cm="1">
        <f t="array" ref="AK1428">_xlfn.IFS(S1428&lt;=3000,"Low",S1428&lt;=7000,"Mid",S1428&lt;=12000,"High",S1428&gt;12000,"Top")</f>
        <v>Low</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_xlfn.IFS(A1429&lt;=25,"Under 25",A1429&lt;=35,"26–35",A1429&lt;=45,"36–45",A1429&gt;45,"46+")</f>
        <v>36–45</v>
      </c>
      <c r="AK1429" t="str" cm="1">
        <f t="array" ref="AK1429">_xlfn.IFS(S1429&lt;=3000,"Low",S1429&lt;=7000,"Mid",S1429&lt;=12000,"High",S1429&gt;12000,"Top")</f>
        <v>Low</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_xlfn.IFS(A1430&lt;=25,"Under 25",A1430&lt;=35,"26–35",A1430&lt;=45,"36–45",A1430&gt;45,"46+")</f>
        <v>26–35</v>
      </c>
      <c r="AK1430" t="str" cm="1">
        <f t="array" ref="AK1430">_xlfn.IFS(S1430&lt;=3000,"Low",S1430&lt;=7000,"Mid",S1430&lt;=12000,"High",S1430&gt;12000,"Top")</f>
        <v>Low</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_xlfn.IFS(A1431&lt;=25,"Under 25",A1431&lt;=35,"26–35",A1431&lt;=45,"36–45",A1431&gt;45,"46+")</f>
        <v>36–45</v>
      </c>
      <c r="AK1431" t="str" cm="1">
        <f t="array" ref="AK1431">_xlfn.IFS(S1431&lt;=3000,"Low",S1431&lt;=7000,"Mid",S1431&lt;=12000,"High",S1431&gt;12000,"Top")</f>
        <v>Mid</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_xlfn.IFS(A1432&lt;=25,"Under 25",A1432&lt;=35,"26–35",A1432&lt;=45,"36–45",A1432&gt;45,"46+")</f>
        <v>36–45</v>
      </c>
      <c r="AK1432" t="str" cm="1">
        <f t="array" ref="AK1432">_xlfn.IFS(S1432&lt;=3000,"Low",S1432&lt;=7000,"Mid",S1432&lt;=12000,"High",S1432&gt;12000,"Top")</f>
        <v>Top</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_xlfn.IFS(A1433&lt;=25,"Under 25",A1433&lt;=35,"26–35",A1433&lt;=45,"36–45",A1433&gt;45,"46+")</f>
        <v>26–35</v>
      </c>
      <c r="AK1433" t="str" cm="1">
        <f t="array" ref="AK1433">_xlfn.IFS(S1433&lt;=3000,"Low",S1433&lt;=7000,"Mid",S1433&lt;=12000,"High",S1433&gt;12000,"Top")</f>
        <v>High</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_xlfn.IFS(A1434&lt;=25,"Under 25",A1434&lt;=35,"26–35",A1434&lt;=45,"36–45",A1434&gt;45,"46+")</f>
        <v>36–45</v>
      </c>
      <c r="AK1434" t="str" cm="1">
        <f t="array" ref="AK1434">_xlfn.IFS(S1434&lt;=3000,"Low",S1434&lt;=7000,"Mid",S1434&lt;=12000,"High",S1434&gt;12000,"Top")</f>
        <v>Top</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_xlfn.IFS(A1435&lt;=25,"Under 25",A1435&lt;=35,"26–35",A1435&lt;=45,"36–45",A1435&gt;45,"46+")</f>
        <v>Under 25</v>
      </c>
      <c r="AK1435" t="str" cm="1">
        <f t="array" ref="AK1435">_xlfn.IFS(S1435&lt;=3000,"Low",S1435&lt;=7000,"Mid",S1435&lt;=12000,"High",S1435&gt;12000,"Top")</f>
        <v>Mid</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_xlfn.IFS(A1436&lt;=25,"Under 25",A1436&lt;=35,"26–35",A1436&lt;=45,"36–45",A1436&gt;45,"46+")</f>
        <v>46+</v>
      </c>
      <c r="AK1436" t="str" cm="1">
        <f t="array" ref="AK1436">_xlfn.IFS(S1436&lt;=3000,"Low",S1436&lt;=7000,"Mid",S1436&lt;=12000,"High",S1436&gt;12000,"Top")</f>
        <v>Mid</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_xlfn.IFS(A1437&lt;=25,"Under 25",A1437&lt;=35,"26–35",A1437&lt;=45,"36–45",A1437&gt;45,"46+")</f>
        <v>36–45</v>
      </c>
      <c r="AK1437" t="str" cm="1">
        <f t="array" ref="AK1437">_xlfn.IFS(S1437&lt;=3000,"Low",S1437&lt;=7000,"Mid",S1437&lt;=12000,"High",S1437&gt;12000,"Top")</f>
        <v>Low</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_xlfn.IFS(A1438&lt;=25,"Under 25",A1438&lt;=35,"26–35",A1438&lt;=45,"36–45",A1438&gt;45,"46+")</f>
        <v>Under 25</v>
      </c>
      <c r="AK1438" t="str" cm="1">
        <f t="array" ref="AK1438">_xlfn.IFS(S1438&lt;=3000,"Low",S1438&lt;=7000,"Mid",S1438&lt;=12000,"High",S1438&gt;12000,"Top")</f>
        <v>Low</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_xlfn.IFS(A1439&lt;=25,"Under 25",A1439&lt;=35,"26–35",A1439&lt;=45,"36–45",A1439&gt;45,"46+")</f>
        <v>36–45</v>
      </c>
      <c r="AK1439" t="str" cm="1">
        <f t="array" ref="AK1439">_xlfn.IFS(S1439&lt;=3000,"Low",S1439&lt;=7000,"Mid",S1439&lt;=12000,"High",S1439&gt;12000,"Top")</f>
        <v>Top</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_xlfn.IFS(A1440&lt;=25,"Under 25",A1440&lt;=35,"26–35",A1440&lt;=45,"36–45",A1440&gt;45,"46+")</f>
        <v>Under 25</v>
      </c>
      <c r="AK1440" t="str" cm="1">
        <f t="array" ref="AK1440">_xlfn.IFS(S1440&lt;=3000,"Low",S1440&lt;=7000,"Mid",S1440&lt;=12000,"High",S1440&gt;12000,"Top")</f>
        <v>Low</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_xlfn.IFS(A1441&lt;=25,"Under 25",A1441&lt;=35,"26–35",A1441&lt;=45,"36–45",A1441&gt;45,"46+")</f>
        <v>36–45</v>
      </c>
      <c r="AK1441" t="str" cm="1">
        <f t="array" ref="AK1441">_xlfn.IFS(S1441&lt;=3000,"Low",S1441&lt;=7000,"Mid",S1441&lt;=12000,"High",S1441&gt;12000,"Top")</f>
        <v>High</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_xlfn.IFS(A1442&lt;=25,"Under 25",A1442&lt;=35,"26–35",A1442&lt;=45,"36–45",A1442&gt;45,"46+")</f>
        <v>36–45</v>
      </c>
      <c r="AK1442" t="str" cm="1">
        <f t="array" ref="AK1442">_xlfn.IFS(S1442&lt;=3000,"Low",S1442&lt;=7000,"Mid",S1442&lt;=12000,"High",S1442&gt;12000,"Top")</f>
        <v>Mid</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_xlfn.IFS(A1443&lt;=25,"Under 25",A1443&lt;=35,"26–35",A1443&lt;=45,"36–45",A1443&gt;45,"46+")</f>
        <v>46+</v>
      </c>
      <c r="AK1443" t="str" cm="1">
        <f t="array" ref="AK1443">_xlfn.IFS(S1443&lt;=3000,"Low",S1443&lt;=7000,"Mid",S1443&lt;=12000,"High",S1443&gt;12000,"Top")</f>
        <v>Mid</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_xlfn.IFS(A1444&lt;=25,"Under 25",A1444&lt;=35,"26–35",A1444&lt;=45,"36–45",A1444&gt;45,"46+")</f>
        <v>26–35</v>
      </c>
      <c r="AK1444" t="str" cm="1">
        <f t="array" ref="AK1444">_xlfn.IFS(S1444&lt;=3000,"Low",S1444&lt;=7000,"Mid",S1444&lt;=12000,"High",S1444&gt;12000,"Top")</f>
        <v>Mid</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_xlfn.IFS(A1445&lt;=25,"Under 25",A1445&lt;=35,"26–35",A1445&lt;=45,"36–45",A1445&gt;45,"46+")</f>
        <v>36–45</v>
      </c>
      <c r="AK1445" t="str" cm="1">
        <f t="array" ref="AK1445">_xlfn.IFS(S1445&lt;=3000,"Low",S1445&lt;=7000,"Mid",S1445&lt;=12000,"High",S1445&gt;12000,"Top")</f>
        <v>Top</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_xlfn.IFS(A1446&lt;=25,"Under 25",A1446&lt;=35,"26–35",A1446&lt;=45,"36–45",A1446&gt;45,"46+")</f>
        <v>46+</v>
      </c>
      <c r="AK1446" t="str" cm="1">
        <f t="array" ref="AK1446">_xlfn.IFS(S1446&lt;=3000,"Low",S1446&lt;=7000,"Mid",S1446&lt;=12000,"High",S1446&gt;12000,"Top")</f>
        <v>Low</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_xlfn.IFS(A1447&lt;=25,"Under 25",A1447&lt;=35,"26–35",A1447&lt;=45,"36–45",A1447&gt;45,"46+")</f>
        <v>36–45</v>
      </c>
      <c r="AK1447" t="str" cm="1">
        <f t="array" ref="AK1447">_xlfn.IFS(S1447&lt;=3000,"Low",S1447&lt;=7000,"Mid",S1447&lt;=12000,"High",S1447&gt;12000,"Top")</f>
        <v>Top</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_xlfn.IFS(A1448&lt;=25,"Under 25",A1448&lt;=35,"26–35",A1448&lt;=45,"36–45",A1448&gt;45,"46+")</f>
        <v>26–35</v>
      </c>
      <c r="AK1448" t="str" cm="1">
        <f t="array" ref="AK1448">_xlfn.IFS(S1448&lt;=3000,"Low",S1448&lt;=7000,"Mid",S1448&lt;=12000,"High",S1448&gt;12000,"Top")</f>
        <v>Mid</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_xlfn.IFS(A1449&lt;=25,"Under 25",A1449&lt;=35,"26–35",A1449&lt;=45,"36–45",A1449&gt;45,"46+")</f>
        <v>36–45</v>
      </c>
      <c r="AK1449" t="str" cm="1">
        <f t="array" ref="AK1449">_xlfn.IFS(S1449&lt;=3000,"Low",S1449&lt;=7000,"Mid",S1449&lt;=12000,"High",S1449&gt;12000,"Top")</f>
        <v>Mid</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_xlfn.IFS(A1450&lt;=25,"Under 25",A1450&lt;=35,"26–35",A1450&lt;=45,"36–45",A1450&gt;45,"46+")</f>
        <v>36–45</v>
      </c>
      <c r="AK1450" t="str" cm="1">
        <f t="array" ref="AK1450">_xlfn.IFS(S1450&lt;=3000,"Low",S1450&lt;=7000,"Mid",S1450&lt;=12000,"High",S1450&gt;12000,"Top")</f>
        <v>High</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_xlfn.IFS(A1451&lt;=25,"Under 25",A1451&lt;=35,"26–35",A1451&lt;=45,"36–45",A1451&gt;45,"46+")</f>
        <v>26–35</v>
      </c>
      <c r="AK1451" t="str" cm="1">
        <f t="array" ref="AK1451">_xlfn.IFS(S1451&lt;=3000,"Low",S1451&lt;=7000,"Mid",S1451&lt;=12000,"High",S1451&gt;12000,"Top")</f>
        <v>Low</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_xlfn.IFS(A1452&lt;=25,"Under 25",A1452&lt;=35,"26–35",A1452&lt;=45,"36–45",A1452&gt;45,"46+")</f>
        <v>26–35</v>
      </c>
      <c r="AK1452" t="str" cm="1">
        <f t="array" ref="AK1452">_xlfn.IFS(S1452&lt;=3000,"Low",S1452&lt;=7000,"Mid",S1452&lt;=12000,"High",S1452&gt;12000,"Top")</f>
        <v>High</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_xlfn.IFS(A1453&lt;=25,"Under 25",A1453&lt;=35,"26–35",A1453&lt;=45,"36–45",A1453&gt;45,"46+")</f>
        <v>36–45</v>
      </c>
      <c r="AK1453" t="str" cm="1">
        <f t="array" ref="AK1453">_xlfn.IFS(S1453&lt;=3000,"Low",S1453&lt;=7000,"Mid",S1453&lt;=12000,"High",S1453&gt;12000,"Top")</f>
        <v>Mid</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_xlfn.IFS(A1454&lt;=25,"Under 25",A1454&lt;=35,"26–35",A1454&lt;=45,"36–45",A1454&gt;45,"46+")</f>
        <v>46+</v>
      </c>
      <c r="AK1454" t="str" cm="1">
        <f t="array" ref="AK1454">_xlfn.IFS(S1454&lt;=3000,"Low",S1454&lt;=7000,"Mid",S1454&lt;=12000,"High",S1454&gt;12000,"Top")</f>
        <v>Mid</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_xlfn.IFS(A1455&lt;=25,"Under 25",A1455&lt;=35,"26–35",A1455&lt;=45,"36–45",A1455&gt;45,"46+")</f>
        <v>36–45</v>
      </c>
      <c r="AK1455" t="str" cm="1">
        <f t="array" ref="AK1455">_xlfn.IFS(S1455&lt;=3000,"Low",S1455&lt;=7000,"Mid",S1455&lt;=12000,"High",S1455&gt;12000,"Top")</f>
        <v>Mid</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_xlfn.IFS(A1456&lt;=25,"Under 25",A1456&lt;=35,"26–35",A1456&lt;=45,"36–45",A1456&gt;45,"46+")</f>
        <v>36–45</v>
      </c>
      <c r="AK1456" t="str" cm="1">
        <f t="array" ref="AK1456">_xlfn.IFS(S1456&lt;=3000,"Low",S1456&lt;=7000,"Mid",S1456&lt;=12000,"High",S1456&gt;12000,"Top")</f>
        <v>Mid</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_xlfn.IFS(A1457&lt;=25,"Under 25",A1457&lt;=35,"26–35",A1457&lt;=45,"36–45",A1457&gt;45,"46+")</f>
        <v>36–45</v>
      </c>
      <c r="AK1457" t="str" cm="1">
        <f t="array" ref="AK1457">_xlfn.IFS(S1457&lt;=3000,"Low",S1457&lt;=7000,"Mid",S1457&lt;=12000,"High",S1457&gt;12000,"Top")</f>
        <v>Low</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_xlfn.IFS(A1458&lt;=25,"Under 25",A1458&lt;=35,"26–35",A1458&lt;=45,"36–45",A1458&gt;45,"46+")</f>
        <v>26–35</v>
      </c>
      <c r="AK1458" t="str" cm="1">
        <f t="array" ref="AK1458">_xlfn.IFS(S1458&lt;=3000,"Low",S1458&lt;=7000,"Mid",S1458&lt;=12000,"High",S1458&gt;12000,"Top")</f>
        <v>Mid</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_xlfn.IFS(A1459&lt;=25,"Under 25",A1459&lt;=35,"26–35",A1459&lt;=45,"36–45",A1459&gt;45,"46+")</f>
        <v>36–45</v>
      </c>
      <c r="AK1459" t="str" cm="1">
        <f t="array" ref="AK1459">_xlfn.IFS(S1459&lt;=3000,"Low",S1459&lt;=7000,"Mid",S1459&lt;=12000,"High",S1459&gt;12000,"Top")</f>
        <v>Low</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_xlfn.IFS(A1460&lt;=25,"Under 25",A1460&lt;=35,"26–35",A1460&lt;=45,"36–45",A1460&gt;45,"46+")</f>
        <v>26–35</v>
      </c>
      <c r="AK1460" t="str" cm="1">
        <f t="array" ref="AK1460">_xlfn.IFS(S1460&lt;=3000,"Low",S1460&lt;=7000,"Mid",S1460&lt;=12000,"High",S1460&gt;12000,"Top")</f>
        <v>Low</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_xlfn.IFS(A1461&lt;=25,"Under 25",A1461&lt;=35,"26–35",A1461&lt;=45,"36–45",A1461&gt;45,"46+")</f>
        <v>26–35</v>
      </c>
      <c r="AK1461" t="str" cm="1">
        <f t="array" ref="AK1461">_xlfn.IFS(S1461&lt;=3000,"Low",S1461&lt;=7000,"Mid",S1461&lt;=12000,"High",S1461&gt;12000,"Top")</f>
        <v>Mid</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_xlfn.IFS(A1462&lt;=25,"Under 25",A1462&lt;=35,"26–35",A1462&lt;=45,"36–45",A1462&gt;45,"46+")</f>
        <v>26–35</v>
      </c>
      <c r="AK1462" t="str" cm="1">
        <f t="array" ref="AK1462">_xlfn.IFS(S1462&lt;=3000,"Low",S1462&lt;=7000,"Mid",S1462&lt;=12000,"High",S1462&gt;12000,"Top")</f>
        <v>Mid</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_xlfn.IFS(A1463&lt;=25,"Under 25",A1463&lt;=35,"26–35",A1463&lt;=45,"36–45",A1463&gt;45,"46+")</f>
        <v>46+</v>
      </c>
      <c r="AK1463" t="str" cm="1">
        <f t="array" ref="AK1463">_xlfn.IFS(S1463&lt;=3000,"Low",S1463&lt;=7000,"Mid",S1463&lt;=12000,"High",S1463&gt;12000,"Top")</f>
        <v>High</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_xlfn.IFS(A1464&lt;=25,"Under 25",A1464&lt;=35,"26–35",A1464&lt;=45,"36–45",A1464&gt;45,"46+")</f>
        <v>36–45</v>
      </c>
      <c r="AK1464" t="str" cm="1">
        <f t="array" ref="AK1464">_xlfn.IFS(S1464&lt;=3000,"Low",S1464&lt;=7000,"Mid",S1464&lt;=12000,"High",S1464&gt;12000,"Top")</f>
        <v>Top</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_xlfn.IFS(A1465&lt;=25,"Under 25",A1465&lt;=35,"26–35",A1465&lt;=45,"36–45",A1465&gt;45,"46+")</f>
        <v>26–35</v>
      </c>
      <c r="AK1465" t="str" cm="1">
        <f t="array" ref="AK1465">_xlfn.IFS(S1465&lt;=3000,"Low",S1465&lt;=7000,"Mid",S1465&lt;=12000,"High",S1465&gt;12000,"Top")</f>
        <v>High</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_xlfn.IFS(A1466&lt;=25,"Under 25",A1466&lt;=35,"26–35",A1466&lt;=45,"36–45",A1466&gt;45,"46+")</f>
        <v>26–35</v>
      </c>
      <c r="AK1466" t="str" cm="1">
        <f t="array" ref="AK1466">_xlfn.IFS(S1466&lt;=3000,"Low",S1466&lt;=7000,"Mid",S1466&lt;=12000,"High",S1466&gt;12000,"Top")</f>
        <v>Low</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_xlfn.IFS(A1467&lt;=25,"Under 25",A1467&lt;=35,"26–35",A1467&lt;=45,"36–45",A1467&gt;45,"46+")</f>
        <v>36–45</v>
      </c>
      <c r="AK1467" t="str" cm="1">
        <f t="array" ref="AK1467">_xlfn.IFS(S1467&lt;=3000,"Low",S1467&lt;=7000,"Mid",S1467&lt;=12000,"High",S1467&gt;12000,"Top")</f>
        <v>Low</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_xlfn.IFS(A1468&lt;=25,"Under 25",A1468&lt;=35,"26–35",A1468&lt;=45,"36–45",A1468&gt;45,"46+")</f>
        <v>36–45</v>
      </c>
      <c r="AK1468" t="str" cm="1">
        <f t="array" ref="AK1468">_xlfn.IFS(S1468&lt;=3000,"Low",S1468&lt;=7000,"Mid",S1468&lt;=12000,"High",S1468&gt;12000,"Top")</f>
        <v>High</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_xlfn.IFS(A1469&lt;=25,"Under 25",A1469&lt;=35,"26–35",A1469&lt;=45,"36–45",A1469&gt;45,"46+")</f>
        <v>26–35</v>
      </c>
      <c r="AK1469" t="str" cm="1">
        <f t="array" ref="AK1469">_xlfn.IFS(S1469&lt;=3000,"Low",S1469&lt;=7000,"Mid",S1469&lt;=12000,"High",S1469&gt;12000,"Top")</f>
        <v>Mid</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_xlfn.IFS(A1470&lt;=25,"Under 25",A1470&lt;=35,"26–35",A1470&lt;=45,"36–45",A1470&gt;45,"46+")</f>
        <v>46+</v>
      </c>
      <c r="AK1470" t="str" cm="1">
        <f t="array" ref="AK1470">_xlfn.IFS(S1470&lt;=3000,"Low",S1470&lt;=7000,"Mid",S1470&lt;=12000,"High",S1470&gt;12000,"Top")</f>
        <v>Mid</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_xlfn.IFS(A1471&lt;=25,"Under 25",A1471&lt;=35,"26–35",A1471&lt;=45,"36–45",A1471&gt;45,"46+")</f>
        <v>26–35</v>
      </c>
      <c r="AK1471" t="str" cm="1">
        <f t="array" ref="AK1471">_xlfn.IFS(S1471&lt;=3000,"Low",S1471&lt;=7000,"Mid",S1471&lt;=12000,"High",S1471&gt;12000,"Top")</f>
        <v>Mid</v>
      </c>
    </row>
  </sheetData>
  <conditionalFormatting sqref="W1:W1048576">
    <cfRule type="containsText" dxfId="0" priority="1" operator="containsText" text="Yes">
      <formula>NOT(ISERROR(SEARCH("Yes",W1)))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EE73-224C-4902-9B78-09F05B1919C7}">
  <dimension ref="A1:B20"/>
  <sheetViews>
    <sheetView workbookViewId="0">
      <selection activeCell="S28" sqref="S28"/>
    </sheetView>
  </sheetViews>
  <sheetFormatPr defaultRowHeight="14.4" x14ac:dyDescent="0.3"/>
  <cols>
    <col min="1" max="1" width="31.33203125" customWidth="1"/>
    <col min="2" max="2" width="31.21875" customWidth="1"/>
  </cols>
  <sheetData>
    <row r="1" spans="1:2" x14ac:dyDescent="0.3">
      <c r="A1" s="2" t="s">
        <v>64</v>
      </c>
      <c r="B1" s="2" t="s">
        <v>65</v>
      </c>
    </row>
    <row r="2" spans="1:2" x14ac:dyDescent="0.3">
      <c r="A2" t="s">
        <v>66</v>
      </c>
      <c r="B2">
        <f>COUNTIF('Working Data'!B:B, "Yes")</f>
        <v>237</v>
      </c>
    </row>
    <row r="3" spans="1:2" x14ac:dyDescent="0.3">
      <c r="A3" t="s">
        <v>67</v>
      </c>
      <c r="B3" s="3">
        <f>COUNTIF('Working Data'!B:B, "Yes") / (COUNTA('Working Data'!B:B) - 1)</f>
        <v>0.16122448979591836</v>
      </c>
    </row>
    <row r="4" spans="1:2" x14ac:dyDescent="0.3">
      <c r="A4" t="s">
        <v>68</v>
      </c>
      <c r="B4" s="4">
        <f>AVERAGEIF('Working Data'!B:B,"Yes",'Working Data'!S:S)</f>
        <v>4787.0928270042195</v>
      </c>
    </row>
    <row r="5" spans="1:2" x14ac:dyDescent="0.3">
      <c r="A5" t="s">
        <v>69</v>
      </c>
      <c r="B5" s="4">
        <f>AVERAGEIF('Working Data'!B:B,"No",'Working Data'!S:S)</f>
        <v>6832.7396593673966</v>
      </c>
    </row>
    <row r="7" spans="1:2" x14ac:dyDescent="0.3">
      <c r="A7" t="s">
        <v>4</v>
      </c>
      <c r="B7" t="s">
        <v>70</v>
      </c>
    </row>
    <row r="8" spans="1:2" x14ac:dyDescent="0.3">
      <c r="A8" t="s">
        <v>37</v>
      </c>
      <c r="B8">
        <f>COUNTIFS('Working Data'!E:E, "Sales", 'Working Data'!B:B, "Yes")</f>
        <v>92</v>
      </c>
    </row>
    <row r="9" spans="1:2" x14ac:dyDescent="0.3">
      <c r="A9" t="s">
        <v>45</v>
      </c>
      <c r="B9">
        <f>COUNTIFS('Working Data'!E:E, "Research &amp; Development", 'Working Data'!B:B, "Yes")</f>
        <v>133</v>
      </c>
    </row>
    <row r="10" spans="1:2" x14ac:dyDescent="0.3">
      <c r="A10" t="s">
        <v>61</v>
      </c>
      <c r="B10">
        <f>COUNTIFS('Working Data'!E:E, "Human Resources", 'Working Data'!B:B, "Yes")</f>
        <v>12</v>
      </c>
    </row>
    <row r="12" spans="1:2" x14ac:dyDescent="0.3">
      <c r="A12" s="1" t="s">
        <v>71</v>
      </c>
      <c r="B12" s="1" t="s">
        <v>72</v>
      </c>
    </row>
    <row r="13" spans="1:2" x14ac:dyDescent="0.3">
      <c r="A13">
        <v>7</v>
      </c>
      <c r="B13" t="str">
        <f>INDEX('Working Data'!E:E, MATCH(A13, 'Working Data'!J:J, 0))</f>
        <v>Research &amp; Development</v>
      </c>
    </row>
    <row r="14" spans="1:2" x14ac:dyDescent="0.3">
      <c r="A14">
        <v>11</v>
      </c>
      <c r="B14" t="str">
        <f>INDEX('Working Data'!E:E, MATCH(A14, 'Working Data'!J:J, 0))</f>
        <v>Research &amp; Development</v>
      </c>
    </row>
    <row r="15" spans="1:2" x14ac:dyDescent="0.3">
      <c r="A15">
        <v>23</v>
      </c>
      <c r="B15" t="str">
        <f>INDEX('Working Data'!E:E, MATCH(A15, 'Working Data'!J:J, 0))</f>
        <v>Sales</v>
      </c>
    </row>
    <row r="16" spans="1:2" x14ac:dyDescent="0.3">
      <c r="A16">
        <v>424</v>
      </c>
      <c r="B16" t="str">
        <f>INDEX('Working Data'!E:E, MATCH(A16, 'Working Data'!J:J, 0))</f>
        <v>Human Resources</v>
      </c>
    </row>
    <row r="17" spans="1:2" x14ac:dyDescent="0.3">
      <c r="A17">
        <v>1</v>
      </c>
      <c r="B17" t="str">
        <f>INDEX('Working Data'!E:E, MATCH(A17, 'Working Data'!J:J, 0))</f>
        <v>Sales</v>
      </c>
    </row>
    <row r="19" spans="1:2" x14ac:dyDescent="0.3">
      <c r="A19" t="s">
        <v>74</v>
      </c>
      <c r="B19" s="5">
        <f>AVERAGEIFS('Working Data'!K:K, 'Working Data'!E:E, "Sales", 'Working Data'!B:B, "Yes")</f>
        <v>2.4673913043478262</v>
      </c>
    </row>
    <row r="20" spans="1:2" x14ac:dyDescent="0.3">
      <c r="A20" t="s">
        <v>73</v>
      </c>
      <c r="B20" s="5">
        <f>AVERAGEIFS('Working Data'!K:K, 'Working Data'!E:E, "Sales", 'Working Data'!B:B, "No")</f>
        <v>2.7344632768361583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DD8E-D536-4415-839A-3EE34CAA61F1}">
  <dimension ref="A3:D8"/>
  <sheetViews>
    <sheetView tabSelected="1" workbookViewId="0">
      <selection activeCell="J5" sqref="J5"/>
    </sheetView>
  </sheetViews>
  <sheetFormatPr defaultRowHeight="14.4" x14ac:dyDescent="0.3"/>
  <cols>
    <col min="1" max="1" width="24.33203125" bestFit="1" customWidth="1"/>
    <col min="2" max="2" width="15.5546875" bestFit="1" customWidth="1"/>
    <col min="3" max="3" width="7" bestFit="1" customWidth="1"/>
    <col min="4" max="4" width="10.77734375" bestFit="1" customWidth="1"/>
    <col min="5" max="5" width="7.33203125" bestFit="1" customWidth="1"/>
    <col min="6" max="6" width="10.77734375" bestFit="1" customWidth="1"/>
  </cols>
  <sheetData>
    <row r="3" spans="1:4" x14ac:dyDescent="0.3">
      <c r="A3" s="6" t="s">
        <v>78</v>
      </c>
      <c r="B3" s="6" t="s">
        <v>77</v>
      </c>
    </row>
    <row r="4" spans="1:4" x14ac:dyDescent="0.3">
      <c r="A4" s="6" t="s">
        <v>75</v>
      </c>
      <c r="B4" t="s">
        <v>43</v>
      </c>
      <c r="C4" t="s">
        <v>35</v>
      </c>
      <c r="D4" t="s">
        <v>76</v>
      </c>
    </row>
    <row r="5" spans="1:4" x14ac:dyDescent="0.3">
      <c r="A5" s="7" t="s">
        <v>61</v>
      </c>
      <c r="B5" s="8">
        <v>0.80952380952380953</v>
      </c>
      <c r="C5" s="8">
        <v>0.19047619047619047</v>
      </c>
      <c r="D5" s="8">
        <v>1</v>
      </c>
    </row>
    <row r="6" spans="1:4" x14ac:dyDescent="0.3">
      <c r="A6" s="7" t="s">
        <v>45</v>
      </c>
      <c r="B6" s="8">
        <v>0.86160249739854322</v>
      </c>
      <c r="C6" s="8">
        <v>0.13839750260145681</v>
      </c>
      <c r="D6" s="8">
        <v>1</v>
      </c>
    </row>
    <row r="7" spans="1:4" x14ac:dyDescent="0.3">
      <c r="A7" s="7" t="s">
        <v>37</v>
      </c>
      <c r="B7" s="8">
        <v>0.79372197309417036</v>
      </c>
      <c r="C7" s="8">
        <v>0.20627802690582961</v>
      </c>
      <c r="D7" s="8">
        <v>1</v>
      </c>
    </row>
    <row r="8" spans="1:4" x14ac:dyDescent="0.3">
      <c r="A8" s="7" t="s">
        <v>76</v>
      </c>
      <c r="B8" s="8">
        <v>0.83877551020408159</v>
      </c>
      <c r="C8" s="8">
        <v>0.16122448979591836</v>
      </c>
      <c r="D8"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0EFC-2EDA-40AF-813E-395699AA4B63}">
  <dimension ref="A1:B8"/>
  <sheetViews>
    <sheetView zoomScale="83" workbookViewId="0">
      <selection activeCell="E9" sqref="E9"/>
    </sheetView>
  </sheetViews>
  <sheetFormatPr defaultRowHeight="14.4" x14ac:dyDescent="0.3"/>
  <cols>
    <col min="1" max="1" width="12.77734375" bestFit="1" customWidth="1"/>
    <col min="2" max="2" width="15.88671875" bestFit="1" customWidth="1"/>
  </cols>
  <sheetData>
    <row r="1" spans="1:2" x14ac:dyDescent="0.3">
      <c r="A1" s="6" t="s">
        <v>1</v>
      </c>
      <c r="B1" t="s">
        <v>35</v>
      </c>
    </row>
    <row r="3" spans="1:2" x14ac:dyDescent="0.3">
      <c r="A3" s="6" t="s">
        <v>75</v>
      </c>
      <c r="B3" t="s">
        <v>83</v>
      </c>
    </row>
    <row r="4" spans="1:2" x14ac:dyDescent="0.3">
      <c r="A4" s="7" t="s">
        <v>79</v>
      </c>
      <c r="B4">
        <v>116</v>
      </c>
    </row>
    <row r="5" spans="1:2" x14ac:dyDescent="0.3">
      <c r="A5" s="7" t="s">
        <v>80</v>
      </c>
      <c r="B5">
        <v>43</v>
      </c>
    </row>
    <row r="6" spans="1:2" x14ac:dyDescent="0.3">
      <c r="A6" s="7" t="s">
        <v>81</v>
      </c>
      <c r="B6">
        <v>34</v>
      </c>
    </row>
    <row r="7" spans="1:2" x14ac:dyDescent="0.3">
      <c r="A7" s="7" t="s">
        <v>82</v>
      </c>
      <c r="B7">
        <v>44</v>
      </c>
    </row>
    <row r="8" spans="1:2" x14ac:dyDescent="0.3">
      <c r="A8" s="7" t="s">
        <v>76</v>
      </c>
      <c r="B8">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14694-5E7B-4531-B6EB-B8056ECCE34B}">
  <dimension ref="A3:B13"/>
  <sheetViews>
    <sheetView zoomScale="85" workbookViewId="0">
      <selection activeCell="G15" sqref="G15"/>
    </sheetView>
  </sheetViews>
  <sheetFormatPr defaultRowHeight="14.4" x14ac:dyDescent="0.3"/>
  <cols>
    <col min="1" max="1" width="22.88671875" bestFit="1" customWidth="1"/>
    <col min="2" max="2" width="24.5546875" bestFit="1" customWidth="1"/>
  </cols>
  <sheetData>
    <row r="3" spans="1:2" x14ac:dyDescent="0.3">
      <c r="A3" s="6" t="s">
        <v>75</v>
      </c>
      <c r="B3" t="s">
        <v>84</v>
      </c>
    </row>
    <row r="4" spans="1:2" x14ac:dyDescent="0.3">
      <c r="A4" s="7" t="s">
        <v>56</v>
      </c>
      <c r="B4" s="9">
        <v>17181.676470588234</v>
      </c>
    </row>
    <row r="5" spans="1:2" x14ac:dyDescent="0.3">
      <c r="A5" s="7" t="s">
        <v>58</v>
      </c>
      <c r="B5" s="9">
        <v>16033.55</v>
      </c>
    </row>
    <row r="6" spans="1:2" x14ac:dyDescent="0.3">
      <c r="A6" s="7" t="s">
        <v>54</v>
      </c>
      <c r="B6" s="9">
        <v>7528.7633587786258</v>
      </c>
    </row>
    <row r="7" spans="1:2" x14ac:dyDescent="0.3">
      <c r="A7" s="7" t="s">
        <v>53</v>
      </c>
      <c r="B7" s="9">
        <v>7295.1379310344828</v>
      </c>
    </row>
    <row r="8" spans="1:2" x14ac:dyDescent="0.3">
      <c r="A8" s="7" t="s">
        <v>40</v>
      </c>
      <c r="B8" s="9">
        <v>6924.2791411042945</v>
      </c>
    </row>
    <row r="9" spans="1:2" x14ac:dyDescent="0.3">
      <c r="A9" s="7" t="s">
        <v>61</v>
      </c>
      <c r="B9" s="9">
        <v>4235.75</v>
      </c>
    </row>
    <row r="10" spans="1:2" x14ac:dyDescent="0.3">
      <c r="A10" s="7" t="s">
        <v>47</v>
      </c>
      <c r="B10" s="9">
        <v>3239.972602739726</v>
      </c>
    </row>
    <row r="11" spans="1:2" x14ac:dyDescent="0.3">
      <c r="A11" s="7" t="s">
        <v>50</v>
      </c>
      <c r="B11" s="9">
        <v>3237.169884169884</v>
      </c>
    </row>
    <row r="12" spans="1:2" x14ac:dyDescent="0.3">
      <c r="A12" s="7" t="s">
        <v>57</v>
      </c>
      <c r="B12" s="9">
        <v>2626</v>
      </c>
    </row>
    <row r="13" spans="1:2" x14ac:dyDescent="0.3">
      <c r="A13" s="7" t="s">
        <v>76</v>
      </c>
      <c r="B13" s="9">
        <v>6502.931292517007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4111-B535-42F3-AD9B-BDAC3F513074}">
  <dimension ref="A3:D7"/>
  <sheetViews>
    <sheetView workbookViewId="0">
      <selection activeCell="F7" sqref="F7"/>
    </sheetView>
  </sheetViews>
  <sheetFormatPr defaultRowHeight="14.4" x14ac:dyDescent="0.3"/>
  <cols>
    <col min="1" max="1" width="24.33203125" bestFit="1" customWidth="1"/>
    <col min="2" max="2" width="15.5546875" bestFit="1" customWidth="1"/>
    <col min="3" max="3" width="7" bestFit="1" customWidth="1"/>
    <col min="4" max="4" width="10.77734375" bestFit="1" customWidth="1"/>
    <col min="5" max="5" width="7.33203125" bestFit="1" customWidth="1"/>
    <col min="6" max="6" width="10.77734375" bestFit="1" customWidth="1"/>
  </cols>
  <sheetData>
    <row r="3" spans="1:4" x14ac:dyDescent="0.3">
      <c r="A3" s="6" t="s">
        <v>78</v>
      </c>
      <c r="B3" s="6" t="s">
        <v>77</v>
      </c>
    </row>
    <row r="4" spans="1:4" x14ac:dyDescent="0.3">
      <c r="A4" s="6" t="s">
        <v>75</v>
      </c>
      <c r="B4" t="s">
        <v>43</v>
      </c>
      <c r="C4" t="s">
        <v>35</v>
      </c>
      <c r="D4" t="s">
        <v>76</v>
      </c>
    </row>
    <row r="5" spans="1:4" x14ac:dyDescent="0.3">
      <c r="A5" s="7" t="s">
        <v>43</v>
      </c>
      <c r="B5" s="8">
        <v>0.89563567362428842</v>
      </c>
      <c r="C5" s="8">
        <v>0.10436432637571158</v>
      </c>
      <c r="D5" s="8">
        <v>1</v>
      </c>
    </row>
    <row r="6" spans="1:4" x14ac:dyDescent="0.3">
      <c r="A6" s="7" t="s">
        <v>35</v>
      </c>
      <c r="B6" s="8">
        <v>0.69471153846153844</v>
      </c>
      <c r="C6" s="8">
        <v>0.30528846153846156</v>
      </c>
      <c r="D6" s="8">
        <v>1</v>
      </c>
    </row>
    <row r="7" spans="1:4" x14ac:dyDescent="0.3">
      <c r="A7" s="7" t="s">
        <v>76</v>
      </c>
      <c r="B7" s="8">
        <v>0.83877551020408159</v>
      </c>
      <c r="C7" s="8">
        <v>0.16122448979591836</v>
      </c>
      <c r="D7" s="8">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 Data</vt:lpstr>
      <vt:lpstr>Working Data</vt:lpstr>
      <vt:lpstr>Analysis</vt:lpstr>
      <vt:lpstr>Pivot 1</vt:lpstr>
      <vt:lpstr>Pivot 2</vt:lpstr>
      <vt:lpstr>Pivot 3</vt:lpstr>
      <vt:lpstr>Pivot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Ruchika Roy</dc:creator>
  <cp:lastModifiedBy>Ruchika Roy</cp:lastModifiedBy>
  <dcterms:created xsi:type="dcterms:W3CDTF">2026-06-17T12:02:32Z</dcterms:created>
  <dcterms:modified xsi:type="dcterms:W3CDTF">2026-06-18T02:06:52Z</dcterms:modified>
</cp:coreProperties>
</file>